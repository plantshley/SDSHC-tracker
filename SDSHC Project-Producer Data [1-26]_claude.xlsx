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dshc-my.sharepoint.com/personal/ashley_sdsoil_org/Documents/319/"/>
    </mc:Choice>
  </mc:AlternateContent>
  <xr:revisionPtr revIDLastSave="819" documentId="13_ncr:1_{3C7AD9D7-8116-4B79-9A40-3A8F7E54FB7A}" xr6:coauthVersionLast="47" xr6:coauthVersionMax="47" xr10:uidLastSave="{C37D906C-0579-4DFC-8967-D6607A6DD66A}"/>
  <bookViews>
    <workbookView xWindow="-108" yWindow="-108" windowWidth="23256" windowHeight="12456" tabRatio="655" activeTab="1" xr2:uid="{00000000-000D-0000-FFFF-FFFF00000000}"/>
  </bookViews>
  <sheets>
    <sheet name="codebook" sheetId="5" r:id="rId1"/>
    <sheet name="Clean View (with COMB est)" sheetId="9" r:id="rId2"/>
    <sheet name="Clean View" sheetId="6" r:id="rId3"/>
    <sheet name="Paid Practices" sheetId="8" r:id="rId4"/>
    <sheet name="Clean View (Old)" sheetId="4" r:id="rId5"/>
    <sheet name="Raw (Old)" sheetId="1" r:id="rId6"/>
  </sheets>
  <definedNames>
    <definedName name="_xlnm._FilterDatabase" localSheetId="2" hidden="1">'Clean View'!$A$1:$AC$413</definedName>
    <definedName name="_xlnm._FilterDatabase" localSheetId="4" hidden="1">'Clean View (Old)'!$B$1:$V$405</definedName>
    <definedName name="_xlnm._FilterDatabase" localSheetId="1" hidden="1">'Clean View (with COMB est)'!$A$1:$AC$437</definedName>
    <definedName name="_xlnm._FilterDatabase" localSheetId="5" hidden="1">'Raw (Old)'!$A$1:$S$405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39" i="9" l="1"/>
  <c r="AB439" i="9"/>
  <c r="AA439" i="9"/>
  <c r="AA431" i="9"/>
  <c r="AA377" i="9"/>
  <c r="AB377" i="9"/>
  <c r="AC377" i="9"/>
  <c r="AB21" i="9"/>
  <c r="AC21" i="9"/>
  <c r="AA21" i="9"/>
  <c r="AB166" i="9"/>
  <c r="AC166" i="9"/>
  <c r="AA166" i="9"/>
  <c r="AA271" i="9"/>
  <c r="AB271" i="9"/>
  <c r="AC271" i="9"/>
  <c r="AA50" i="9"/>
  <c r="AB50" i="9"/>
  <c r="AC50" i="9"/>
  <c r="AC411" i="9"/>
  <c r="AC410" i="9"/>
  <c r="AC396" i="9"/>
  <c r="AC389" i="9"/>
  <c r="AC388" i="9"/>
  <c r="AC386" i="9"/>
  <c r="AC381" i="9"/>
  <c r="AC374" i="9"/>
  <c r="AC372" i="9"/>
  <c r="AC369" i="9"/>
  <c r="AC361" i="9"/>
  <c r="AC359" i="9"/>
  <c r="AC356" i="9"/>
  <c r="AC354" i="9"/>
  <c r="AC352" i="9"/>
  <c r="AC350" i="9"/>
  <c r="AC348" i="9"/>
  <c r="AC344" i="9"/>
  <c r="AC343" i="9"/>
  <c r="AC338" i="9"/>
  <c r="AC336" i="9"/>
  <c r="AC333" i="9"/>
  <c r="AC331" i="9"/>
  <c r="AC329" i="9"/>
  <c r="AC327" i="9"/>
  <c r="AC324" i="9"/>
  <c r="AC321" i="9"/>
  <c r="AC319" i="9"/>
  <c r="AC317" i="9"/>
  <c r="AC315" i="9"/>
  <c r="AC312" i="9"/>
  <c r="AC310" i="9"/>
  <c r="AC308" i="9"/>
  <c r="AC306" i="9"/>
  <c r="AC302" i="9"/>
  <c r="AC300" i="9"/>
  <c r="AC298" i="9"/>
  <c r="AC296" i="9"/>
  <c r="AC294" i="9"/>
  <c r="AC292" i="9"/>
  <c r="AC291" i="9"/>
  <c r="AC289" i="9"/>
  <c r="AC287" i="9"/>
  <c r="AC285" i="9"/>
  <c r="AC283" i="9"/>
  <c r="AC279" i="9"/>
  <c r="AC278" i="9"/>
  <c r="AC275" i="9"/>
  <c r="AC274" i="9"/>
  <c r="AC270" i="9"/>
  <c r="AC259" i="9"/>
  <c r="AC256" i="9"/>
  <c r="AC254" i="9"/>
  <c r="AC251" i="9"/>
  <c r="AC247" i="9"/>
  <c r="AC245" i="9"/>
  <c r="AC243" i="9"/>
  <c r="AC242" i="9"/>
  <c r="AC239" i="9"/>
  <c r="AC236" i="9"/>
  <c r="AC234" i="9"/>
  <c r="AC230" i="9"/>
  <c r="AC227" i="9"/>
  <c r="AC224" i="9"/>
  <c r="AC223" i="9"/>
  <c r="AC220" i="9"/>
  <c r="AC217" i="9"/>
  <c r="AC215" i="9"/>
  <c r="AC214" i="9"/>
  <c r="AC211" i="9"/>
  <c r="AC210" i="9"/>
  <c r="AC431" i="9"/>
  <c r="AC208" i="9"/>
  <c r="AC207" i="9"/>
  <c r="AC203" i="9"/>
  <c r="AC200" i="9"/>
  <c r="AC197" i="9"/>
  <c r="AC194" i="9"/>
  <c r="AC192" i="9"/>
  <c r="AC190" i="9"/>
  <c r="AC187" i="9"/>
  <c r="AC186" i="9"/>
  <c r="AC184" i="9"/>
  <c r="AC182" i="9"/>
  <c r="AC180" i="9"/>
  <c r="AC178" i="9"/>
  <c r="AC176" i="9"/>
  <c r="AC174" i="9"/>
  <c r="AC172" i="9"/>
  <c r="AC170" i="9"/>
  <c r="AC165" i="9"/>
  <c r="AC163" i="9"/>
  <c r="AC161" i="9"/>
  <c r="AC159" i="9"/>
  <c r="AC157" i="9"/>
  <c r="AC153" i="9"/>
  <c r="AC152" i="9"/>
  <c r="AC146" i="9"/>
  <c r="AC142" i="9"/>
  <c r="AC140" i="9"/>
  <c r="AC138" i="9"/>
  <c r="AC136" i="9"/>
  <c r="AC133" i="9"/>
  <c r="AC130" i="9"/>
  <c r="AC128" i="9"/>
  <c r="AC124" i="9"/>
  <c r="AC121" i="9"/>
  <c r="AC119" i="9"/>
  <c r="AC117" i="9"/>
  <c r="AC115" i="9"/>
  <c r="AC113" i="9"/>
  <c r="AC109" i="9"/>
  <c r="AC107" i="9"/>
  <c r="AC104" i="9"/>
  <c r="AC100" i="9"/>
  <c r="AC97" i="9"/>
  <c r="AC95" i="9"/>
  <c r="AC93" i="9"/>
  <c r="AC91" i="9"/>
  <c r="AC89" i="9"/>
  <c r="AC87" i="9"/>
  <c r="AC85" i="9"/>
  <c r="AC83" i="9"/>
  <c r="AC81" i="9"/>
  <c r="AC80" i="9"/>
  <c r="AC77" i="9"/>
  <c r="AC75" i="9"/>
  <c r="AC62" i="9"/>
  <c r="AC61" i="9"/>
  <c r="AC59" i="9"/>
  <c r="AC55" i="9"/>
  <c r="AC52" i="9"/>
  <c r="AC46" i="9"/>
  <c r="AC43" i="9"/>
  <c r="AC41" i="9"/>
  <c r="AC37" i="9"/>
  <c r="AC35" i="9"/>
  <c r="AC32" i="9"/>
  <c r="AC28" i="9"/>
  <c r="AC25" i="9"/>
  <c r="AC20" i="9"/>
  <c r="AC15" i="9"/>
  <c r="AC11" i="9"/>
  <c r="AC7" i="9"/>
  <c r="AC6" i="9"/>
  <c r="AC3" i="9"/>
  <c r="AB411" i="9"/>
  <c r="AB410" i="9"/>
  <c r="AB396" i="9"/>
  <c r="AB389" i="9"/>
  <c r="AB388" i="9"/>
  <c r="AB386" i="9"/>
  <c r="AB381" i="9"/>
  <c r="AB374" i="9"/>
  <c r="AB372" i="9"/>
  <c r="AB369" i="9"/>
  <c r="AB361" i="9"/>
  <c r="AB359" i="9"/>
  <c r="AB356" i="9"/>
  <c r="AB354" i="9"/>
  <c r="AB352" i="9"/>
  <c r="AB350" i="9"/>
  <c r="AB348" i="9"/>
  <c r="AB344" i="9"/>
  <c r="AB343" i="9"/>
  <c r="AB338" i="9"/>
  <c r="AB336" i="9"/>
  <c r="AB333" i="9"/>
  <c r="AB331" i="9"/>
  <c r="AB329" i="9"/>
  <c r="AB327" i="9"/>
  <c r="AB324" i="9"/>
  <c r="AB321" i="9"/>
  <c r="AB319" i="9"/>
  <c r="AB317" i="9"/>
  <c r="AB315" i="9"/>
  <c r="AB312" i="9"/>
  <c r="AB310" i="9"/>
  <c r="AB308" i="9"/>
  <c r="AB306" i="9"/>
  <c r="AB302" i="9"/>
  <c r="AB300" i="9"/>
  <c r="AB298" i="9"/>
  <c r="AB296" i="9"/>
  <c r="AB294" i="9"/>
  <c r="AB292" i="9"/>
  <c r="AB291" i="9"/>
  <c r="AB289" i="9"/>
  <c r="AB287" i="9"/>
  <c r="AB285" i="9"/>
  <c r="AB283" i="9"/>
  <c r="AB279" i="9"/>
  <c r="AB278" i="9"/>
  <c r="AB275" i="9"/>
  <c r="AB274" i="9"/>
  <c r="AB270" i="9"/>
  <c r="AB259" i="9"/>
  <c r="AB256" i="9"/>
  <c r="AB254" i="9"/>
  <c r="AB251" i="9"/>
  <c r="AB247" i="9"/>
  <c r="AB245" i="9"/>
  <c r="AB243" i="9"/>
  <c r="AB242" i="9"/>
  <c r="AB239" i="9"/>
  <c r="AB236" i="9"/>
  <c r="AB234" i="9"/>
  <c r="AB230" i="9"/>
  <c r="AB227" i="9"/>
  <c r="AB224" i="9"/>
  <c r="AB223" i="9"/>
  <c r="AB220" i="9"/>
  <c r="AB217" i="9"/>
  <c r="AB215" i="9"/>
  <c r="AB214" i="9"/>
  <c r="AB211" i="9"/>
  <c r="AB210" i="9"/>
  <c r="AB431" i="9"/>
  <c r="AB208" i="9"/>
  <c r="AB207" i="9"/>
  <c r="AB203" i="9"/>
  <c r="AB200" i="9"/>
  <c r="AB197" i="9"/>
  <c r="AB194" i="9"/>
  <c r="AB192" i="9"/>
  <c r="AB190" i="9"/>
  <c r="AB187" i="9"/>
  <c r="AB186" i="9"/>
  <c r="AB184" i="9"/>
  <c r="AB182" i="9"/>
  <c r="AB180" i="9"/>
  <c r="AB178" i="9"/>
  <c r="AB176" i="9"/>
  <c r="AB174" i="9"/>
  <c r="AB172" i="9"/>
  <c r="AB170" i="9"/>
  <c r="AB165" i="9"/>
  <c r="AB163" i="9"/>
  <c r="AB161" i="9"/>
  <c r="AB159" i="9"/>
  <c r="AB157" i="9"/>
  <c r="AB153" i="9"/>
  <c r="AB152" i="9"/>
  <c r="AB146" i="9"/>
  <c r="AB142" i="9"/>
  <c r="AB140" i="9"/>
  <c r="AB138" i="9"/>
  <c r="AB136" i="9"/>
  <c r="AB133" i="9"/>
  <c r="AB130" i="9"/>
  <c r="AB128" i="9"/>
  <c r="AB124" i="9"/>
  <c r="AB121" i="9"/>
  <c r="AB119" i="9"/>
  <c r="AB117" i="9"/>
  <c r="AB115" i="9"/>
  <c r="AB113" i="9"/>
  <c r="AB109" i="9"/>
  <c r="AB107" i="9"/>
  <c r="AB104" i="9"/>
  <c r="AB100" i="9"/>
  <c r="AB97" i="9"/>
  <c r="AB95" i="9"/>
  <c r="AB93" i="9"/>
  <c r="AB91" i="9"/>
  <c r="AB89" i="9"/>
  <c r="AB87" i="9"/>
  <c r="AB85" i="9"/>
  <c r="AB83" i="9"/>
  <c r="AB81" i="9"/>
  <c r="AB80" i="9"/>
  <c r="AB77" i="9"/>
  <c r="AB75" i="9"/>
  <c r="AB62" i="9"/>
  <c r="AB61" i="9"/>
  <c r="AB59" i="9"/>
  <c r="AB55" i="9"/>
  <c r="AB52" i="9"/>
  <c r="AB46" i="9"/>
  <c r="AB43" i="9"/>
  <c r="AB41" i="9"/>
  <c r="AB37" i="9"/>
  <c r="AB35" i="9"/>
  <c r="AB32" i="9"/>
  <c r="AB28" i="9"/>
  <c r="AB25" i="9"/>
  <c r="AB20" i="9"/>
  <c r="AB15" i="9"/>
  <c r="AB11" i="9"/>
  <c r="AB7" i="9"/>
  <c r="AB6" i="9"/>
  <c r="AB3" i="9"/>
  <c r="AA411" i="9"/>
  <c r="AA410" i="9"/>
  <c r="AA396" i="9"/>
  <c r="AA389" i="9"/>
  <c r="AA388" i="9"/>
  <c r="AA386" i="9"/>
  <c r="AA381" i="9"/>
  <c r="AA374" i="9"/>
  <c r="AA372" i="9"/>
  <c r="AA369" i="9"/>
  <c r="AA361" i="9"/>
  <c r="AA359" i="9"/>
  <c r="AA356" i="9"/>
  <c r="AA354" i="9"/>
  <c r="AA352" i="9"/>
  <c r="AA350" i="9"/>
  <c r="AA348" i="9"/>
  <c r="AA344" i="9"/>
  <c r="AA343" i="9"/>
  <c r="AA338" i="9"/>
  <c r="AA336" i="9"/>
  <c r="AA333" i="9"/>
  <c r="AA331" i="9"/>
  <c r="AA329" i="9"/>
  <c r="AA327" i="9"/>
  <c r="AA324" i="9"/>
  <c r="AA321" i="9"/>
  <c r="AA319" i="9"/>
  <c r="AA317" i="9"/>
  <c r="AA315" i="9"/>
  <c r="AA312" i="9"/>
  <c r="AA310" i="9"/>
  <c r="AA308" i="9"/>
  <c r="AA306" i="9"/>
  <c r="AA302" i="9"/>
  <c r="AA300" i="9"/>
  <c r="AA298" i="9"/>
  <c r="AA296" i="9"/>
  <c r="AA294" i="9"/>
  <c r="AA292" i="9"/>
  <c r="AA291" i="9"/>
  <c r="AA289" i="9"/>
  <c r="AA287" i="9"/>
  <c r="AA285" i="9"/>
  <c r="AA283" i="9"/>
  <c r="AA279" i="9"/>
  <c r="AA278" i="9"/>
  <c r="AA275" i="9"/>
  <c r="AA274" i="9"/>
  <c r="AA270" i="9"/>
  <c r="AA259" i="9"/>
  <c r="AA256" i="9"/>
  <c r="AA254" i="9"/>
  <c r="AA251" i="9"/>
  <c r="AA247" i="9"/>
  <c r="AA245" i="9"/>
  <c r="AA243" i="9"/>
  <c r="AA242" i="9"/>
  <c r="AA239" i="9"/>
  <c r="AA236" i="9"/>
  <c r="AA234" i="9"/>
  <c r="AA230" i="9"/>
  <c r="AA227" i="9"/>
  <c r="AA224" i="9"/>
  <c r="AA223" i="9"/>
  <c r="AA220" i="9"/>
  <c r="AA217" i="9"/>
  <c r="AA215" i="9"/>
  <c r="AA214" i="9"/>
  <c r="AA211" i="9"/>
  <c r="AA210" i="9"/>
  <c r="AA208" i="9"/>
  <c r="AA207" i="9"/>
  <c r="AA203" i="9"/>
  <c r="AA200" i="9"/>
  <c r="AA197" i="9"/>
  <c r="AA194" i="9"/>
  <c r="AA192" i="9"/>
  <c r="AA190" i="9"/>
  <c r="AA187" i="9"/>
  <c r="AA186" i="9"/>
  <c r="AA184" i="9"/>
  <c r="AA182" i="9"/>
  <c r="AA180" i="9"/>
  <c r="AA178" i="9"/>
  <c r="AA176" i="9"/>
  <c r="AA174" i="9"/>
  <c r="AA172" i="9"/>
  <c r="AA170" i="9"/>
  <c r="AA165" i="9"/>
  <c r="AA163" i="9"/>
  <c r="AA161" i="9"/>
  <c r="AA159" i="9"/>
  <c r="AA157" i="9"/>
  <c r="AA153" i="9"/>
  <c r="AA152" i="9"/>
  <c r="AA146" i="9"/>
  <c r="AA142" i="9"/>
  <c r="AA140" i="9"/>
  <c r="AA138" i="9"/>
  <c r="AA136" i="9"/>
  <c r="AA133" i="9"/>
  <c r="AA130" i="9"/>
  <c r="AA128" i="9"/>
  <c r="AA124" i="9"/>
  <c r="AA121" i="9"/>
  <c r="AA119" i="9"/>
  <c r="AA117" i="9"/>
  <c r="AA115" i="9"/>
  <c r="AA113" i="9"/>
  <c r="AA109" i="9"/>
  <c r="AA107" i="9"/>
  <c r="AA104" i="9"/>
  <c r="AA100" i="9"/>
  <c r="AA97" i="9"/>
  <c r="AA95" i="9"/>
  <c r="AA93" i="9"/>
  <c r="AA91" i="9"/>
  <c r="AA89" i="9"/>
  <c r="AA87" i="9"/>
  <c r="AA85" i="9"/>
  <c r="AA83" i="9"/>
  <c r="AA81" i="9"/>
  <c r="AA80" i="9"/>
  <c r="AA77" i="9"/>
  <c r="AA75" i="9"/>
  <c r="AA62" i="9"/>
  <c r="AA61" i="9"/>
  <c r="AA59" i="9"/>
  <c r="AA55" i="9"/>
  <c r="AA52" i="9"/>
  <c r="AA46" i="9"/>
  <c r="AA43" i="9"/>
  <c r="AA41" i="9"/>
  <c r="AA37" i="9"/>
  <c r="AA35" i="9"/>
  <c r="AA32" i="9"/>
  <c r="AA28" i="9"/>
  <c r="AA25" i="9"/>
  <c r="AA20" i="9"/>
  <c r="AA15" i="9"/>
  <c r="AA11" i="9"/>
  <c r="AA7" i="9"/>
  <c r="AA6" i="9"/>
  <c r="AA3" i="9"/>
  <c r="AE262" i="9"/>
  <c r="AF262" i="9"/>
  <c r="AD262" i="9"/>
  <c r="AE148" i="9"/>
  <c r="AF148" i="9"/>
  <c r="AD148" i="9"/>
  <c r="AE70" i="9"/>
  <c r="AF70" i="9"/>
  <c r="AD70" i="9"/>
  <c r="AE66" i="9"/>
  <c r="AF66" i="9"/>
  <c r="AD66" i="9"/>
  <c r="AE398" i="9"/>
  <c r="AF398" i="9"/>
  <c r="AD398" i="9"/>
  <c r="AE390" i="9"/>
  <c r="AF390" i="9"/>
  <c r="AD390" i="9"/>
  <c r="AE365" i="9"/>
  <c r="AF365" i="9"/>
  <c r="AD365" i="9"/>
  <c r="AE362" i="9"/>
  <c r="AF362" i="9"/>
  <c r="AD362" i="9"/>
  <c r="AF413" i="9" l="1"/>
  <c r="AD413" i="9"/>
  <c r="AE413" i="9"/>
</calcChain>
</file>

<file path=xl/sharedStrings.xml><?xml version="1.0" encoding="utf-8"?>
<sst xmlns="http://schemas.openxmlformats.org/spreadsheetml/2006/main" count="14642" uniqueCount="744">
  <si>
    <t>FARM</t>
  </si>
  <si>
    <t>farm name</t>
  </si>
  <si>
    <t>CITY</t>
  </si>
  <si>
    <t>city/town farm is located</t>
  </si>
  <si>
    <t>LAT</t>
  </si>
  <si>
    <t>latitude coordinate of the farm from the given contract/year</t>
  </si>
  <si>
    <t>LONG</t>
  </si>
  <si>
    <t>longitude coordinate of the farm from the given contract/year</t>
  </si>
  <si>
    <t>STREAM</t>
  </si>
  <si>
    <t>stream ID associated with the given contract</t>
  </si>
  <si>
    <t>ID</t>
  </si>
  <si>
    <t>farmer's contract ID number</t>
  </si>
  <si>
    <t>CONTRACT</t>
  </si>
  <si>
    <t>contract number based on the BMP implemented</t>
  </si>
  <si>
    <t>BMP</t>
  </si>
  <si>
    <t>Best management practice implemented</t>
  </si>
  <si>
    <t>BMP_ID</t>
  </si>
  <si>
    <t>NRCS ID associated with the given BMP</t>
  </si>
  <si>
    <t>START</t>
  </si>
  <si>
    <t>practice implementation start date</t>
  </si>
  <si>
    <t>END</t>
  </si>
  <si>
    <t>practice implementation end date</t>
  </si>
  <si>
    <t>ACRES</t>
  </si>
  <si>
    <t xml:space="preserve">number of acres the BMP was applied to </t>
  </si>
  <si>
    <t>FLAG</t>
  </si>
  <si>
    <t>the * is flagging entries with missing ACRES amounts that currentled are noted as 0</t>
  </si>
  <si>
    <t>329_TOTAL</t>
  </si>
  <si>
    <t>sum of conservation tillage acres for the given producer across all contract/years</t>
  </si>
  <si>
    <t>340_TOTAL</t>
  </si>
  <si>
    <t>sum of cover crop acres for the given producer across all contract/years</t>
  </si>
  <si>
    <t>RED_N</t>
  </si>
  <si>
    <t>nitrogen reduction in lbs/yr</t>
  </si>
  <si>
    <t>RED_P</t>
  </si>
  <si>
    <t>phosphorus reduction in lbs/yr</t>
  </si>
  <si>
    <t>RED_S</t>
  </si>
  <si>
    <t>sediment reduction in lbs/yr</t>
  </si>
  <si>
    <t>OTHER</t>
  </si>
  <si>
    <t>other notes</t>
  </si>
  <si>
    <t>PAID_DATE</t>
  </si>
  <si>
    <t>date the producer was paid for the respective practice (based on voucher details)</t>
  </si>
  <si>
    <t>319_AMOUNT</t>
  </si>
  <si>
    <t>amount the producer was paid from the 319 funds</t>
  </si>
  <si>
    <t>CWSRF-WQ_AMOUNT</t>
  </si>
  <si>
    <t>LOCAL_AMOUNT</t>
  </si>
  <si>
    <t>amount the producer was paid from a local source</t>
  </si>
  <si>
    <t>TOTAL_AMOUNT</t>
  </si>
  <si>
    <t>total amount the producer was paid</t>
  </si>
  <si>
    <t>NAME_LAST</t>
  </si>
  <si>
    <t>NAME_FIRST</t>
  </si>
  <si>
    <t>Arbeiter</t>
  </si>
  <si>
    <t>Robert</t>
  </si>
  <si>
    <t>Arbeiter Farms</t>
  </si>
  <si>
    <t>Huron</t>
  </si>
  <si>
    <t>SD-JA-R-JAMES_08</t>
  </si>
  <si>
    <t>O1-T1-P2</t>
  </si>
  <si>
    <t>Conservation Tillage Residue Management</t>
  </si>
  <si>
    <t>O1-T1-P3</t>
  </si>
  <si>
    <t xml:space="preserve">Cover Crop </t>
  </si>
  <si>
    <t>O1-T1-P7</t>
  </si>
  <si>
    <t>Grazing Planned Systems</t>
  </si>
  <si>
    <t>Bainbridge</t>
  </si>
  <si>
    <t xml:space="preserve">Matthew </t>
  </si>
  <si>
    <t>Bainbridge Farms</t>
  </si>
  <si>
    <t>Ethan</t>
  </si>
  <si>
    <t>SD-JA-R-JAMES_10</t>
  </si>
  <si>
    <t>2023-5</t>
  </si>
  <si>
    <t>Blaalid</t>
  </si>
  <si>
    <t>Mike</t>
  </si>
  <si>
    <t>Big Blue Cattle Co.</t>
  </si>
  <si>
    <t>Mitchell</t>
  </si>
  <si>
    <t>2021-1001</t>
  </si>
  <si>
    <t>O1-T2-P6</t>
  </si>
  <si>
    <t>Pollinator Habitat</t>
  </si>
  <si>
    <t>DIA 148</t>
  </si>
  <si>
    <t>2022-0008</t>
  </si>
  <si>
    <t>O1-T2-P7</t>
  </si>
  <si>
    <t>no payment record</t>
  </si>
  <si>
    <t>Bly</t>
  </si>
  <si>
    <t>Anthony</t>
  </si>
  <si>
    <t>Bly Farm</t>
  </si>
  <si>
    <t>Garretson</t>
  </si>
  <si>
    <t>SD-BS-R-BEAVER_02</t>
  </si>
  <si>
    <t>2021-9997</t>
  </si>
  <si>
    <t>O1-T1-P1</t>
  </si>
  <si>
    <t>Conservation Crop Rotation</t>
  </si>
  <si>
    <t>2022-9003</t>
  </si>
  <si>
    <t>Boekelheide</t>
  </si>
  <si>
    <t>Alex</t>
  </si>
  <si>
    <t>Boekelheide and Sons</t>
  </si>
  <si>
    <t>Northville</t>
  </si>
  <si>
    <t>SD-JA-R-SNAKE_02</t>
  </si>
  <si>
    <t>SD-JA-R-SNAKE_03</t>
  </si>
  <si>
    <t>Mark</t>
  </si>
  <si>
    <t>Diane and Mark Boekelheide</t>
  </si>
  <si>
    <t>SD-JA-R-SNAKE_01</t>
  </si>
  <si>
    <t>OO2</t>
  </si>
  <si>
    <t>Brockmueller</t>
  </si>
  <si>
    <t>Brent</t>
  </si>
  <si>
    <t>Scenic View Farm</t>
  </si>
  <si>
    <t>Freeman</t>
  </si>
  <si>
    <t>SD-VM-R-VERMILLION_01</t>
  </si>
  <si>
    <t>2023-1007</t>
  </si>
  <si>
    <t>2023-1008</t>
  </si>
  <si>
    <t>2023-1009</t>
  </si>
  <si>
    <t>2023-1010</t>
  </si>
  <si>
    <t>O1-T1-P4</t>
  </si>
  <si>
    <t>Myles</t>
  </si>
  <si>
    <t>Brockmueller Farm</t>
  </si>
  <si>
    <t>2023-1004</t>
  </si>
  <si>
    <t>Bultje</t>
  </si>
  <si>
    <t>Brice</t>
  </si>
  <si>
    <t>Bultje Farm</t>
  </si>
  <si>
    <t>Lake Andes</t>
  </si>
  <si>
    <t>SD-MI-R-CHOTEAU_01</t>
  </si>
  <si>
    <t>2023-1001</t>
  </si>
  <si>
    <t>Burgraff</t>
  </si>
  <si>
    <t>Lincoln</t>
  </si>
  <si>
    <t>Heiberger Farms</t>
  </si>
  <si>
    <t>Hartford</t>
  </si>
  <si>
    <t>SKUNK_01</t>
  </si>
  <si>
    <t>2021-9991</t>
  </si>
  <si>
    <t>Carlson</t>
  </si>
  <si>
    <t>Bruce</t>
  </si>
  <si>
    <t>Carlson Farm</t>
  </si>
  <si>
    <t>2021-9998</t>
  </si>
  <si>
    <t>2022-9001</t>
  </si>
  <si>
    <t>Scott</t>
  </si>
  <si>
    <t>Lake Preston</t>
  </si>
  <si>
    <t>SD-BS-R-BIG_SIOUX_04</t>
  </si>
  <si>
    <t>2021-9994</t>
  </si>
  <si>
    <t>SD-VM-R-VERMILLION_E_FORK_01</t>
  </si>
  <si>
    <t>2024-3005</t>
  </si>
  <si>
    <t>O1-T2-P5</t>
  </si>
  <si>
    <t>Grass Seeding</t>
  </si>
  <si>
    <t>Devine</t>
  </si>
  <si>
    <t>Jesse</t>
  </si>
  <si>
    <t>Devine Farm</t>
  </si>
  <si>
    <t>SD-JA-R-JAMES_11</t>
  </si>
  <si>
    <t>Travis</t>
  </si>
  <si>
    <t>Yankton</t>
  </si>
  <si>
    <t>Edinger</t>
  </si>
  <si>
    <t>Chet</t>
  </si>
  <si>
    <t>Edinger Brothers Partnership</t>
  </si>
  <si>
    <t>SD-JA-R-FIRESTEEL_01</t>
  </si>
  <si>
    <t>2021-9993</t>
  </si>
  <si>
    <t>*</t>
  </si>
  <si>
    <t>Edwards</t>
  </si>
  <si>
    <t>Ty</t>
  </si>
  <si>
    <t>Edwards Farm</t>
  </si>
  <si>
    <t>Frederick</t>
  </si>
  <si>
    <t>SD-JA-R-ELM_01</t>
  </si>
  <si>
    <t>2023-6</t>
  </si>
  <si>
    <t>Eliason</t>
  </si>
  <si>
    <t>Carl</t>
  </si>
  <si>
    <t>Eliason Farm</t>
  </si>
  <si>
    <t>Renner</t>
  </si>
  <si>
    <t>SD-BS-R-SKUNK_01</t>
  </si>
  <si>
    <t>2021-9999</t>
  </si>
  <si>
    <t>2021-10000</t>
  </si>
  <si>
    <t>2022-9004</t>
  </si>
  <si>
    <t>2022-9005</t>
  </si>
  <si>
    <t>2023-1003</t>
  </si>
  <si>
    <t>2023-1005</t>
  </si>
  <si>
    <t>2023-1006</t>
  </si>
  <si>
    <t>2024-1009</t>
  </si>
  <si>
    <t>Fagerland</t>
  </si>
  <si>
    <t>Dennis</t>
  </si>
  <si>
    <t>Fagerland Farm</t>
  </si>
  <si>
    <t>Langford</t>
  </si>
  <si>
    <t>SD-JA-R-JAMES_04</t>
  </si>
  <si>
    <t>Falk</t>
  </si>
  <si>
    <t>Wade</t>
  </si>
  <si>
    <t>Wade Falk</t>
  </si>
  <si>
    <t>Stockholm</t>
  </si>
  <si>
    <t>SD-MN-R-YELLOW_BANK_N_FORK_01</t>
  </si>
  <si>
    <t>Fathke</t>
  </si>
  <si>
    <t>Jed</t>
  </si>
  <si>
    <t>J. Fathke Farm</t>
  </si>
  <si>
    <t>Avon</t>
  </si>
  <si>
    <t>SD-MI-R-EMANUEL_01</t>
  </si>
  <si>
    <t>2021-315</t>
  </si>
  <si>
    <t xml:space="preserve">Frick </t>
  </si>
  <si>
    <t>Justin</t>
  </si>
  <si>
    <t>Frick Farm</t>
  </si>
  <si>
    <t>2021-3000</t>
  </si>
  <si>
    <t>Gassman</t>
  </si>
  <si>
    <t>Cole</t>
  </si>
  <si>
    <t>Gassman Farms</t>
  </si>
  <si>
    <t>Canova</t>
  </si>
  <si>
    <t>SD-JA-R-JAMES_09</t>
  </si>
  <si>
    <t>2022-0021</t>
  </si>
  <si>
    <t>2022-0022</t>
  </si>
  <si>
    <t>SD-JA-R-WOLF_01</t>
  </si>
  <si>
    <t>2022-0019</t>
  </si>
  <si>
    <t>Graber</t>
  </si>
  <si>
    <t>Calvin</t>
  </si>
  <si>
    <t>Cooper and Jerika Gordon</t>
  </si>
  <si>
    <t>Tulare</t>
  </si>
  <si>
    <t>Jay</t>
  </si>
  <si>
    <t>Graber Jerseys INC</t>
  </si>
  <si>
    <t>Parker</t>
  </si>
  <si>
    <t>Jon</t>
  </si>
  <si>
    <t>Graber Farms</t>
  </si>
  <si>
    <t>SD-VM-R-VERMILLION_WEST_FORK_01_USGS</t>
  </si>
  <si>
    <t>Grubl</t>
  </si>
  <si>
    <t>Christopher</t>
  </si>
  <si>
    <t>Grubl Farm</t>
  </si>
  <si>
    <t>Sturgis</t>
  </si>
  <si>
    <t>SD-BF-R-BELLE_FOURCHE_04</t>
  </si>
  <si>
    <t>Hacecky</t>
  </si>
  <si>
    <t>Jake</t>
  </si>
  <si>
    <t>Jacob Hacecky Farms</t>
  </si>
  <si>
    <t>Mission Hill</t>
  </si>
  <si>
    <t>2021-01</t>
  </si>
  <si>
    <t>Hanson</t>
  </si>
  <si>
    <t>Jared</t>
  </si>
  <si>
    <t>Hanson Farm</t>
  </si>
  <si>
    <t>Winner</t>
  </si>
  <si>
    <t>SD-NI-R-KEYA_PAHA_01</t>
  </si>
  <si>
    <t>2022-0013</t>
  </si>
  <si>
    <t>Hanten</t>
  </si>
  <si>
    <t>Hanten Farms</t>
  </si>
  <si>
    <t>Watertown</t>
  </si>
  <si>
    <t>SD-BS-R-BIG_SIOUX_01</t>
  </si>
  <si>
    <t>Hauglid</t>
  </si>
  <si>
    <t>Larry</t>
  </si>
  <si>
    <t>Hauglid Farm</t>
  </si>
  <si>
    <t>Dell Rapids</t>
  </si>
  <si>
    <t>SD-BS-R-BIG_SIOUX_08</t>
  </si>
  <si>
    <t>Hearnen</t>
  </si>
  <si>
    <t>Don</t>
  </si>
  <si>
    <t>Hearnen Farms</t>
  </si>
  <si>
    <t>Conde</t>
  </si>
  <si>
    <t>SD-JA-R-MUD_01</t>
  </si>
  <si>
    <t>Hofer</t>
  </si>
  <si>
    <t>Hofer Farm</t>
  </si>
  <si>
    <t>2022-0009</t>
  </si>
  <si>
    <t>Hohn</t>
  </si>
  <si>
    <t>Hohn Farm</t>
  </si>
  <si>
    <t>Dimock</t>
  </si>
  <si>
    <t>O1</t>
  </si>
  <si>
    <t>Sutton</t>
  </si>
  <si>
    <t>Hohn Red Angus</t>
  </si>
  <si>
    <t>Hornig</t>
  </si>
  <si>
    <t>Nathan</t>
  </si>
  <si>
    <t>Hornig Farms</t>
  </si>
  <si>
    <t>SD-JA-R-JAMES_07</t>
  </si>
  <si>
    <t>2022-0012</t>
  </si>
  <si>
    <t>Jerke</t>
  </si>
  <si>
    <t>Jerke Farm</t>
  </si>
  <si>
    <t>Scottland</t>
  </si>
  <si>
    <t>2022-0003</t>
  </si>
  <si>
    <t>2023-0001</t>
  </si>
  <si>
    <t>2024-1013</t>
  </si>
  <si>
    <t>Johanson</t>
  </si>
  <si>
    <t>Lee</t>
  </si>
  <si>
    <t>Johanson Farm</t>
  </si>
  <si>
    <t>Flandreau</t>
  </si>
  <si>
    <t>SD-BS-R-BIG_SIOUX_07</t>
  </si>
  <si>
    <t>2022-0002</t>
  </si>
  <si>
    <t>Kizer</t>
  </si>
  <si>
    <t>Brian</t>
  </si>
  <si>
    <t>Kizer Farm</t>
  </si>
  <si>
    <t>Howard</t>
  </si>
  <si>
    <t>2022-0015</t>
  </si>
  <si>
    <t>Knecht</t>
  </si>
  <si>
    <t>Ricky</t>
  </si>
  <si>
    <t>Knecht Farm</t>
  </si>
  <si>
    <t>Platte</t>
  </si>
  <si>
    <t>SD-MI-R-FRANCIS_CASE_01</t>
  </si>
  <si>
    <t>2022-0014</t>
  </si>
  <si>
    <t>Kruger</t>
  </si>
  <si>
    <t>David</t>
  </si>
  <si>
    <t>Kruger Farms LLC</t>
  </si>
  <si>
    <t>Twin Brooks</t>
  </si>
  <si>
    <t>SD-MN-R-WHETSTONE_S_FORK_02</t>
  </si>
  <si>
    <t>Prescribed Grazing</t>
  </si>
  <si>
    <t>not in tracker yet</t>
  </si>
  <si>
    <t>Larson</t>
  </si>
  <si>
    <t>Ryan</t>
  </si>
  <si>
    <t>Larson Farm</t>
  </si>
  <si>
    <t>SD-BS-R-SPLIT_ROCK_01_USGS</t>
  </si>
  <si>
    <t>2021-9996</t>
  </si>
  <si>
    <t>2022-9002</t>
  </si>
  <si>
    <t>Leighton</t>
  </si>
  <si>
    <t>Jordan</t>
  </si>
  <si>
    <t>Leighton Farm</t>
  </si>
  <si>
    <t>2022-0004</t>
  </si>
  <si>
    <t>Limmer</t>
  </si>
  <si>
    <t>Dan</t>
  </si>
  <si>
    <t>Sustained Horizons</t>
  </si>
  <si>
    <t>Lake Norden</t>
  </si>
  <si>
    <t>OO1</t>
  </si>
  <si>
    <t>Lukonen</t>
  </si>
  <si>
    <t>Grant</t>
  </si>
  <si>
    <t>Lukonen Livestock</t>
  </si>
  <si>
    <t>Mehlhaf</t>
  </si>
  <si>
    <t>Mitchel</t>
  </si>
  <si>
    <t>Mehlhaf Farms</t>
  </si>
  <si>
    <t>Mertens</t>
  </si>
  <si>
    <t>Darin</t>
  </si>
  <si>
    <t>Darin Mertens Farm</t>
  </si>
  <si>
    <t>Milbank</t>
  </si>
  <si>
    <t>MCC Crooked Creek Ranch</t>
  </si>
  <si>
    <t>Livestock Pipeline</t>
  </si>
  <si>
    <t>Fence</t>
  </si>
  <si>
    <t>Rural Water Hook-up</t>
  </si>
  <si>
    <t>Tank/Trough</t>
  </si>
  <si>
    <t>Mills</t>
  </si>
  <si>
    <t>Mills Ranch</t>
  </si>
  <si>
    <t>Nisland</t>
  </si>
  <si>
    <t>SD-BF-R-BELLE_FOURCHE_02</t>
  </si>
  <si>
    <t>2021-2001</t>
  </si>
  <si>
    <t xml:space="preserve">Ollila </t>
  </si>
  <si>
    <t>Dave</t>
  </si>
  <si>
    <t>Ollila Farm</t>
  </si>
  <si>
    <t>Newell</t>
  </si>
  <si>
    <t>SD-BF-R-BELLE_FOURCHE_03</t>
  </si>
  <si>
    <t>2020-100</t>
  </si>
  <si>
    <t>Preheim</t>
  </si>
  <si>
    <t>Lyle</t>
  </si>
  <si>
    <t>Preheim Farms</t>
  </si>
  <si>
    <t>Rabinowitz</t>
  </si>
  <si>
    <t>Ruth</t>
  </si>
  <si>
    <t>Ruth Rabinowitz Trust</t>
  </si>
  <si>
    <t xml:space="preserve">St. Charles </t>
  </si>
  <si>
    <t>Ratzlaff</t>
  </si>
  <si>
    <t>Ron &amp; Cal</t>
  </si>
  <si>
    <t>ARC Farms</t>
  </si>
  <si>
    <t>Steve</t>
  </si>
  <si>
    <t>Rausch</t>
  </si>
  <si>
    <t>Michael</t>
  </si>
  <si>
    <t>Rausch Herefords LLC</t>
  </si>
  <si>
    <t>Hoven</t>
  </si>
  <si>
    <t>SD-MI-R-OAHE_01</t>
  </si>
  <si>
    <t>Shannon</t>
  </si>
  <si>
    <t>Rausch Farms</t>
  </si>
  <si>
    <t>2023-7</t>
  </si>
  <si>
    <t>Reimnitz</t>
  </si>
  <si>
    <t>Richard</t>
  </si>
  <si>
    <t>Reimnitz Farm</t>
  </si>
  <si>
    <t>2022-0023</t>
  </si>
  <si>
    <t>Trent</t>
  </si>
  <si>
    <t>2022-0024</t>
  </si>
  <si>
    <t>Samson</t>
  </si>
  <si>
    <t>Curtis</t>
  </si>
  <si>
    <t>Samson Farms</t>
  </si>
  <si>
    <t>Eden</t>
  </si>
  <si>
    <t>2023-2</t>
  </si>
  <si>
    <t>Micah</t>
  </si>
  <si>
    <t>2023-1</t>
  </si>
  <si>
    <t>Mitchell Samson Farm</t>
  </si>
  <si>
    <t>Schaeffer</t>
  </si>
  <si>
    <t>Andrew</t>
  </si>
  <si>
    <t>Schaeffer Farm</t>
  </si>
  <si>
    <t>Menno</t>
  </si>
  <si>
    <t>2022-0011</t>
  </si>
  <si>
    <t>Stahl</t>
  </si>
  <si>
    <t>Johnny</t>
  </si>
  <si>
    <t>Newport Hutterian Brethren</t>
  </si>
  <si>
    <t>Claremont</t>
  </si>
  <si>
    <t>Staufer</t>
  </si>
  <si>
    <t>Staufer Farm</t>
  </si>
  <si>
    <t>SD-BS-R-BIG_SIOUX_03</t>
  </si>
  <si>
    <t>2023-1002</t>
  </si>
  <si>
    <t>2024-3001</t>
  </si>
  <si>
    <t>Stehly</t>
  </si>
  <si>
    <t>Craig</t>
  </si>
  <si>
    <t>Stehly Farms</t>
  </si>
  <si>
    <t>Steiner</t>
  </si>
  <si>
    <t>Art</t>
  </si>
  <si>
    <t>Steiner Farms</t>
  </si>
  <si>
    <t>2023-4</t>
  </si>
  <si>
    <t>Stiefvater</t>
  </si>
  <si>
    <t>Kurt</t>
  </si>
  <si>
    <t>Steifvater Farm</t>
  </si>
  <si>
    <t>Salem</t>
  </si>
  <si>
    <t>SD-VM-R-LITTLE_VERMILLION_01_USGS</t>
  </si>
  <si>
    <t>2021-9992</t>
  </si>
  <si>
    <t>Suelflow</t>
  </si>
  <si>
    <t>Reid</t>
  </si>
  <si>
    <t>Suelflow Farm</t>
  </si>
  <si>
    <t>White Lake</t>
  </si>
  <si>
    <t>SD-MI-R-PLATTE_01_USGS</t>
  </si>
  <si>
    <t>2022-0007</t>
  </si>
  <si>
    <t>5380ft streambank protection</t>
  </si>
  <si>
    <t>Swanson</t>
  </si>
  <si>
    <t>Aaron</t>
  </si>
  <si>
    <t>Swanson Farm</t>
  </si>
  <si>
    <t>Thomas</t>
  </si>
  <si>
    <t>Jim</t>
  </si>
  <si>
    <t>Thomas Farm</t>
  </si>
  <si>
    <t>2022-0018</t>
  </si>
  <si>
    <t>Thompson</t>
  </si>
  <si>
    <t>Thompson Farms</t>
  </si>
  <si>
    <t>Sisseton</t>
  </si>
  <si>
    <t>SD-MN-R-LITTLE_MINNESOTA_01</t>
  </si>
  <si>
    <t>Tostenson</t>
  </si>
  <si>
    <t>Jeremy</t>
  </si>
  <si>
    <t>Tostenson Farms</t>
  </si>
  <si>
    <t>SD-MN-R-WHETSTONE_S_FORK_01</t>
  </si>
  <si>
    <t>Kristin</t>
  </si>
  <si>
    <t>Tostenson Grain and Cattle</t>
  </si>
  <si>
    <t>Norma</t>
  </si>
  <si>
    <t>Tostensons</t>
  </si>
  <si>
    <t>Townsend</t>
  </si>
  <si>
    <t>Zachary</t>
  </si>
  <si>
    <t>Townsend Farms LLC.</t>
  </si>
  <si>
    <t>Andover</t>
  </si>
  <si>
    <t>SD-JA-R-JAMES_06</t>
  </si>
  <si>
    <t>Traxinger</t>
  </si>
  <si>
    <t>Traxinger Farm</t>
  </si>
  <si>
    <t>Houghton</t>
  </si>
  <si>
    <t>Tuntland</t>
  </si>
  <si>
    <t>Tuntland Farm</t>
  </si>
  <si>
    <t>Beresford</t>
  </si>
  <si>
    <t>SD-VM-R-LONG_01</t>
  </si>
  <si>
    <t>2021-9995</t>
  </si>
  <si>
    <t>SD-BS-R-EAST_BRULE_01</t>
  </si>
  <si>
    <t>2024-3006</t>
  </si>
  <si>
    <t>Veldkamp</t>
  </si>
  <si>
    <t>Darwin</t>
  </si>
  <si>
    <t>Veldkamp Farm</t>
  </si>
  <si>
    <t>SD-BS-R-PIPESTONE_01</t>
  </si>
  <si>
    <t>Waldner</t>
  </si>
  <si>
    <t>James</t>
  </si>
  <si>
    <t>Orland Farms</t>
  </si>
  <si>
    <t>Montrose</t>
  </si>
  <si>
    <t>2021-1163</t>
  </si>
  <si>
    <t>2022-0010</t>
  </si>
  <si>
    <t>Johnathan</t>
  </si>
  <si>
    <t>Bon Homme Colony</t>
  </si>
  <si>
    <t>Tabor</t>
  </si>
  <si>
    <t>SD-MI-R-LEWIS_AND_CLARK_01</t>
  </si>
  <si>
    <t>2023-3003</t>
  </si>
  <si>
    <t>2024-1020</t>
  </si>
  <si>
    <t>Walter</t>
  </si>
  <si>
    <t>Wyatt</t>
  </si>
  <si>
    <t>Walter Farm</t>
  </si>
  <si>
    <t>2022-0005</t>
  </si>
  <si>
    <t>Waltner</t>
  </si>
  <si>
    <t>Anne</t>
  </si>
  <si>
    <t>Waltner Farm</t>
  </si>
  <si>
    <t>Contour Buffer Strips</t>
  </si>
  <si>
    <t>Keith</t>
  </si>
  <si>
    <t>Keith Waltner Farm</t>
  </si>
  <si>
    <t>Weber</t>
  </si>
  <si>
    <t>Weber Farm</t>
  </si>
  <si>
    <t>2022-0006</t>
  </si>
  <si>
    <t>Wingen</t>
  </si>
  <si>
    <t>Wingen Farm</t>
  </si>
  <si>
    <t>Wipf</t>
  </si>
  <si>
    <t>Paul</t>
  </si>
  <si>
    <t>Spink Colony</t>
  </si>
  <si>
    <t>Frankfort</t>
  </si>
  <si>
    <t>Wirth</t>
  </si>
  <si>
    <t>Matt</t>
  </si>
  <si>
    <t>Wirth Cattle LLC</t>
  </si>
  <si>
    <t>Viborg</t>
  </si>
  <si>
    <t>2021-9990</t>
  </si>
  <si>
    <t>Zoellner</t>
  </si>
  <si>
    <t>Arlin</t>
  </si>
  <si>
    <t>Arlin Zoellner Farms</t>
  </si>
  <si>
    <t>Groton</t>
  </si>
  <si>
    <t>7/58/2022</t>
  </si>
  <si>
    <t>Ammann</t>
  </si>
  <si>
    <t>Tyler</t>
  </si>
  <si>
    <t>Ammann Farm</t>
  </si>
  <si>
    <t>Wilmot</t>
  </si>
  <si>
    <t>Anderson</t>
  </si>
  <si>
    <t>Lindsey</t>
  </si>
  <si>
    <t>K&amp;E Anderson Family Ranch</t>
  </si>
  <si>
    <t xml:space="preserve">Mission  </t>
  </si>
  <si>
    <t>SD-NI-R-ANTELOPE_01_USGS</t>
  </si>
  <si>
    <t>2024-2001</t>
  </si>
  <si>
    <t>Alternative Water Sources</t>
  </si>
  <si>
    <t>Bauder</t>
  </si>
  <si>
    <t>Bauder Farm</t>
  </si>
  <si>
    <t>Scotland</t>
  </si>
  <si>
    <t>2024-1021</t>
  </si>
  <si>
    <t>Briggs</t>
  </si>
  <si>
    <t>Chase</t>
  </si>
  <si>
    <t>Briggs Farm</t>
  </si>
  <si>
    <t>Midland</t>
  </si>
  <si>
    <t>SD-CH-R-CHEYENNE_06</t>
  </si>
  <si>
    <t>2024-7</t>
  </si>
  <si>
    <t>2024-1</t>
  </si>
  <si>
    <t>Dybedahl</t>
  </si>
  <si>
    <t>Dybedahl Farm</t>
  </si>
  <si>
    <t>2024-1008</t>
  </si>
  <si>
    <t>Fielmeier</t>
  </si>
  <si>
    <t>FH Farm &amp; Cattle LLC</t>
  </si>
  <si>
    <t>Utica</t>
  </si>
  <si>
    <t>2024-1004</t>
  </si>
  <si>
    <t>Feldhaus</t>
  </si>
  <si>
    <t>Feldhaus Farms</t>
  </si>
  <si>
    <t>2025-2</t>
  </si>
  <si>
    <t>Fink</t>
  </si>
  <si>
    <t>Fink Farms</t>
  </si>
  <si>
    <t>Bridgewater</t>
  </si>
  <si>
    <t>2024-2</t>
  </si>
  <si>
    <t>Gaikowski</t>
  </si>
  <si>
    <t>Gaikowski Farms</t>
  </si>
  <si>
    <t>Waubay</t>
  </si>
  <si>
    <t>Gosmire</t>
  </si>
  <si>
    <t>Gosmire Farm</t>
  </si>
  <si>
    <t>Cavour</t>
  </si>
  <si>
    <t>2024-1011</t>
  </si>
  <si>
    <t>Hammer</t>
  </si>
  <si>
    <t>Heather</t>
  </si>
  <si>
    <t>Hammer Farms</t>
  </si>
  <si>
    <t>New Ulm</t>
  </si>
  <si>
    <t>2024-3</t>
  </si>
  <si>
    <t>Spencer</t>
  </si>
  <si>
    <t>2025-3</t>
  </si>
  <si>
    <t>Hansen</t>
  </si>
  <si>
    <t>Bill</t>
  </si>
  <si>
    <t>Hansen Farm</t>
  </si>
  <si>
    <t>Centerville</t>
  </si>
  <si>
    <t>2024-1001</t>
  </si>
  <si>
    <t>2024-1002</t>
  </si>
  <si>
    <t>Conservation Cover</t>
  </si>
  <si>
    <t>2024-1003</t>
  </si>
  <si>
    <t>7298.1o</t>
  </si>
  <si>
    <t>Henglefelt</t>
  </si>
  <si>
    <t>Glen</t>
  </si>
  <si>
    <t>Henglefelt Farm</t>
  </si>
  <si>
    <t>Alexandria</t>
  </si>
  <si>
    <t>2023-3004</t>
  </si>
  <si>
    <t>Seeding (Re-Vegetation)</t>
  </si>
  <si>
    <t>Frank</t>
  </si>
  <si>
    <t>B.F James and Son inc</t>
  </si>
  <si>
    <t>Webster</t>
  </si>
  <si>
    <t>Kaskie</t>
  </si>
  <si>
    <t>Terry</t>
  </si>
  <si>
    <t>Kaskie Farm</t>
  </si>
  <si>
    <t>Hudson</t>
  </si>
  <si>
    <t>2024-1022</t>
  </si>
  <si>
    <t>Kirkpatrick</t>
  </si>
  <si>
    <t>Mindy</t>
  </si>
  <si>
    <t>Kirkpatrick Farm</t>
  </si>
  <si>
    <t>Wacey</t>
  </si>
  <si>
    <t>Kirkpatrick Cattle</t>
  </si>
  <si>
    <t>2024-4</t>
  </si>
  <si>
    <t xml:space="preserve">Koistinen </t>
  </si>
  <si>
    <t>Koistinen Farm</t>
  </si>
  <si>
    <t>Hayti</t>
  </si>
  <si>
    <t>2024-1005</t>
  </si>
  <si>
    <t>Kokesh</t>
  </si>
  <si>
    <t>Kokesh Farms</t>
  </si>
  <si>
    <t>2024-8</t>
  </si>
  <si>
    <t>Lind</t>
  </si>
  <si>
    <t>Thelma</t>
  </si>
  <si>
    <t>Lind Farm</t>
  </si>
  <si>
    <t>Vermillion</t>
  </si>
  <si>
    <t>2024-1006</t>
  </si>
  <si>
    <t>Minder</t>
  </si>
  <si>
    <t>Minder Farm</t>
  </si>
  <si>
    <t>Moore</t>
  </si>
  <si>
    <t>Wayne</t>
  </si>
  <si>
    <t>Moore Farms</t>
  </si>
  <si>
    <t>Ness</t>
  </si>
  <si>
    <t>Ness Farms</t>
  </si>
  <si>
    <t>Pierre</t>
  </si>
  <si>
    <t>SD-MI-R-SHARPE_01</t>
  </si>
  <si>
    <t>2024-9</t>
  </si>
  <si>
    <t>Neth</t>
  </si>
  <si>
    <t>Roger</t>
  </si>
  <si>
    <t>Neth Farm</t>
  </si>
  <si>
    <t>2024-1026</t>
  </si>
  <si>
    <t>Pavel</t>
  </si>
  <si>
    <t>Pavel Farm</t>
  </si>
  <si>
    <t>Lesterville</t>
  </si>
  <si>
    <t>O1-T2-T5</t>
  </si>
  <si>
    <t>Poppenga</t>
  </si>
  <si>
    <t>Poppenga Farm</t>
  </si>
  <si>
    <t>Davis</t>
  </si>
  <si>
    <t>2024-3004</t>
  </si>
  <si>
    <t>Pullman</t>
  </si>
  <si>
    <t>Greg</t>
  </si>
  <si>
    <t>Pullman Farm</t>
  </si>
  <si>
    <t>Emery</t>
  </si>
  <si>
    <t>Schmidt</t>
  </si>
  <si>
    <t>Jace</t>
  </si>
  <si>
    <t>Schmidt Bros</t>
  </si>
  <si>
    <t>Sioux Falls</t>
  </si>
  <si>
    <t>2024-1016</t>
  </si>
  <si>
    <t>Jacoben</t>
  </si>
  <si>
    <t>Schmidt Farm</t>
  </si>
  <si>
    <t>2024-1017</t>
  </si>
  <si>
    <t>Jamieson</t>
  </si>
  <si>
    <t>2024-1018</t>
  </si>
  <si>
    <t>Jaren</t>
  </si>
  <si>
    <t>Jaren Schmidt Farm</t>
  </si>
  <si>
    <t>2024-1019</t>
  </si>
  <si>
    <t>Josh</t>
  </si>
  <si>
    <t>2024-1015</t>
  </si>
  <si>
    <t>Smith</t>
  </si>
  <si>
    <t>Smith Farm</t>
  </si>
  <si>
    <t>SD-VM-R-VERMILLION_E_FORK_02</t>
  </si>
  <si>
    <t>2024-1010</t>
  </si>
  <si>
    <t>John</t>
  </si>
  <si>
    <t>Rosemont Valley Farms</t>
  </si>
  <si>
    <t>2025-1</t>
  </si>
  <si>
    <t>KES Farms</t>
  </si>
  <si>
    <t>2024-3002</t>
  </si>
  <si>
    <t>Soukup</t>
  </si>
  <si>
    <t>Jonathan</t>
  </si>
  <si>
    <t>Soukup Farm</t>
  </si>
  <si>
    <t>2024-1025</t>
  </si>
  <si>
    <t>Dale</t>
  </si>
  <si>
    <t>Platte Hutterian Brethren Inc</t>
  </si>
  <si>
    <t>2024-6</t>
  </si>
  <si>
    <t>Bijou Hutterian Brethren Inc</t>
  </si>
  <si>
    <t>2024-5</t>
  </si>
  <si>
    <t>Surprenant</t>
  </si>
  <si>
    <t>Luke</t>
  </si>
  <si>
    <t>Surprenant Farm</t>
  </si>
  <si>
    <t>2024-1014</t>
  </si>
  <si>
    <t>Viet</t>
  </si>
  <si>
    <t>Viet Farm</t>
  </si>
  <si>
    <t>2024-1027</t>
  </si>
  <si>
    <t>Wiggers</t>
  </si>
  <si>
    <t>SD-BF-R-HORSE_01_USGS</t>
  </si>
  <si>
    <t>64210-24-020</t>
  </si>
  <si>
    <t>Willer</t>
  </si>
  <si>
    <t>Grayling</t>
  </si>
  <si>
    <t>Willer Farm</t>
  </si>
  <si>
    <t>Akron</t>
  </si>
  <si>
    <t>SD-BS-R-BIG_SIOUX_17</t>
  </si>
  <si>
    <t>2024-1007</t>
  </si>
  <si>
    <t>Zimmer</t>
  </si>
  <si>
    <t>Zimmer Farm</t>
  </si>
  <si>
    <t>2024-1024</t>
  </si>
  <si>
    <t>Mizera</t>
  </si>
  <si>
    <t>Candice</t>
  </si>
  <si>
    <t>Candice Mizera</t>
  </si>
  <si>
    <t>McLaughlin</t>
  </si>
  <si>
    <t>SD-MI-R-OAK_01_USGS</t>
  </si>
  <si>
    <t>Wasilk</t>
  </si>
  <si>
    <t>Nick</t>
  </si>
  <si>
    <t>Healy</t>
  </si>
  <si>
    <t>Joe</t>
  </si>
  <si>
    <t>Healy Farm</t>
  </si>
  <si>
    <t>2025-3002</t>
  </si>
  <si>
    <t>Prouty</t>
  </si>
  <si>
    <t>Martin</t>
  </si>
  <si>
    <t>Prouty Farm</t>
  </si>
  <si>
    <t>Bryant</t>
  </si>
  <si>
    <t>2025-3006</t>
  </si>
  <si>
    <t>Sieck</t>
  </si>
  <si>
    <t>Doug</t>
  </si>
  <si>
    <t>Sieck Ranch</t>
  </si>
  <si>
    <t>Selby</t>
  </si>
  <si>
    <t>Jorgenson</t>
  </si>
  <si>
    <t>Bryan</t>
  </si>
  <si>
    <t>Jorgensen Land and Cattle</t>
  </si>
  <si>
    <t>Ideal</t>
  </si>
  <si>
    <t>2017-50</t>
  </si>
  <si>
    <t>2020-1</t>
  </si>
  <si>
    <t>Marker</t>
  </si>
  <si>
    <t>declined cost share</t>
  </si>
  <si>
    <t>2022-0001</t>
  </si>
  <si>
    <t>no cc, too dry</t>
  </si>
  <si>
    <t>2022-0016</t>
  </si>
  <si>
    <t>Jeff</t>
  </si>
  <si>
    <t>never completed</t>
  </si>
  <si>
    <t>Keller</t>
  </si>
  <si>
    <t>cancelled plans</t>
  </si>
  <si>
    <t>Gill</t>
  </si>
  <si>
    <t>Dustina</t>
  </si>
  <si>
    <t>Hilpert</t>
  </si>
  <si>
    <t>Adam</t>
  </si>
  <si>
    <t>Deering</t>
  </si>
  <si>
    <t>Gary</t>
  </si>
  <si>
    <t>Elliot</t>
  </si>
  <si>
    <t>Miller</t>
  </si>
  <si>
    <t>Pasture Grazing Management</t>
  </si>
  <si>
    <t>Cropland Grazing Management</t>
  </si>
  <si>
    <t xml:space="preserve">Cropland Grazing Management </t>
  </si>
  <si>
    <t>SEG</t>
  </si>
  <si>
    <t>DATE</t>
  </si>
  <si>
    <t xml:space="preserve">project segment </t>
  </si>
  <si>
    <t>Johnson</t>
  </si>
  <si>
    <t>Jeremiah</t>
  </si>
  <si>
    <t>JP Livestock</t>
  </si>
  <si>
    <t>Woonsocket</t>
  </si>
  <si>
    <t>2025-5</t>
  </si>
  <si>
    <t>Dell</t>
  </si>
  <si>
    <t>Dell Ranch</t>
  </si>
  <si>
    <t>COMB_N</t>
  </si>
  <si>
    <t>COMB_P</t>
  </si>
  <si>
    <t>COMB_S</t>
  </si>
  <si>
    <t>2025-187</t>
  </si>
  <si>
    <t>orange = estimated with mean multiplier</t>
  </si>
  <si>
    <t>nitrogen reduction in lbs/yr for combined practices</t>
  </si>
  <si>
    <t>phosphorus reduction in lbs/yr for combined practices</t>
  </si>
  <si>
    <t>sediment reduction in lbs/yr for combined practices</t>
  </si>
  <si>
    <t>*orange = estimated from mean percentage increases</t>
  </si>
  <si>
    <t>Eugene</t>
  </si>
  <si>
    <t>Erwin</t>
  </si>
  <si>
    <t>2025-4663</t>
  </si>
  <si>
    <t>Martin Farm</t>
  </si>
  <si>
    <t>Kyle</t>
  </si>
  <si>
    <t>Engen</t>
  </si>
  <si>
    <t>Irene</t>
  </si>
  <si>
    <t>Engen Farm</t>
  </si>
  <si>
    <t>2025-7285</t>
  </si>
  <si>
    <t>SD-VM-R-VERMILLION_03</t>
  </si>
  <si>
    <t>Brad</t>
  </si>
  <si>
    <t>Jurgensen</t>
  </si>
  <si>
    <t>Jurgensen Farms</t>
  </si>
  <si>
    <t>SD-BS-R-BIG_SIOUX_12</t>
  </si>
  <si>
    <t>2025-1004</t>
  </si>
  <si>
    <t>Hybertson</t>
  </si>
  <si>
    <t>Hybertson Farm</t>
  </si>
  <si>
    <t>2025-1006</t>
  </si>
  <si>
    <t>Sittig</t>
  </si>
  <si>
    <t>Boucher Holding LLC</t>
  </si>
  <si>
    <t>Brandon</t>
  </si>
  <si>
    <t>2025-1002</t>
  </si>
  <si>
    <t>Fendrich</t>
  </si>
  <si>
    <t>Fendrich Farm</t>
  </si>
  <si>
    <t>2025-1005</t>
  </si>
  <si>
    <t>2025-3003</t>
  </si>
  <si>
    <t>Trenton</t>
  </si>
  <si>
    <t>Rohrer</t>
  </si>
  <si>
    <t>Destiny &amp; Trenton Rohrer Farm</t>
  </si>
  <si>
    <t>2025-1003</t>
  </si>
  <si>
    <t>2025-1007</t>
  </si>
  <si>
    <t>amount the producer was paid from the CWSRF-WQ funds; ALSO INCLUDES OTHER (e.g. General Mills Fund)</t>
  </si>
  <si>
    <t>(other: Gen Mills Fund)</t>
  </si>
  <si>
    <t>Rosgaard</t>
  </si>
  <si>
    <t>William</t>
  </si>
  <si>
    <t>W. Rosgaard Farm</t>
  </si>
  <si>
    <t>Rock Valley</t>
  </si>
  <si>
    <t>2025-1008</t>
  </si>
  <si>
    <t>SD-BS-R-BIG_SIOUX_15</t>
  </si>
  <si>
    <t>Joel</t>
  </si>
  <si>
    <t>J. Rosgaard Farm</t>
  </si>
  <si>
    <t>2025-1009</t>
  </si>
  <si>
    <t>Grazing Management</t>
  </si>
  <si>
    <t>Feilmeier</t>
  </si>
  <si>
    <t>12/31/2024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</si>
</sst>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9" x14ac:knownFonts="1">
    <font>
      <sz val="11"/>
      <color theme="1"/>
      <name val="Bahnschrift"/>
      <family val="2"/>
      <scheme val="minor"/>
    </font>
    <font>
      <b/>
      <sz val="11"/>
      <color theme="1"/>
      <name val="Bahnschrift"/>
      <family val="2"/>
      <scheme val="minor"/>
    </font>
    <font>
      <sz val="8"/>
      <name val="Bahnschrift"/>
      <family val="2"/>
      <scheme val="minor"/>
    </font>
    <font>
      <sz val="11"/>
      <color theme="0"/>
      <name val="Bahnschrift"/>
      <family val="2"/>
      <scheme val="minor"/>
    </font>
    <font>
      <sz val="8"/>
      <color theme="1"/>
      <name val="Bahnschrift"/>
      <family val="2"/>
      <scheme val="minor"/>
    </font>
    <font>
      <sz val="8"/>
      <color theme="0"/>
      <name val="Bahnschrift"/>
      <family val="2"/>
      <scheme val="minor"/>
    </font>
    <font>
      <sz val="11"/>
      <name val="Bahnschrift"/>
      <family val="2"/>
      <scheme val="minor"/>
    </font>
    <font>
      <sz val="11"/>
      <color theme="0" tint="-0.249977111117893"/>
      <name val="Bahnschrift"/>
      <family val="2"/>
      <scheme val="minor"/>
    </font>
    <font>
      <sz val="8"/>
      <color theme="0" tint="-0.249977111117893"/>
      <name val="Bahnschrift"/>
      <family val="2"/>
      <scheme val="minor"/>
    </font>
    <font>
      <sz val="11"/>
      <color rgb="FF00B0F0"/>
      <name val="Bahnschrift"/>
      <family val="2"/>
      <scheme val="minor"/>
    </font>
    <font>
      <sz val="8"/>
      <color rgb="FF00B0F0"/>
      <name val="Bahnschrift"/>
      <family val="2"/>
      <scheme val="minor"/>
    </font>
    <font>
      <b/>
      <sz val="11"/>
      <color rgb="FF7030A0"/>
      <name val="Bahnschrift"/>
      <family val="2"/>
      <scheme val="minor"/>
    </font>
    <font>
      <sz val="11"/>
      <color rgb="FF7030A0"/>
      <name val="Bahnschrift"/>
      <family val="2"/>
      <scheme val="minor"/>
    </font>
    <font>
      <sz val="11"/>
      <color theme="4" tint="0.39997558519241921"/>
      <name val="Bahnschrift"/>
      <family val="2"/>
      <scheme val="minor"/>
    </font>
    <font>
      <sz val="11"/>
      <color theme="5"/>
      <name val="Bahnschrift"/>
      <family val="2"/>
      <scheme val="minor"/>
    </font>
    <font>
      <b/>
      <sz val="11"/>
      <name val="Bahnschrift"/>
      <family val="2"/>
      <scheme val="minor"/>
    </font>
    <font>
      <sz val="11"/>
      <color theme="2" tint="-9.9978637043366805E-2"/>
      <name val="Bahnschrift"/>
      <family val="2"/>
      <scheme val="minor"/>
    </font>
    <font>
      <sz val="11"/>
      <color theme="9"/>
      <name val="Bahnschrift"/>
      <family val="2"/>
      <scheme val="minor"/>
    </font>
    <font>
      <sz val="11"/>
      <color theme="1"/>
      <name val="Bahnschrif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Dashed">
        <color theme="0" tint="-0.34998626667073579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mediumDashed">
        <color theme="0" tint="-0.34998626667073579"/>
      </top>
      <bottom style="thin">
        <color indexed="64"/>
      </bottom>
      <diagonal/>
    </border>
    <border>
      <left/>
      <right/>
      <top style="mediumDashed">
        <color theme="0" tint="-0.34998626667073579"/>
      </top>
      <bottom style="thin">
        <color theme="1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169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3" borderId="0" xfId="0" applyFont="1" applyFill="1"/>
    <xf numFmtId="14" fontId="3" fillId="3" borderId="0" xfId="0" applyNumberFormat="1" applyFont="1" applyFill="1"/>
    <xf numFmtId="0" fontId="3" fillId="3" borderId="1" xfId="0" applyFont="1" applyFill="1" applyBorder="1"/>
    <xf numFmtId="14" fontId="3" fillId="3" borderId="1" xfId="0" applyNumberFormat="1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3" borderId="3" xfId="0" applyFill="1" applyBorder="1"/>
    <xf numFmtId="14" fontId="0" fillId="3" borderId="3" xfId="0" applyNumberFormat="1" applyFill="1" applyBorder="1"/>
    <xf numFmtId="0" fontId="0" fillId="3" borderId="0" xfId="0" applyFill="1"/>
    <xf numFmtId="14" fontId="0" fillId="3" borderId="0" xfId="0" applyNumberFormat="1" applyFill="1"/>
    <xf numFmtId="0" fontId="0" fillId="3" borderId="1" xfId="0" applyFill="1" applyBorder="1"/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14" fontId="0" fillId="0" borderId="2" xfId="0" applyNumberFormat="1" applyBorder="1"/>
    <xf numFmtId="0" fontId="4" fillId="0" borderId="0" xfId="0" applyFont="1"/>
    <xf numFmtId="0" fontId="5" fillId="0" borderId="0" xfId="0" applyFont="1"/>
    <xf numFmtId="0" fontId="0" fillId="3" borderId="2" xfId="0" applyFill="1" applyBorder="1"/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0" fontId="6" fillId="3" borderId="0" xfId="0" applyFont="1" applyFill="1"/>
    <xf numFmtId="14" fontId="6" fillId="3" borderId="0" xfId="0" applyNumberFormat="1" applyFont="1" applyFill="1"/>
    <xf numFmtId="0" fontId="4" fillId="0" borderId="1" xfId="0" applyFont="1" applyBorder="1"/>
    <xf numFmtId="164" fontId="4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164" fontId="0" fillId="0" borderId="3" xfId="0" applyNumberFormat="1" applyBorder="1"/>
    <xf numFmtId="0" fontId="6" fillId="0" borderId="0" xfId="0" applyFont="1"/>
    <xf numFmtId="14" fontId="6" fillId="0" borderId="2" xfId="0" applyNumberFormat="1" applyFont="1" applyBorder="1"/>
    <xf numFmtId="164" fontId="6" fillId="0" borderId="2" xfId="0" applyNumberFormat="1" applyFont="1" applyBorder="1"/>
    <xf numFmtId="0" fontId="6" fillId="3" borderId="2" xfId="0" applyFont="1" applyFill="1" applyBorder="1"/>
    <xf numFmtId="0" fontId="6" fillId="0" borderId="2" xfId="0" applyFont="1" applyBorder="1"/>
    <xf numFmtId="0" fontId="7" fillId="0" borderId="0" xfId="0" applyFont="1"/>
    <xf numFmtId="164" fontId="7" fillId="0" borderId="0" xfId="0" applyNumberFormat="1" applyFont="1"/>
    <xf numFmtId="0" fontId="7" fillId="3" borderId="0" xfId="0" applyFont="1" applyFill="1"/>
    <xf numFmtId="14" fontId="7" fillId="3" borderId="0" xfId="0" applyNumberFormat="1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14" fontId="7" fillId="0" borderId="0" xfId="0" applyNumberFormat="1" applyFont="1"/>
    <xf numFmtId="0" fontId="8" fillId="0" borderId="0" xfId="0" applyFont="1"/>
    <xf numFmtId="0" fontId="7" fillId="0" borderId="1" xfId="0" applyFont="1" applyBorder="1"/>
    <xf numFmtId="164" fontId="7" fillId="0" borderId="1" xfId="0" applyNumberFormat="1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4" fontId="7" fillId="0" borderId="1" xfId="0" applyNumberFormat="1" applyFont="1" applyBorder="1"/>
    <xf numFmtId="0" fontId="7" fillId="0" borderId="4" xfId="0" applyFont="1" applyBorder="1"/>
    <xf numFmtId="164" fontId="7" fillId="0" borderId="4" xfId="0" applyNumberFormat="1" applyFont="1" applyBorder="1"/>
    <xf numFmtId="0" fontId="3" fillId="3" borderId="4" xfId="0" applyFont="1" applyFill="1" applyBorder="1"/>
    <xf numFmtId="14" fontId="3" fillId="3" borderId="4" xfId="0" applyNumberFormat="1" applyFont="1" applyFill="1" applyBorder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right"/>
    </xf>
    <xf numFmtId="14" fontId="7" fillId="0" borderId="4" xfId="0" applyNumberFormat="1" applyFont="1" applyBorder="1"/>
    <xf numFmtId="0" fontId="0" fillId="0" borderId="5" xfId="0" applyBorder="1"/>
    <xf numFmtId="164" fontId="0" fillId="0" borderId="5" xfId="0" applyNumberFormat="1" applyBorder="1"/>
    <xf numFmtId="0" fontId="3" fillId="3" borderId="5" xfId="0" applyFont="1" applyFill="1" applyBorder="1"/>
    <xf numFmtId="14" fontId="3" fillId="3" borderId="5" xfId="0" applyNumberFormat="1" applyFont="1" applyFill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right"/>
    </xf>
    <xf numFmtId="14" fontId="0" fillId="0" borderId="5" xfId="0" applyNumberFormat="1" applyBorder="1"/>
    <xf numFmtId="0" fontId="7" fillId="3" borderId="3" xfId="0" applyFont="1" applyFill="1" applyBorder="1"/>
    <xf numFmtId="14" fontId="7" fillId="3" borderId="3" xfId="0" applyNumberFormat="1" applyFont="1" applyFill="1" applyBorder="1"/>
    <xf numFmtId="0" fontId="7" fillId="0" borderId="3" xfId="0" applyFont="1" applyBorder="1" applyAlignment="1">
      <alignment horizontal="left"/>
    </xf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14" fontId="7" fillId="0" borderId="3" xfId="0" applyNumberFormat="1" applyFont="1" applyBorder="1"/>
    <xf numFmtId="0" fontId="7" fillId="0" borderId="5" xfId="0" applyFont="1" applyBorder="1"/>
    <xf numFmtId="0" fontId="3" fillId="0" borderId="5" xfId="0" applyFont="1" applyBorder="1"/>
    <xf numFmtId="164" fontId="3" fillId="0" borderId="4" xfId="0" applyNumberFormat="1" applyFont="1" applyBorder="1"/>
    <xf numFmtId="164" fontId="3" fillId="0" borderId="0" xfId="0" applyNumberFormat="1" applyFont="1"/>
    <xf numFmtId="0" fontId="0" fillId="0" borderId="6" xfId="0" applyBorder="1"/>
    <xf numFmtId="164" fontId="3" fillId="0" borderId="1" xfId="0" applyNumberFormat="1" applyFont="1" applyBorder="1"/>
    <xf numFmtId="0" fontId="0" fillId="3" borderId="6" xfId="0" applyFill="1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right"/>
    </xf>
    <xf numFmtId="14" fontId="0" fillId="0" borderId="6" xfId="0" applyNumberFormat="1" applyBorder="1"/>
    <xf numFmtId="164" fontId="0" fillId="0" borderId="6" xfId="0" applyNumberFormat="1" applyBorder="1"/>
    <xf numFmtId="14" fontId="3" fillId="0" borderId="5" xfId="0" applyNumberFormat="1" applyFont="1" applyBorder="1"/>
    <xf numFmtId="14" fontId="0" fillId="0" borderId="4" xfId="0" applyNumberFormat="1" applyBorder="1"/>
    <xf numFmtId="0" fontId="0" fillId="0" borderId="4" xfId="0" applyBorder="1"/>
    <xf numFmtId="164" fontId="0" fillId="0" borderId="4" xfId="0" applyNumberFormat="1" applyBorder="1"/>
    <xf numFmtId="0" fontId="7" fillId="3" borderId="1" xfId="0" applyFont="1" applyFill="1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164" fontId="6" fillId="0" borderId="4" xfId="0" applyNumberFormat="1" applyFont="1" applyBorder="1"/>
    <xf numFmtId="164" fontId="7" fillId="0" borderId="3" xfId="0" applyNumberFormat="1" applyFont="1" applyBorder="1"/>
    <xf numFmtId="0" fontId="6" fillId="3" borderId="3" xfId="0" applyFont="1" applyFill="1" applyBorder="1"/>
    <xf numFmtId="0" fontId="6" fillId="0" borderId="3" xfId="0" applyFont="1" applyBorder="1"/>
    <xf numFmtId="0" fontId="0" fillId="0" borderId="7" xfId="0" applyBorder="1"/>
    <xf numFmtId="164" fontId="0" fillId="0" borderId="7" xfId="0" applyNumberFormat="1" applyBorder="1"/>
    <xf numFmtId="0" fontId="7" fillId="3" borderId="7" xfId="0" applyFont="1" applyFill="1" applyBorder="1"/>
    <xf numFmtId="0" fontId="0" fillId="0" borderId="7" xfId="0" applyBorder="1" applyAlignment="1">
      <alignment horizontal="left"/>
    </xf>
    <xf numFmtId="14" fontId="0" fillId="0" borderId="7" xfId="0" applyNumberFormat="1" applyBorder="1"/>
    <xf numFmtId="0" fontId="7" fillId="0" borderId="7" xfId="0" applyFont="1" applyBorder="1"/>
    <xf numFmtId="0" fontId="7" fillId="0" borderId="7" xfId="0" applyFont="1" applyBorder="1" applyAlignment="1">
      <alignment horizontal="right"/>
    </xf>
    <xf numFmtId="14" fontId="7" fillId="0" borderId="7" xfId="0" applyNumberFormat="1" applyFont="1" applyBorder="1"/>
    <xf numFmtId="14" fontId="7" fillId="0" borderId="8" xfId="0" applyNumberFormat="1" applyFont="1" applyBorder="1"/>
    <xf numFmtId="164" fontId="7" fillId="0" borderId="8" xfId="0" applyNumberFormat="1" applyFont="1" applyBorder="1"/>
    <xf numFmtId="0" fontId="7" fillId="3" borderId="8" xfId="0" applyFont="1" applyFill="1" applyBorder="1"/>
    <xf numFmtId="0" fontId="7" fillId="0" borderId="8" xfId="0" applyFont="1" applyBorder="1" applyAlignment="1">
      <alignment horizontal="left"/>
    </xf>
    <xf numFmtId="0" fontId="7" fillId="0" borderId="8" xfId="0" applyFont="1" applyBorder="1"/>
    <xf numFmtId="0" fontId="7" fillId="0" borderId="8" xfId="0" applyFont="1" applyBorder="1" applyAlignment="1">
      <alignment horizontal="right"/>
    </xf>
    <xf numFmtId="14" fontId="1" fillId="2" borderId="0" xfId="0" applyNumberFormat="1" applyFont="1" applyFill="1"/>
    <xf numFmtId="0" fontId="9" fillId="0" borderId="1" xfId="0" applyFont="1" applyBorder="1"/>
    <xf numFmtId="0" fontId="9" fillId="0" borderId="0" xfId="0" applyFont="1"/>
    <xf numFmtId="0" fontId="10" fillId="0" borderId="0" xfId="0" applyFont="1"/>
    <xf numFmtId="0" fontId="11" fillId="2" borderId="0" xfId="0" applyFont="1" applyFill="1"/>
    <xf numFmtId="0" fontId="12" fillId="0" borderId="0" xfId="0" applyFont="1"/>
    <xf numFmtId="0" fontId="9" fillId="0" borderId="3" xfId="0" applyFont="1" applyBorder="1"/>
    <xf numFmtId="0" fontId="13" fillId="0" borderId="1" xfId="0" applyFont="1" applyBorder="1"/>
    <xf numFmtId="1" fontId="14" fillId="0" borderId="0" xfId="0" applyNumberFormat="1" applyFont="1"/>
    <xf numFmtId="1" fontId="3" fillId="0" borderId="0" xfId="0" applyNumberFormat="1" applyFont="1"/>
    <xf numFmtId="0" fontId="15" fillId="2" borderId="0" xfId="0" applyFont="1" applyFill="1"/>
    <xf numFmtId="1" fontId="8" fillId="0" borderId="0" xfId="0" applyNumberFormat="1" applyFont="1"/>
    <xf numFmtId="1" fontId="12" fillId="0" borderId="0" xfId="0" applyNumberFormat="1" applyFont="1"/>
    <xf numFmtId="1" fontId="14" fillId="0" borderId="1" xfId="0" applyNumberFormat="1" applyFont="1" applyBorder="1"/>
    <xf numFmtId="0" fontId="4" fillId="0" borderId="2" xfId="0" applyFont="1" applyBorder="1"/>
    <xf numFmtId="1" fontId="14" fillId="0" borderId="2" xfId="0" applyNumberFormat="1" applyFont="1" applyBorder="1"/>
    <xf numFmtId="0" fontId="7" fillId="0" borderId="2" xfId="0" applyFont="1" applyBorder="1"/>
    <xf numFmtId="0" fontId="4" fillId="0" borderId="3" xfId="0" applyFont="1" applyBorder="1"/>
    <xf numFmtId="1" fontId="14" fillId="0" borderId="3" xfId="0" applyNumberFormat="1" applyFont="1" applyBorder="1"/>
    <xf numFmtId="0" fontId="12" fillId="0" borderId="3" xfId="0" applyFont="1" applyBorder="1"/>
    <xf numFmtId="1" fontId="3" fillId="0" borderId="1" xfId="0" applyNumberFormat="1" applyFont="1" applyBorder="1"/>
    <xf numFmtId="0" fontId="8" fillId="0" borderId="1" xfId="0" applyFont="1" applyBorder="1"/>
    <xf numFmtId="0" fontId="8" fillId="0" borderId="3" xfId="0" applyFont="1" applyBorder="1"/>
    <xf numFmtId="1" fontId="3" fillId="0" borderId="3" xfId="0" applyNumberFormat="1" applyFont="1" applyBorder="1"/>
    <xf numFmtId="0" fontId="5" fillId="0" borderId="3" xfId="0" applyFont="1" applyBorder="1"/>
    <xf numFmtId="0" fontId="5" fillId="0" borderId="1" xfId="0" applyFont="1" applyBorder="1"/>
    <xf numFmtId="0" fontId="6" fillId="0" borderId="1" xfId="0" applyFont="1" applyBorder="1"/>
    <xf numFmtId="0" fontId="16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164" fontId="6" fillId="0" borderId="0" xfId="0" applyNumberFormat="1" applyFont="1"/>
    <xf numFmtId="0" fontId="6" fillId="0" borderId="0" xfId="0" applyFont="1" applyAlignment="1">
      <alignment horizontal="left"/>
    </xf>
    <xf numFmtId="0" fontId="2" fillId="0" borderId="0" xfId="0" applyFont="1"/>
    <xf numFmtId="14" fontId="6" fillId="0" borderId="0" xfId="0" applyNumberFormat="1" applyFont="1"/>
    <xf numFmtId="14" fontId="6" fillId="0" borderId="1" xfId="0" applyNumberFormat="1" applyFont="1" applyBorder="1"/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left"/>
    </xf>
    <xf numFmtId="164" fontId="17" fillId="0" borderId="3" xfId="0" applyNumberFormat="1" applyFont="1" applyBorder="1"/>
    <xf numFmtId="0" fontId="17" fillId="3" borderId="3" xfId="0" applyFont="1" applyFill="1" applyBorder="1"/>
    <xf numFmtId="164" fontId="17" fillId="0" borderId="0" xfId="0" applyNumberFormat="1" applyFont="1"/>
    <xf numFmtId="0" fontId="17" fillId="3" borderId="0" xfId="0" applyFont="1" applyFill="1"/>
    <xf numFmtId="164" fontId="17" fillId="0" borderId="1" xfId="0" applyNumberFormat="1" applyFont="1" applyBorder="1"/>
    <xf numFmtId="0" fontId="17" fillId="3" borderId="1" xfId="0" applyFont="1" applyFill="1" applyBorder="1"/>
    <xf numFmtId="0" fontId="17" fillId="0" borderId="0" xfId="0" applyFont="1"/>
    <xf numFmtId="0" fontId="6" fillId="3" borderId="1" xfId="0" applyFont="1" applyFill="1" applyBorder="1"/>
    <xf numFmtId="0" fontId="12" fillId="0" borderId="1" xfId="0" applyFont="1" applyBorder="1"/>
    <xf numFmtId="0" fontId="0" fillId="0" borderId="0" xfId="0" applyFont="1"/>
    <xf numFmtId="0" fontId="0" fillId="3" borderId="0" xfId="0" applyFont="1" applyFill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14" fontId="0" fillId="0" borderId="0" xfId="0" applyNumberFormat="1" applyFont="1"/>
    <xf numFmtId="0" fontId="0" fillId="0" borderId="3" xfId="0" applyFont="1" applyBorder="1"/>
    <xf numFmtId="164" fontId="0" fillId="0" borderId="0" xfId="0" applyNumberFormat="1" applyFon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">
      <a:majorFont>
        <a:latin typeface="Bahnschrift"/>
        <a:ea typeface=""/>
        <a:cs typeface=""/>
      </a:majorFont>
      <a:minorFont>
        <a:latin typeface="Bahnschrif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DECD-327D-445D-9C8B-F277B3DFF62C}">
  <sheetPr codeName="Sheet2">
    <tabColor theme="9" tint="0.59999389629810485"/>
  </sheetPr>
  <dimension ref="A1:G28"/>
  <sheetViews>
    <sheetView topLeftCell="A4" workbookViewId="0">
      <selection activeCell="G17" sqref="G17"/>
    </sheetView>
  </sheetViews>
  <sheetFormatPr defaultRowHeight="13.8" x14ac:dyDescent="0.25"/>
  <cols>
    <col min="1" max="1" width="9.898437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3" t="s">
        <v>10</v>
      </c>
      <c r="B6" t="s">
        <v>11</v>
      </c>
    </row>
    <row r="7" spans="1:2" x14ac:dyDescent="0.25">
      <c r="A7" s="2" t="s">
        <v>12</v>
      </c>
      <c r="B7" t="s">
        <v>13</v>
      </c>
    </row>
    <row r="8" spans="1:2" x14ac:dyDescent="0.25">
      <c r="A8" s="2" t="s">
        <v>14</v>
      </c>
      <c r="B8" t="s">
        <v>15</v>
      </c>
    </row>
    <row r="9" spans="1:2" x14ac:dyDescent="0.25">
      <c r="A9" s="3" t="s">
        <v>16</v>
      </c>
      <c r="B9" t="s">
        <v>17</v>
      </c>
    </row>
    <row r="10" spans="1:2" x14ac:dyDescent="0.25">
      <c r="A10" s="2" t="s">
        <v>18</v>
      </c>
      <c r="B10" t="s">
        <v>19</v>
      </c>
    </row>
    <row r="11" spans="1:2" x14ac:dyDescent="0.25">
      <c r="A11" s="2" t="s">
        <v>20</v>
      </c>
      <c r="B11" t="s">
        <v>21</v>
      </c>
    </row>
    <row r="12" spans="1:2" x14ac:dyDescent="0.25">
      <c r="A12" s="2" t="s">
        <v>22</v>
      </c>
      <c r="B12" t="s">
        <v>23</v>
      </c>
    </row>
    <row r="13" spans="1:2" x14ac:dyDescent="0.25">
      <c r="A13" s="2" t="s">
        <v>24</v>
      </c>
      <c r="B13" t="s">
        <v>25</v>
      </c>
    </row>
    <row r="14" spans="1:2" x14ac:dyDescent="0.25">
      <c r="A14" s="2" t="s">
        <v>26</v>
      </c>
      <c r="B14" t="s">
        <v>27</v>
      </c>
    </row>
    <row r="15" spans="1:2" x14ac:dyDescent="0.25">
      <c r="A15" s="2" t="s">
        <v>28</v>
      </c>
      <c r="B15" t="s">
        <v>29</v>
      </c>
    </row>
    <row r="16" spans="1:2" x14ac:dyDescent="0.25">
      <c r="A16" s="2" t="s">
        <v>30</v>
      </c>
      <c r="B16" t="s">
        <v>31</v>
      </c>
    </row>
    <row r="17" spans="1:7" x14ac:dyDescent="0.25">
      <c r="A17" s="2" t="s">
        <v>32</v>
      </c>
      <c r="B17" t="s">
        <v>33</v>
      </c>
    </row>
    <row r="18" spans="1:7" x14ac:dyDescent="0.25">
      <c r="A18" s="2" t="s">
        <v>34</v>
      </c>
      <c r="B18" t="s">
        <v>35</v>
      </c>
    </row>
    <row r="19" spans="1:7" x14ac:dyDescent="0.25">
      <c r="A19" s="2" t="s">
        <v>36</v>
      </c>
      <c r="B19" t="s">
        <v>37</v>
      </c>
    </row>
    <row r="20" spans="1:7" x14ac:dyDescent="0.25">
      <c r="A20" s="2" t="s">
        <v>38</v>
      </c>
      <c r="B20" t="s">
        <v>39</v>
      </c>
    </row>
    <row r="21" spans="1:7" x14ac:dyDescent="0.25">
      <c r="A21" s="2" t="s">
        <v>40</v>
      </c>
      <c r="B21" t="s">
        <v>41</v>
      </c>
    </row>
    <row r="22" spans="1:7" x14ac:dyDescent="0.25">
      <c r="A22" s="2" t="s">
        <v>42</v>
      </c>
      <c r="B22" t="s">
        <v>730</v>
      </c>
    </row>
    <row r="23" spans="1:7" x14ac:dyDescent="0.25">
      <c r="A23" s="2" t="s">
        <v>43</v>
      </c>
      <c r="B23" t="s">
        <v>44</v>
      </c>
    </row>
    <row r="24" spans="1:7" x14ac:dyDescent="0.25">
      <c r="A24" s="2" t="s">
        <v>45</v>
      </c>
      <c r="B24" t="s">
        <v>46</v>
      </c>
    </row>
    <row r="25" spans="1:7" x14ac:dyDescent="0.25">
      <c r="A25" s="2" t="s">
        <v>680</v>
      </c>
      <c r="B25" t="s">
        <v>682</v>
      </c>
    </row>
    <row r="26" spans="1:7" x14ac:dyDescent="0.25">
      <c r="A26" s="125" t="s">
        <v>690</v>
      </c>
      <c r="B26" t="s">
        <v>695</v>
      </c>
      <c r="G26" t="s">
        <v>698</v>
      </c>
    </row>
    <row r="27" spans="1:7" x14ac:dyDescent="0.25">
      <c r="A27" s="125" t="s">
        <v>691</v>
      </c>
      <c r="B27" t="s">
        <v>696</v>
      </c>
      <c r="G27" t="s">
        <v>698</v>
      </c>
    </row>
    <row r="28" spans="1:7" x14ac:dyDescent="0.25">
      <c r="A28" s="125" t="s">
        <v>692</v>
      </c>
      <c r="B28" t="s">
        <v>697</v>
      </c>
      <c r="G28" t="s">
        <v>698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76A0-0415-442F-AF2E-A4B10A1D4A35}">
  <sheetPr>
    <tabColor theme="9" tint="0.59999389629810485"/>
    <pageSetUpPr autoPageBreaks="0"/>
  </sheetPr>
  <dimension ref="A1:AG443"/>
  <sheetViews>
    <sheetView tabSelected="1" topLeftCell="G1" zoomScale="70" zoomScaleNormal="70" workbookViewId="0">
      <pane ySplit="1" topLeftCell="A404" activePane="bottomLeft" state="frozen"/>
      <selection pane="bottomLeft" activeCell="AE435" sqref="AE435"/>
    </sheetView>
  </sheetViews>
  <sheetFormatPr defaultRowHeight="13.8" x14ac:dyDescent="0.25"/>
  <cols>
    <col min="1" max="1" width="3" customWidth="1"/>
    <col min="2" max="2" width="10.19921875" bestFit="1" customWidth="1"/>
    <col min="3" max="3" width="11.19921875" style="31" customWidth="1"/>
    <col min="4" max="4" width="9.59765625" style="31" customWidth="1"/>
    <col min="5" max="5" width="9.796875" style="31" customWidth="1"/>
    <col min="6" max="6" width="9.59765625" style="31" customWidth="1"/>
    <col min="7" max="7" width="10.8984375" bestFit="1" customWidth="1"/>
    <col min="8" max="8" width="11.3984375" bestFit="1" customWidth="1"/>
    <col min="9" max="9" width="25.69921875" bestFit="1" customWidth="1"/>
    <col min="10" max="10" width="9.09765625" customWidth="1"/>
    <col min="11" max="11" width="8.796875" customWidth="1"/>
    <col min="12" max="12" width="9.3984375" bestFit="1" customWidth="1"/>
    <col min="13" max="13" width="10.19921875" bestFit="1" customWidth="1"/>
    <col min="14" max="14" width="12.296875" style="4" bestFit="1" customWidth="1"/>
    <col min="15" max="15" width="9.796875" bestFit="1" customWidth="1"/>
    <col min="16" max="16" width="11" customWidth="1"/>
    <col min="17" max="17" width="8.796875" style="5"/>
    <col min="18" max="18" width="9.3984375" bestFit="1" customWidth="1"/>
    <col min="19" max="19" width="10" bestFit="1" customWidth="1"/>
    <col min="21" max="21" width="2.796875" customWidth="1"/>
    <col min="25" max="25" width="8.796875" style="28"/>
    <col min="27" max="27" width="9.3984375" style="120" bestFit="1" customWidth="1"/>
    <col min="28" max="28" width="8.8984375" style="120" bestFit="1" customWidth="1"/>
    <col min="29" max="29" width="8.796875" style="120" customWidth="1"/>
    <col min="30" max="32" width="8.796875" style="38"/>
  </cols>
  <sheetData>
    <row r="1" spans="2:32" s="23" customFormat="1" x14ac:dyDescent="0.25">
      <c r="B1" s="2" t="s">
        <v>38</v>
      </c>
      <c r="C1" s="2" t="s">
        <v>40</v>
      </c>
      <c r="D1" s="2" t="s">
        <v>42</v>
      </c>
      <c r="E1" s="2" t="s">
        <v>43</v>
      </c>
      <c r="F1" s="2" t="s">
        <v>45</v>
      </c>
      <c r="G1" s="2" t="s">
        <v>47</v>
      </c>
      <c r="H1" s="2" t="s">
        <v>48</v>
      </c>
      <c r="I1" s="2" t="s">
        <v>0</v>
      </c>
      <c r="J1" s="2" t="s">
        <v>2</v>
      </c>
      <c r="K1" s="2" t="s">
        <v>4</v>
      </c>
      <c r="L1" s="2" t="s">
        <v>6</v>
      </c>
      <c r="M1" s="2" t="s">
        <v>8</v>
      </c>
      <c r="N1" s="3" t="s">
        <v>10</v>
      </c>
      <c r="O1" s="2" t="s">
        <v>12</v>
      </c>
      <c r="P1" s="2" t="s">
        <v>14</v>
      </c>
      <c r="Q1" s="3" t="s">
        <v>16</v>
      </c>
      <c r="R1" s="2" t="s">
        <v>18</v>
      </c>
      <c r="S1" s="2" t="s">
        <v>20</v>
      </c>
      <c r="T1" s="2" t="s">
        <v>22</v>
      </c>
      <c r="U1" s="2" t="s">
        <v>24</v>
      </c>
      <c r="V1" s="2" t="s">
        <v>30</v>
      </c>
      <c r="W1" s="2" t="s">
        <v>32</v>
      </c>
      <c r="X1" s="2" t="s">
        <v>34</v>
      </c>
      <c r="Y1" s="2" t="s">
        <v>36</v>
      </c>
      <c r="Z1" s="2" t="s">
        <v>680</v>
      </c>
      <c r="AA1" s="125" t="s">
        <v>690</v>
      </c>
      <c r="AB1" s="125" t="s">
        <v>691</v>
      </c>
      <c r="AC1" s="125" t="s">
        <v>692</v>
      </c>
      <c r="AD1" s="38">
        <v>1.2265595966804665</v>
      </c>
      <c r="AE1" s="38">
        <v>1.1645246425649289</v>
      </c>
      <c r="AF1" s="38">
        <v>1.1752128554100394</v>
      </c>
    </row>
    <row r="2" spans="2:32" x14ac:dyDescent="0.25">
      <c r="G2" s="20" t="s">
        <v>49</v>
      </c>
      <c r="H2" s="20" t="s">
        <v>50</v>
      </c>
      <c r="I2" s="20" t="s">
        <v>51</v>
      </c>
      <c r="J2" s="21" t="s">
        <v>52</v>
      </c>
      <c r="K2" s="20">
        <v>44.229377999999997</v>
      </c>
      <c r="L2" s="20">
        <v>-98.130941000000007</v>
      </c>
      <c r="M2" s="20" t="s">
        <v>53</v>
      </c>
      <c r="N2" s="4">
        <v>20211</v>
      </c>
      <c r="O2" t="s">
        <v>54</v>
      </c>
      <c r="P2" t="s">
        <v>55</v>
      </c>
      <c r="Q2" s="5">
        <v>329</v>
      </c>
      <c r="R2" s="1">
        <v>44470</v>
      </c>
      <c r="S2" s="1">
        <v>44484</v>
      </c>
      <c r="T2">
        <v>56</v>
      </c>
      <c r="V2">
        <v>78</v>
      </c>
      <c r="W2">
        <v>14</v>
      </c>
      <c r="X2">
        <v>8</v>
      </c>
      <c r="Z2">
        <v>2</v>
      </c>
      <c r="AA2" s="123">
        <v>196.24953546887465</v>
      </c>
      <c r="AB2" s="123">
        <v>59.390756770811379</v>
      </c>
      <c r="AC2" s="123">
        <v>38.782024228531299</v>
      </c>
    </row>
    <row r="3" spans="2:32" x14ac:dyDescent="0.25">
      <c r="B3" s="1">
        <v>44453</v>
      </c>
      <c r="C3" s="31">
        <v>0</v>
      </c>
      <c r="D3" s="31">
        <v>0</v>
      </c>
      <c r="E3" s="31">
        <v>2972.58</v>
      </c>
      <c r="F3" s="31">
        <v>2972.58</v>
      </c>
      <c r="G3" s="6" t="s">
        <v>49</v>
      </c>
      <c r="H3" s="6" t="s">
        <v>50</v>
      </c>
      <c r="I3" s="6" t="s">
        <v>51</v>
      </c>
      <c r="J3" s="7" t="s">
        <v>52</v>
      </c>
      <c r="K3" s="6">
        <v>44.229377999999997</v>
      </c>
      <c r="L3" s="6">
        <v>-98.130941000000007</v>
      </c>
      <c r="M3" s="6" t="s">
        <v>53</v>
      </c>
      <c r="N3" s="4">
        <v>20211</v>
      </c>
      <c r="O3" t="s">
        <v>56</v>
      </c>
      <c r="P3" t="s">
        <v>57</v>
      </c>
      <c r="Q3" s="5">
        <v>340</v>
      </c>
      <c r="R3" s="1">
        <v>44470</v>
      </c>
      <c r="S3" s="1">
        <v>44501</v>
      </c>
      <c r="T3">
        <v>56</v>
      </c>
      <c r="V3">
        <v>160</v>
      </c>
      <c r="W3">
        <v>51</v>
      </c>
      <c r="X3">
        <v>33</v>
      </c>
      <c r="Z3">
        <v>2</v>
      </c>
      <c r="AA3" s="124">
        <f t="shared" ref="AA3:AA62" si="0">V3*$AD$1</f>
        <v>196.24953546887465</v>
      </c>
      <c r="AB3" s="124">
        <f t="shared" ref="AB3:AB62" si="1">W3*$AE$1</f>
        <v>59.390756770811379</v>
      </c>
      <c r="AC3" s="124">
        <f t="shared" ref="AC3:AC62" si="2">X3*$AF$1</f>
        <v>38.782024228531299</v>
      </c>
    </row>
    <row r="4" spans="2:32" x14ac:dyDescent="0.25">
      <c r="B4" s="11"/>
      <c r="C4" s="32"/>
      <c r="D4" s="32"/>
      <c r="E4" s="32"/>
      <c r="F4" s="32"/>
      <c r="G4" s="8" t="s">
        <v>49</v>
      </c>
      <c r="H4" s="8" t="s">
        <v>50</v>
      </c>
      <c r="I4" s="8" t="s">
        <v>51</v>
      </c>
      <c r="J4" s="9" t="s">
        <v>52</v>
      </c>
      <c r="K4" s="8">
        <v>44.229377999999997</v>
      </c>
      <c r="L4" s="8">
        <v>-98.130941000000007</v>
      </c>
      <c r="M4" s="8" t="s">
        <v>53</v>
      </c>
      <c r="N4" s="10">
        <v>20211</v>
      </c>
      <c r="O4" s="11" t="s">
        <v>75</v>
      </c>
      <c r="P4" s="11" t="s">
        <v>741</v>
      </c>
      <c r="Q4" s="12">
        <v>528</v>
      </c>
      <c r="R4" s="13">
        <v>44470</v>
      </c>
      <c r="S4" s="13">
        <v>45154</v>
      </c>
      <c r="T4" s="11">
        <v>56</v>
      </c>
      <c r="U4" s="11"/>
      <c r="V4" s="11"/>
      <c r="W4" s="11"/>
      <c r="X4" s="11"/>
      <c r="Z4">
        <v>2</v>
      </c>
      <c r="AA4" s="124">
        <v>196.24953546887465</v>
      </c>
      <c r="AB4" s="124">
        <v>59.390756770811379</v>
      </c>
      <c r="AC4" s="124">
        <v>38.782024228531299</v>
      </c>
    </row>
    <row r="5" spans="2:32" x14ac:dyDescent="0.25">
      <c r="G5" s="18" t="s">
        <v>60</v>
      </c>
      <c r="H5" s="18" t="s">
        <v>61</v>
      </c>
      <c r="I5" s="18" t="s">
        <v>62</v>
      </c>
      <c r="J5" s="19" t="s">
        <v>63</v>
      </c>
      <c r="K5" s="18">
        <v>43.621378</v>
      </c>
      <c r="L5" s="18">
        <v>-98.079824000000002</v>
      </c>
      <c r="M5" s="18" t="s">
        <v>64</v>
      </c>
      <c r="N5" s="16" t="s">
        <v>65</v>
      </c>
      <c r="O5" s="14" t="s">
        <v>54</v>
      </c>
      <c r="P5" s="14" t="s">
        <v>55</v>
      </c>
      <c r="Q5" s="17">
        <v>329</v>
      </c>
      <c r="R5" s="15">
        <v>45117</v>
      </c>
      <c r="S5" s="15">
        <v>45111</v>
      </c>
      <c r="T5" s="14">
        <v>128</v>
      </c>
      <c r="U5" s="14"/>
      <c r="V5" s="14">
        <v>390.1</v>
      </c>
      <c r="W5" s="14">
        <v>93.9</v>
      </c>
      <c r="X5" s="14">
        <v>55.6</v>
      </c>
      <c r="Y5" s="132"/>
      <c r="Z5" s="14">
        <v>2</v>
      </c>
      <c r="AA5" s="133">
        <v>575.25645084313885</v>
      </c>
      <c r="AB5" s="133">
        <v>161.86892531652512</v>
      </c>
      <c r="AC5" s="133">
        <v>98.600358568902308</v>
      </c>
    </row>
    <row r="6" spans="2:32" x14ac:dyDescent="0.25">
      <c r="B6" s="13">
        <v>45096</v>
      </c>
      <c r="C6" s="32">
        <v>4770</v>
      </c>
      <c r="D6" s="32">
        <v>0</v>
      </c>
      <c r="E6" s="32">
        <v>7969.84</v>
      </c>
      <c r="F6" s="32">
        <v>12739.84</v>
      </c>
      <c r="G6" s="8" t="s">
        <v>60</v>
      </c>
      <c r="H6" s="8" t="s">
        <v>61</v>
      </c>
      <c r="I6" s="8" t="s">
        <v>62</v>
      </c>
      <c r="J6" s="9" t="s">
        <v>63</v>
      </c>
      <c r="K6" s="8">
        <v>43.621378</v>
      </c>
      <c r="L6" s="8">
        <v>-98.079824000000002</v>
      </c>
      <c r="M6" s="8" t="s">
        <v>64</v>
      </c>
      <c r="N6" s="10" t="s">
        <v>65</v>
      </c>
      <c r="O6" s="11" t="s">
        <v>56</v>
      </c>
      <c r="P6" s="11" t="s">
        <v>57</v>
      </c>
      <c r="Q6" s="12">
        <v>340</v>
      </c>
      <c r="R6" s="13">
        <v>45117</v>
      </c>
      <c r="S6" s="13">
        <v>45139</v>
      </c>
      <c r="T6" s="11">
        <v>128</v>
      </c>
      <c r="U6" s="11"/>
      <c r="V6" s="11">
        <v>469</v>
      </c>
      <c r="W6" s="11">
        <v>139</v>
      </c>
      <c r="X6" s="11">
        <v>83.9</v>
      </c>
      <c r="Y6" s="36"/>
      <c r="Z6" s="11">
        <v>2</v>
      </c>
      <c r="AA6" s="135">
        <f t="shared" si="0"/>
        <v>575.25645084313885</v>
      </c>
      <c r="AB6" s="135">
        <f t="shared" si="1"/>
        <v>161.86892531652512</v>
      </c>
      <c r="AC6" s="135">
        <f t="shared" si="2"/>
        <v>98.600358568902308</v>
      </c>
    </row>
    <row r="7" spans="2:32" x14ac:dyDescent="0.25">
      <c r="G7" s="18" t="s">
        <v>66</v>
      </c>
      <c r="H7" s="18" t="s">
        <v>67</v>
      </c>
      <c r="I7" s="18" t="s">
        <v>68</v>
      </c>
      <c r="J7" s="19" t="s">
        <v>69</v>
      </c>
      <c r="K7" s="18">
        <v>43.655670000000001</v>
      </c>
      <c r="L7" s="18">
        <v>-97.899885999999995</v>
      </c>
      <c r="M7" s="18" t="s">
        <v>64</v>
      </c>
      <c r="N7" s="16" t="s">
        <v>70</v>
      </c>
      <c r="O7" s="14" t="s">
        <v>54</v>
      </c>
      <c r="P7" s="14" t="s">
        <v>55</v>
      </c>
      <c r="Q7" s="17">
        <v>329</v>
      </c>
      <c r="R7" s="15">
        <v>44317</v>
      </c>
      <c r="S7" s="15">
        <v>44501</v>
      </c>
      <c r="T7" s="14">
        <v>505</v>
      </c>
      <c r="U7" s="14"/>
      <c r="V7" s="14">
        <v>487</v>
      </c>
      <c r="W7" s="14">
        <v>68</v>
      </c>
      <c r="X7" s="14">
        <v>35</v>
      </c>
      <c r="Z7">
        <v>2</v>
      </c>
      <c r="AA7" s="123">
        <f t="shared" si="0"/>
        <v>597.33452358338718</v>
      </c>
      <c r="AB7" s="123">
        <f t="shared" si="1"/>
        <v>79.187675694415162</v>
      </c>
      <c r="AC7" s="123">
        <f t="shared" si="2"/>
        <v>41.132449939351382</v>
      </c>
    </row>
    <row r="8" spans="2:32" x14ac:dyDescent="0.25">
      <c r="B8" s="1">
        <v>44335</v>
      </c>
      <c r="C8" s="31">
        <v>0</v>
      </c>
      <c r="D8" s="31">
        <v>1649.25</v>
      </c>
      <c r="E8" s="31">
        <v>2308.9499999999998</v>
      </c>
      <c r="F8" s="31">
        <v>4463</v>
      </c>
      <c r="G8" s="6" t="s">
        <v>66</v>
      </c>
      <c r="H8" s="6" t="s">
        <v>67</v>
      </c>
      <c r="I8" s="6" t="s">
        <v>68</v>
      </c>
      <c r="J8" s="7" t="s">
        <v>69</v>
      </c>
      <c r="K8" s="6">
        <v>43.655670000000001</v>
      </c>
      <c r="L8" s="6">
        <v>-97.899885999999995</v>
      </c>
      <c r="M8" s="6" t="s">
        <v>64</v>
      </c>
      <c r="N8" s="4" t="s">
        <v>70</v>
      </c>
      <c r="O8" t="s">
        <v>56</v>
      </c>
      <c r="P8" t="s">
        <v>57</v>
      </c>
      <c r="Q8" s="5">
        <v>340</v>
      </c>
      <c r="R8" s="1">
        <v>44317</v>
      </c>
      <c r="S8" s="1">
        <v>44453</v>
      </c>
      <c r="T8">
        <v>385</v>
      </c>
      <c r="V8">
        <v>405</v>
      </c>
      <c r="W8">
        <v>125</v>
      </c>
      <c r="X8">
        <v>80</v>
      </c>
      <c r="Z8">
        <v>2</v>
      </c>
      <c r="AA8" s="124">
        <v>597.33452358338718</v>
      </c>
      <c r="AB8" s="124">
        <v>79.187675694415162</v>
      </c>
      <c r="AC8" s="124">
        <v>41.132449939351382</v>
      </c>
    </row>
    <row r="9" spans="2:32" x14ac:dyDescent="0.25">
      <c r="G9" s="6" t="s">
        <v>66</v>
      </c>
      <c r="H9" s="6" t="s">
        <v>67</v>
      </c>
      <c r="I9" s="6" t="s">
        <v>68</v>
      </c>
      <c r="J9" s="7" t="s">
        <v>69</v>
      </c>
      <c r="K9" s="6">
        <v>43.655670000000001</v>
      </c>
      <c r="L9" s="6">
        <v>-97.899885999999995</v>
      </c>
      <c r="M9" s="6" t="s">
        <v>64</v>
      </c>
      <c r="N9" s="4" t="s">
        <v>70</v>
      </c>
      <c r="O9" t="s">
        <v>71</v>
      </c>
      <c r="P9" t="s">
        <v>72</v>
      </c>
      <c r="Q9" s="5" t="s">
        <v>73</v>
      </c>
      <c r="R9" s="1">
        <v>44317</v>
      </c>
      <c r="S9" s="1">
        <v>44392</v>
      </c>
      <c r="T9">
        <v>19.02</v>
      </c>
      <c r="V9">
        <v>42</v>
      </c>
      <c r="W9">
        <v>12</v>
      </c>
      <c r="X9">
        <v>7</v>
      </c>
      <c r="Z9">
        <v>2</v>
      </c>
      <c r="AA9" s="124">
        <v>597.33452358338718</v>
      </c>
      <c r="AB9" s="124">
        <v>79.187675694415162</v>
      </c>
      <c r="AC9" s="124">
        <v>41.132449939351382</v>
      </c>
    </row>
    <row r="10" spans="2:32" x14ac:dyDescent="0.25">
      <c r="G10" s="6" t="s">
        <v>66</v>
      </c>
      <c r="H10" s="6" t="s">
        <v>67</v>
      </c>
      <c r="I10" s="6" t="s">
        <v>68</v>
      </c>
      <c r="J10" s="7" t="s">
        <v>69</v>
      </c>
      <c r="K10" s="6">
        <v>43.655670000000001</v>
      </c>
      <c r="L10" s="6">
        <v>-97.899885999999995</v>
      </c>
      <c r="M10" s="6" t="s">
        <v>64</v>
      </c>
      <c r="N10" s="4" t="s">
        <v>74</v>
      </c>
      <c r="O10" t="s">
        <v>54</v>
      </c>
      <c r="P10" t="s">
        <v>55</v>
      </c>
      <c r="Q10" s="5">
        <v>329</v>
      </c>
      <c r="R10" s="1">
        <v>44682</v>
      </c>
      <c r="S10" s="1">
        <v>44845</v>
      </c>
      <c r="T10">
        <v>505</v>
      </c>
      <c r="V10">
        <v>270</v>
      </c>
      <c r="W10">
        <v>45</v>
      </c>
      <c r="X10">
        <v>26</v>
      </c>
      <c r="Z10">
        <v>2</v>
      </c>
      <c r="AA10" s="123">
        <v>601.01420237342859</v>
      </c>
      <c r="AB10" s="123">
        <v>170.02059781447963</v>
      </c>
      <c r="AC10" s="123">
        <v>106.94436984231359</v>
      </c>
    </row>
    <row r="11" spans="2:32" x14ac:dyDescent="0.25">
      <c r="B11" s="1">
        <v>44698</v>
      </c>
      <c r="C11" s="31">
        <v>0</v>
      </c>
      <c r="D11" s="31">
        <v>3000</v>
      </c>
      <c r="E11" s="31">
        <v>6129.95</v>
      </c>
      <c r="F11" s="31">
        <v>9129.9500000000007</v>
      </c>
      <c r="G11" s="6" t="s">
        <v>66</v>
      </c>
      <c r="H11" s="6" t="s">
        <v>67</v>
      </c>
      <c r="I11" s="6" t="s">
        <v>68</v>
      </c>
      <c r="J11" s="7" t="s">
        <v>69</v>
      </c>
      <c r="K11" s="6">
        <v>43.655670000000001</v>
      </c>
      <c r="L11" s="6">
        <v>-97.899885999999995</v>
      </c>
      <c r="M11" s="6" t="s">
        <v>64</v>
      </c>
      <c r="N11" s="4" t="s">
        <v>74</v>
      </c>
      <c r="O11" t="s">
        <v>56</v>
      </c>
      <c r="P11" t="s">
        <v>57</v>
      </c>
      <c r="Q11" s="5">
        <v>340</v>
      </c>
      <c r="R11" s="1">
        <v>44682</v>
      </c>
      <c r="S11" s="1">
        <v>44845</v>
      </c>
      <c r="T11">
        <v>385</v>
      </c>
      <c r="V11">
        <v>490</v>
      </c>
      <c r="W11">
        <v>146</v>
      </c>
      <c r="X11">
        <v>91</v>
      </c>
      <c r="Z11">
        <v>2</v>
      </c>
      <c r="AA11" s="124">
        <f t="shared" si="0"/>
        <v>601.01420237342859</v>
      </c>
      <c r="AB11" s="124">
        <f t="shared" si="1"/>
        <v>170.02059781447963</v>
      </c>
      <c r="AC11" s="124">
        <f t="shared" si="2"/>
        <v>106.94436984231359</v>
      </c>
    </row>
    <row r="12" spans="2:32" x14ac:dyDescent="0.25">
      <c r="B12" s="11"/>
      <c r="C12" s="32"/>
      <c r="D12" s="32"/>
      <c r="E12" s="32"/>
      <c r="F12" s="32"/>
      <c r="G12" s="8" t="s">
        <v>66</v>
      </c>
      <c r="H12" s="8" t="s">
        <v>67</v>
      </c>
      <c r="I12" s="8" t="s">
        <v>68</v>
      </c>
      <c r="J12" s="9" t="s">
        <v>69</v>
      </c>
      <c r="K12" s="8">
        <v>43.655670000000001</v>
      </c>
      <c r="L12" s="8">
        <v>-97.899885999999995</v>
      </c>
      <c r="M12" s="8" t="s">
        <v>64</v>
      </c>
      <c r="N12" s="10" t="s">
        <v>74</v>
      </c>
      <c r="O12" s="11" t="s">
        <v>75</v>
      </c>
      <c r="P12" s="11" t="s">
        <v>741</v>
      </c>
      <c r="Q12" s="12">
        <v>528</v>
      </c>
      <c r="R12" s="13">
        <v>44682</v>
      </c>
      <c r="S12" s="13">
        <v>44845</v>
      </c>
      <c r="T12" s="11">
        <v>230</v>
      </c>
      <c r="U12" s="11"/>
      <c r="V12" s="11"/>
      <c r="W12" s="11"/>
      <c r="X12" s="11"/>
      <c r="Z12">
        <v>2</v>
      </c>
      <c r="AA12" s="124">
        <v>601.01420237342859</v>
      </c>
      <c r="AB12" s="124">
        <v>170.02059781447963</v>
      </c>
      <c r="AC12" s="124">
        <v>106.94436984231359</v>
      </c>
    </row>
    <row r="13" spans="2:32" s="46" customFormat="1" x14ac:dyDescent="0.25">
      <c r="B13" s="46" t="s">
        <v>76</v>
      </c>
      <c r="C13" s="47"/>
      <c r="D13" s="47"/>
      <c r="E13" s="47"/>
      <c r="F13" s="47"/>
      <c r="G13" s="73" t="s">
        <v>77</v>
      </c>
      <c r="H13" s="73" t="s">
        <v>78</v>
      </c>
      <c r="I13" s="73" t="s">
        <v>79</v>
      </c>
      <c r="J13" s="74" t="s">
        <v>80</v>
      </c>
      <c r="K13" s="73">
        <v>43.656303000000001</v>
      </c>
      <c r="L13" s="73">
        <v>-96.476612000000003</v>
      </c>
      <c r="M13" s="73" t="s">
        <v>81</v>
      </c>
      <c r="N13" s="75" t="s">
        <v>82</v>
      </c>
      <c r="O13" s="76" t="s">
        <v>83</v>
      </c>
      <c r="P13" s="76" t="s">
        <v>84</v>
      </c>
      <c r="Q13" s="77">
        <v>328</v>
      </c>
      <c r="R13" s="78">
        <v>44287</v>
      </c>
      <c r="S13" s="78">
        <v>44409</v>
      </c>
      <c r="T13" s="76">
        <v>160</v>
      </c>
      <c r="U13" s="76"/>
      <c r="V13" s="76"/>
      <c r="W13" s="76"/>
      <c r="X13" s="76"/>
      <c r="Y13" s="137"/>
      <c r="Z13" s="76">
        <v>2</v>
      </c>
      <c r="AA13" s="133">
        <v>1947.776639528581</v>
      </c>
      <c r="AB13" s="133">
        <v>600.89471556350338</v>
      </c>
      <c r="AC13" s="133">
        <v>410.14928653810375</v>
      </c>
      <c r="AD13" s="38"/>
      <c r="AE13" s="38"/>
      <c r="AF13" s="38"/>
    </row>
    <row r="14" spans="2:32" s="46" customFormat="1" x14ac:dyDescent="0.25">
      <c r="B14" s="38" t="s">
        <v>76</v>
      </c>
      <c r="C14" s="47"/>
      <c r="D14" s="47"/>
      <c r="E14" s="47"/>
      <c r="F14" s="47"/>
      <c r="G14" s="6" t="s">
        <v>77</v>
      </c>
      <c r="H14" s="6" t="s">
        <v>78</v>
      </c>
      <c r="I14" s="6" t="s">
        <v>79</v>
      </c>
      <c r="J14" s="7" t="s">
        <v>80</v>
      </c>
      <c r="K14" s="6">
        <v>43.656303000000001</v>
      </c>
      <c r="L14" s="6">
        <v>-96.476612000000003</v>
      </c>
      <c r="M14" s="6" t="s">
        <v>81</v>
      </c>
      <c r="N14" s="50" t="s">
        <v>82</v>
      </c>
      <c r="O14" s="46" t="s">
        <v>54</v>
      </c>
      <c r="P14" s="46" t="s">
        <v>55</v>
      </c>
      <c r="Q14" s="51">
        <v>329</v>
      </c>
      <c r="R14" s="52">
        <v>44287</v>
      </c>
      <c r="S14" s="52">
        <v>44409</v>
      </c>
      <c r="T14" s="46">
        <v>160</v>
      </c>
      <c r="V14" s="46">
        <v>726</v>
      </c>
      <c r="W14" s="46">
        <v>138</v>
      </c>
      <c r="X14" s="46">
        <v>89</v>
      </c>
      <c r="Y14" s="53"/>
      <c r="Z14" s="46">
        <v>2</v>
      </c>
      <c r="AA14" s="124">
        <v>1947.776639528581</v>
      </c>
      <c r="AB14" s="124">
        <v>600.89471556350338</v>
      </c>
      <c r="AC14" s="124">
        <v>410.14928653810375</v>
      </c>
      <c r="AD14" s="38"/>
      <c r="AE14" s="38"/>
      <c r="AF14" s="38"/>
    </row>
    <row r="15" spans="2:32" s="46" customFormat="1" x14ac:dyDescent="0.25">
      <c r="B15" s="38" t="s">
        <v>76</v>
      </c>
      <c r="C15" s="47"/>
      <c r="D15" s="47"/>
      <c r="E15" s="47"/>
      <c r="F15" s="47"/>
      <c r="G15" s="6" t="s">
        <v>77</v>
      </c>
      <c r="H15" s="6" t="s">
        <v>78</v>
      </c>
      <c r="I15" s="6" t="s">
        <v>79</v>
      </c>
      <c r="J15" s="7" t="s">
        <v>80</v>
      </c>
      <c r="K15" s="6">
        <v>43.656303000000001</v>
      </c>
      <c r="L15" s="6">
        <v>-96.476612000000003</v>
      </c>
      <c r="M15" s="6" t="s">
        <v>81</v>
      </c>
      <c r="N15" s="50" t="s">
        <v>82</v>
      </c>
      <c r="O15" s="46" t="s">
        <v>56</v>
      </c>
      <c r="P15" s="46" t="s">
        <v>57</v>
      </c>
      <c r="Q15" s="51">
        <v>340</v>
      </c>
      <c r="R15" s="52">
        <v>44287</v>
      </c>
      <c r="S15" s="52">
        <v>44409</v>
      </c>
      <c r="T15" s="46">
        <v>160</v>
      </c>
      <c r="V15" s="46">
        <v>1588</v>
      </c>
      <c r="W15" s="46">
        <v>516</v>
      </c>
      <c r="X15" s="46">
        <v>349</v>
      </c>
      <c r="Y15" s="53"/>
      <c r="Z15" s="46">
        <v>2</v>
      </c>
      <c r="AA15" s="124">
        <f t="shared" si="0"/>
        <v>1947.776639528581</v>
      </c>
      <c r="AB15" s="124">
        <f t="shared" si="1"/>
        <v>600.89471556350338</v>
      </c>
      <c r="AC15" s="124">
        <f t="shared" si="2"/>
        <v>410.14928653810375</v>
      </c>
      <c r="AD15" s="38"/>
      <c r="AE15" s="38"/>
      <c r="AF15" s="38"/>
    </row>
    <row r="16" spans="2:32" s="46" customFormat="1" x14ac:dyDescent="0.25">
      <c r="B16" s="38" t="s">
        <v>76</v>
      </c>
      <c r="C16" s="47"/>
      <c r="D16" s="47"/>
      <c r="E16" s="47"/>
      <c r="F16" s="47"/>
      <c r="G16" s="6" t="s">
        <v>77</v>
      </c>
      <c r="H16" s="6" t="s">
        <v>78</v>
      </c>
      <c r="I16" s="6" t="s">
        <v>79</v>
      </c>
      <c r="J16" s="7" t="s">
        <v>80</v>
      </c>
      <c r="K16" s="6">
        <v>43.656303000000001</v>
      </c>
      <c r="L16" s="6">
        <v>-96.476612000000003</v>
      </c>
      <c r="M16" s="6" t="s">
        <v>81</v>
      </c>
      <c r="N16" s="50" t="s">
        <v>85</v>
      </c>
      <c r="O16" s="46" t="s">
        <v>83</v>
      </c>
      <c r="P16" s="46" t="s">
        <v>84</v>
      </c>
      <c r="Q16" s="51">
        <v>328</v>
      </c>
      <c r="R16" s="52">
        <v>44682</v>
      </c>
      <c r="S16" s="52">
        <v>44845</v>
      </c>
      <c r="T16" s="46">
        <v>160</v>
      </c>
      <c r="Y16" s="53"/>
      <c r="Z16" s="46">
        <v>2</v>
      </c>
      <c r="AA16" s="124">
        <v>1947.776639528581</v>
      </c>
      <c r="AB16" s="124">
        <v>600.89471556350338</v>
      </c>
      <c r="AC16" s="124">
        <v>410.14928653810375</v>
      </c>
      <c r="AD16" s="38"/>
      <c r="AE16" s="38"/>
      <c r="AF16" s="38"/>
    </row>
    <row r="17" spans="2:32" s="46" customFormat="1" x14ac:dyDescent="0.25">
      <c r="B17" s="38" t="s">
        <v>76</v>
      </c>
      <c r="C17" s="47"/>
      <c r="D17" s="47"/>
      <c r="E17" s="47"/>
      <c r="F17" s="47"/>
      <c r="G17" s="6" t="s">
        <v>77</v>
      </c>
      <c r="H17" s="6" t="s">
        <v>78</v>
      </c>
      <c r="I17" s="6" t="s">
        <v>79</v>
      </c>
      <c r="J17" s="7" t="s">
        <v>80</v>
      </c>
      <c r="K17" s="6">
        <v>43.656303000000001</v>
      </c>
      <c r="L17" s="6">
        <v>-96.476612000000003</v>
      </c>
      <c r="M17" s="6" t="s">
        <v>81</v>
      </c>
      <c r="N17" s="50" t="s">
        <v>85</v>
      </c>
      <c r="O17" s="46" t="s">
        <v>54</v>
      </c>
      <c r="P17" s="46" t="s">
        <v>55</v>
      </c>
      <c r="Q17" s="51">
        <v>329</v>
      </c>
      <c r="R17" s="52">
        <v>44682</v>
      </c>
      <c r="S17" s="52">
        <v>44845</v>
      </c>
      <c r="T17" s="46">
        <v>160</v>
      </c>
      <c r="V17" s="46">
        <v>1220</v>
      </c>
      <c r="W17" s="46">
        <v>231</v>
      </c>
      <c r="X17" s="46">
        <v>147</v>
      </c>
      <c r="Y17" s="53"/>
      <c r="Z17" s="46">
        <v>2</v>
      </c>
      <c r="AA17" s="124">
        <v>1947.776639528581</v>
      </c>
      <c r="AB17" s="124">
        <v>600.89471556350338</v>
      </c>
      <c r="AC17" s="124">
        <v>410.14928653810375</v>
      </c>
      <c r="AD17" s="38"/>
      <c r="AE17" s="38"/>
      <c r="AF17" s="38"/>
    </row>
    <row r="18" spans="2:32" s="46" customFormat="1" x14ac:dyDescent="0.25">
      <c r="B18" s="80" t="s">
        <v>76</v>
      </c>
      <c r="C18" s="55"/>
      <c r="D18" s="55"/>
      <c r="E18" s="55"/>
      <c r="F18" s="55"/>
      <c r="G18" s="8" t="s">
        <v>77</v>
      </c>
      <c r="H18" s="8" t="s">
        <v>78</v>
      </c>
      <c r="I18" s="8" t="s">
        <v>79</v>
      </c>
      <c r="J18" s="9" t="s">
        <v>80</v>
      </c>
      <c r="K18" s="8">
        <v>43.656303000000001</v>
      </c>
      <c r="L18" s="8">
        <v>-96.476612000000003</v>
      </c>
      <c r="M18" s="8" t="s">
        <v>81</v>
      </c>
      <c r="N18" s="56" t="s">
        <v>85</v>
      </c>
      <c r="O18" s="54" t="s">
        <v>56</v>
      </c>
      <c r="P18" s="54" t="s">
        <v>57</v>
      </c>
      <c r="Q18" s="57">
        <v>340</v>
      </c>
      <c r="R18" s="58">
        <v>44682</v>
      </c>
      <c r="S18" s="58">
        <v>44845</v>
      </c>
      <c r="T18" s="54">
        <v>160</v>
      </c>
      <c r="U18" s="54"/>
      <c r="V18" s="54">
        <v>936</v>
      </c>
      <c r="W18" s="54">
        <v>312</v>
      </c>
      <c r="X18" s="54">
        <v>222</v>
      </c>
      <c r="Y18" s="136"/>
      <c r="Z18" s="54">
        <v>2</v>
      </c>
      <c r="AA18" s="135">
        <v>1947.776639528581</v>
      </c>
      <c r="AB18" s="135">
        <v>600.89471556350338</v>
      </c>
      <c r="AC18" s="135">
        <v>410.14928653810375</v>
      </c>
      <c r="AD18" s="38"/>
      <c r="AE18" s="38"/>
      <c r="AF18" s="38"/>
    </row>
    <row r="19" spans="2:32" x14ac:dyDescent="0.25">
      <c r="G19" s="20" t="s">
        <v>86</v>
      </c>
      <c r="H19" s="20" t="s">
        <v>87</v>
      </c>
      <c r="I19" s="20" t="s">
        <v>88</v>
      </c>
      <c r="J19" s="21" t="s">
        <v>89</v>
      </c>
      <c r="K19" s="20">
        <v>45.069645999999999</v>
      </c>
      <c r="L19" s="20">
        <v>-98.579145999999994</v>
      </c>
      <c r="M19" s="20" t="s">
        <v>90</v>
      </c>
      <c r="N19" s="16">
        <v>202206</v>
      </c>
      <c r="O19" s="14" t="s">
        <v>54</v>
      </c>
      <c r="P19" s="14" t="s">
        <v>55</v>
      </c>
      <c r="Q19" s="17">
        <v>329</v>
      </c>
      <c r="R19" s="15">
        <v>44682</v>
      </c>
      <c r="S19" s="15">
        <v>45078</v>
      </c>
      <c r="T19" s="14">
        <v>1371</v>
      </c>
      <c r="U19" s="14"/>
      <c r="V19" s="14">
        <v>1316</v>
      </c>
      <c r="W19" s="14">
        <v>156</v>
      </c>
      <c r="X19" s="14">
        <v>68</v>
      </c>
      <c r="Z19">
        <v>2</v>
      </c>
      <c r="AA19" s="123">
        <v>2489.915981261347</v>
      </c>
      <c r="AB19" s="123">
        <v>632.33688091275644</v>
      </c>
      <c r="AC19" s="123">
        <v>312.60661953907049</v>
      </c>
    </row>
    <row r="20" spans="2:32" x14ac:dyDescent="0.25">
      <c r="B20" s="13">
        <v>44763</v>
      </c>
      <c r="C20" s="32">
        <v>0</v>
      </c>
      <c r="D20" s="32">
        <v>6000</v>
      </c>
      <c r="E20" s="32">
        <v>25526.23</v>
      </c>
      <c r="F20" s="32">
        <v>31526.23</v>
      </c>
      <c r="G20" s="8" t="s">
        <v>86</v>
      </c>
      <c r="H20" s="8" t="s">
        <v>87</v>
      </c>
      <c r="I20" s="8" t="s">
        <v>88</v>
      </c>
      <c r="J20" s="9" t="s">
        <v>89</v>
      </c>
      <c r="K20" s="8">
        <v>45.069645999999999</v>
      </c>
      <c r="L20" s="8">
        <v>-98.579145999999994</v>
      </c>
      <c r="M20" s="8" t="s">
        <v>91</v>
      </c>
      <c r="N20" s="10">
        <v>202206</v>
      </c>
      <c r="O20" s="11" t="s">
        <v>56</v>
      </c>
      <c r="P20" s="11" t="s">
        <v>57</v>
      </c>
      <c r="Q20" s="12">
        <v>340</v>
      </c>
      <c r="R20" s="13">
        <v>44743</v>
      </c>
      <c r="S20" s="13">
        <v>44805</v>
      </c>
      <c r="T20" s="11">
        <v>1371</v>
      </c>
      <c r="U20" s="11"/>
      <c r="V20" s="11">
        <v>2030</v>
      </c>
      <c r="W20" s="11">
        <v>543</v>
      </c>
      <c r="X20" s="11">
        <v>266</v>
      </c>
      <c r="Z20">
        <v>2</v>
      </c>
      <c r="AA20" s="124">
        <f t="shared" si="0"/>
        <v>2489.915981261347</v>
      </c>
      <c r="AB20" s="124">
        <f t="shared" si="1"/>
        <v>632.33688091275644</v>
      </c>
      <c r="AC20" s="124">
        <f t="shared" si="2"/>
        <v>312.60661953907049</v>
      </c>
    </row>
    <row r="21" spans="2:32" x14ac:dyDescent="0.25">
      <c r="G21" s="34" t="s">
        <v>86</v>
      </c>
      <c r="H21" s="34" t="s">
        <v>92</v>
      </c>
      <c r="I21" s="34" t="s">
        <v>93</v>
      </c>
      <c r="J21" s="35" t="s">
        <v>89</v>
      </c>
      <c r="K21" s="34">
        <v>45.154879000000001</v>
      </c>
      <c r="L21" s="34">
        <v>-98.601916000000003</v>
      </c>
      <c r="M21" s="34" t="s">
        <v>94</v>
      </c>
      <c r="N21" s="4" t="s">
        <v>95</v>
      </c>
      <c r="O21" t="s">
        <v>54</v>
      </c>
      <c r="P21" t="s">
        <v>55</v>
      </c>
      <c r="Q21" s="5">
        <v>329</v>
      </c>
      <c r="R21" s="1">
        <v>44927</v>
      </c>
      <c r="S21" s="1">
        <v>45168</v>
      </c>
      <c r="T21">
        <v>569</v>
      </c>
      <c r="V21">
        <v>1170</v>
      </c>
      <c r="W21">
        <v>299</v>
      </c>
      <c r="X21">
        <v>1573</v>
      </c>
      <c r="Y21" s="132"/>
      <c r="Z21" s="14">
        <v>2</v>
      </c>
      <c r="AA21" s="133">
        <f t="shared" si="0"/>
        <v>1435.0747281161459</v>
      </c>
      <c r="AB21" s="133">
        <f t="shared" ref="AB21" si="3">W21*$AD$1</f>
        <v>366.74131940745951</v>
      </c>
      <c r="AC21" s="133">
        <f t="shared" ref="AC21" si="4">X21*$AD$1</f>
        <v>1929.3782455783739</v>
      </c>
    </row>
    <row r="22" spans="2:32" x14ac:dyDescent="0.25">
      <c r="B22" s="13">
        <v>45153</v>
      </c>
      <c r="C22" s="32">
        <v>4800</v>
      </c>
      <c r="D22" s="32">
        <v>0</v>
      </c>
      <c r="E22" s="32">
        <v>19075</v>
      </c>
      <c r="F22" s="32">
        <v>23875</v>
      </c>
      <c r="G22" s="8" t="s">
        <v>86</v>
      </c>
      <c r="H22" s="8" t="s">
        <v>92</v>
      </c>
      <c r="I22" s="8" t="s">
        <v>93</v>
      </c>
      <c r="J22" s="9" t="s">
        <v>89</v>
      </c>
      <c r="K22" s="8">
        <v>45.154879000000001</v>
      </c>
      <c r="L22" s="8">
        <v>-98.601916000000003</v>
      </c>
      <c r="M22" s="8" t="s">
        <v>94</v>
      </c>
      <c r="N22" s="10" t="s">
        <v>95</v>
      </c>
      <c r="O22" s="11" t="s">
        <v>56</v>
      </c>
      <c r="P22" s="11" t="s">
        <v>57</v>
      </c>
      <c r="Q22" s="12">
        <v>340</v>
      </c>
      <c r="R22" s="13">
        <v>44927</v>
      </c>
      <c r="S22" s="13">
        <v>45168</v>
      </c>
      <c r="T22" s="11">
        <v>569</v>
      </c>
      <c r="U22" s="11"/>
      <c r="V22" s="11">
        <v>989</v>
      </c>
      <c r="W22" s="11">
        <v>272</v>
      </c>
      <c r="X22" s="11">
        <v>141</v>
      </c>
      <c r="Y22" s="36"/>
      <c r="Z22" s="11">
        <v>2</v>
      </c>
      <c r="AA22" s="135">
        <v>2489.915981261347</v>
      </c>
      <c r="AB22" s="135">
        <v>632.33688091275644</v>
      </c>
      <c r="AC22" s="135">
        <v>312.60661953907049</v>
      </c>
    </row>
    <row r="23" spans="2:32" x14ac:dyDescent="0.25">
      <c r="G23" s="20" t="s">
        <v>96</v>
      </c>
      <c r="H23" s="20" t="s">
        <v>97</v>
      </c>
      <c r="I23" s="20" t="s">
        <v>98</v>
      </c>
      <c r="J23" s="21" t="s">
        <v>99</v>
      </c>
      <c r="K23" s="20">
        <v>43.279971000000003</v>
      </c>
      <c r="L23" s="20">
        <v>-97.366298</v>
      </c>
      <c r="M23" s="20" t="s">
        <v>100</v>
      </c>
      <c r="N23" s="4" t="s">
        <v>101</v>
      </c>
      <c r="O23" t="s">
        <v>83</v>
      </c>
      <c r="P23" t="s">
        <v>84</v>
      </c>
      <c r="Q23" s="5">
        <v>328</v>
      </c>
      <c r="R23" s="1">
        <v>45078</v>
      </c>
      <c r="S23" s="1">
        <v>45146</v>
      </c>
      <c r="T23">
        <v>12</v>
      </c>
      <c r="Z23">
        <v>2</v>
      </c>
      <c r="AA23" s="123">
        <v>83.406052574271726</v>
      </c>
      <c r="AB23" s="123">
        <v>24.455017493863508</v>
      </c>
      <c r="AC23" s="123">
        <v>16.452979975740551</v>
      </c>
    </row>
    <row r="24" spans="2:32" x14ac:dyDescent="0.25">
      <c r="G24" s="6" t="s">
        <v>96</v>
      </c>
      <c r="H24" s="6" t="s">
        <v>97</v>
      </c>
      <c r="I24" s="6" t="s">
        <v>98</v>
      </c>
      <c r="J24" s="7" t="s">
        <v>99</v>
      </c>
      <c r="K24" s="6">
        <v>43.279971000000003</v>
      </c>
      <c r="L24" s="6">
        <v>-97.366298</v>
      </c>
      <c r="M24" s="6" t="s">
        <v>100</v>
      </c>
      <c r="N24" s="4" t="s">
        <v>102</v>
      </c>
      <c r="O24" t="s">
        <v>54</v>
      </c>
      <c r="P24" t="s">
        <v>55</v>
      </c>
      <c r="Q24" s="5">
        <v>329</v>
      </c>
      <c r="R24" s="1">
        <v>45078</v>
      </c>
      <c r="S24" s="1">
        <v>45146</v>
      </c>
      <c r="T24">
        <v>13</v>
      </c>
      <c r="V24">
        <v>35</v>
      </c>
      <c r="W24">
        <v>6</v>
      </c>
      <c r="X24">
        <v>4</v>
      </c>
      <c r="Y24" s="29" t="s">
        <v>96</v>
      </c>
      <c r="Z24">
        <v>2</v>
      </c>
      <c r="AA24" s="124">
        <v>83.406052574271726</v>
      </c>
      <c r="AB24" s="124">
        <v>24.455017493863508</v>
      </c>
      <c r="AC24" s="124">
        <v>16.452979975740551</v>
      </c>
    </row>
    <row r="25" spans="2:32" x14ac:dyDescent="0.25">
      <c r="B25" s="1">
        <v>45135</v>
      </c>
      <c r="C25" s="31">
        <v>311.5</v>
      </c>
      <c r="D25" s="31">
        <v>0</v>
      </c>
      <c r="E25" s="31">
        <v>381.45</v>
      </c>
      <c r="F25" s="31">
        <v>692.95</v>
      </c>
      <c r="G25" s="6" t="s">
        <v>96</v>
      </c>
      <c r="H25" s="6" t="s">
        <v>97</v>
      </c>
      <c r="I25" s="6" t="s">
        <v>98</v>
      </c>
      <c r="J25" s="7" t="s">
        <v>99</v>
      </c>
      <c r="K25" s="6">
        <v>43.279971000000003</v>
      </c>
      <c r="L25" s="6">
        <v>-97.366298</v>
      </c>
      <c r="M25" s="6" t="s">
        <v>100</v>
      </c>
      <c r="N25" s="4" t="s">
        <v>103</v>
      </c>
      <c r="O25" t="s">
        <v>56</v>
      </c>
      <c r="P25" t="s">
        <v>57</v>
      </c>
      <c r="Q25" s="5">
        <v>340</v>
      </c>
      <c r="R25" s="1">
        <v>45078</v>
      </c>
      <c r="S25" s="1">
        <v>45146</v>
      </c>
      <c r="T25">
        <v>12</v>
      </c>
      <c r="V25">
        <v>68</v>
      </c>
      <c r="W25">
        <v>21</v>
      </c>
      <c r="X25">
        <v>14</v>
      </c>
      <c r="Y25" s="29" t="s">
        <v>96</v>
      </c>
      <c r="Z25">
        <v>2</v>
      </c>
      <c r="AA25" s="124">
        <f t="shared" si="0"/>
        <v>83.406052574271726</v>
      </c>
      <c r="AB25" s="124">
        <f t="shared" si="1"/>
        <v>24.455017493863508</v>
      </c>
      <c r="AC25" s="124">
        <f t="shared" si="2"/>
        <v>16.452979975740551</v>
      </c>
    </row>
    <row r="26" spans="2:32" x14ac:dyDescent="0.25">
      <c r="B26" s="11"/>
      <c r="C26" s="32"/>
      <c r="D26" s="32"/>
      <c r="E26" s="32"/>
      <c r="F26" s="32"/>
      <c r="G26" s="8" t="s">
        <v>96</v>
      </c>
      <c r="H26" s="8" t="s">
        <v>97</v>
      </c>
      <c r="I26" s="8" t="s">
        <v>98</v>
      </c>
      <c r="J26" s="9" t="s">
        <v>99</v>
      </c>
      <c r="K26" s="8">
        <v>43.279971000000003</v>
      </c>
      <c r="L26" s="8">
        <v>-97.366298</v>
      </c>
      <c r="M26" s="8" t="s">
        <v>100</v>
      </c>
      <c r="N26" s="10" t="s">
        <v>104</v>
      </c>
      <c r="O26" s="11" t="s">
        <v>105</v>
      </c>
      <c r="P26" s="11" t="s">
        <v>741</v>
      </c>
      <c r="Q26" s="12">
        <v>528</v>
      </c>
      <c r="R26" s="13">
        <v>45078</v>
      </c>
      <c r="S26" s="13">
        <v>45146</v>
      </c>
      <c r="T26" s="11">
        <v>12.46</v>
      </c>
      <c r="U26" s="11"/>
      <c r="V26" s="11"/>
      <c r="W26" s="11"/>
      <c r="X26" s="11"/>
      <c r="Y26" s="29" t="s">
        <v>96</v>
      </c>
      <c r="Z26">
        <v>2</v>
      </c>
      <c r="AA26" s="124">
        <v>83.406052574271726</v>
      </c>
      <c r="AB26" s="124">
        <v>24.455017493863508</v>
      </c>
      <c r="AC26" s="124">
        <v>16.452979975740551</v>
      </c>
    </row>
    <row r="27" spans="2:32" x14ac:dyDescent="0.25">
      <c r="G27" s="34" t="s">
        <v>96</v>
      </c>
      <c r="H27" s="34" t="s">
        <v>106</v>
      </c>
      <c r="I27" s="34" t="s">
        <v>107</v>
      </c>
      <c r="J27" s="35" t="s">
        <v>99</v>
      </c>
      <c r="K27" s="34">
        <v>43.440432999999999</v>
      </c>
      <c r="L27" s="34">
        <v>-97.455648999999994</v>
      </c>
      <c r="M27" s="34" t="s">
        <v>100</v>
      </c>
      <c r="N27" s="4" t="s">
        <v>108</v>
      </c>
      <c r="O27" t="s">
        <v>83</v>
      </c>
      <c r="P27" t="s">
        <v>84</v>
      </c>
      <c r="Q27" s="5">
        <v>328</v>
      </c>
      <c r="R27" s="1">
        <v>45122</v>
      </c>
      <c r="S27" s="1">
        <v>45146</v>
      </c>
      <c r="T27">
        <v>152</v>
      </c>
      <c r="Y27" s="139" t="s">
        <v>96</v>
      </c>
      <c r="Z27" s="14">
        <v>2</v>
      </c>
      <c r="AA27" s="133">
        <v>593.65484479334577</v>
      </c>
      <c r="AB27" s="133">
        <v>221.2596820873365</v>
      </c>
      <c r="AC27" s="133">
        <v>38.782024228531299</v>
      </c>
    </row>
    <row r="28" spans="2:32" x14ac:dyDescent="0.25">
      <c r="G28" s="6" t="s">
        <v>96</v>
      </c>
      <c r="H28" s="6" t="s">
        <v>106</v>
      </c>
      <c r="I28" s="6" t="s">
        <v>107</v>
      </c>
      <c r="J28" s="7" t="s">
        <v>99</v>
      </c>
      <c r="K28" s="6">
        <v>43.440432999999999</v>
      </c>
      <c r="L28" s="6">
        <v>-97.455648999999994</v>
      </c>
      <c r="M28" s="6" t="s">
        <v>100</v>
      </c>
      <c r="N28" s="4" t="s">
        <v>108</v>
      </c>
      <c r="O28" t="s">
        <v>54</v>
      </c>
      <c r="P28" t="s">
        <v>55</v>
      </c>
      <c r="Q28" s="5">
        <v>329</v>
      </c>
      <c r="R28" s="1">
        <v>45122</v>
      </c>
      <c r="S28" s="1">
        <v>45146</v>
      </c>
      <c r="T28">
        <v>152</v>
      </c>
      <c r="V28">
        <v>484</v>
      </c>
      <c r="W28">
        <v>190</v>
      </c>
      <c r="X28">
        <v>33</v>
      </c>
      <c r="Y28" s="29" t="s">
        <v>96</v>
      </c>
      <c r="Z28">
        <v>2</v>
      </c>
      <c r="AA28" s="124">
        <f t="shared" si="0"/>
        <v>593.65484479334577</v>
      </c>
      <c r="AB28" s="124">
        <f t="shared" si="1"/>
        <v>221.2596820873365</v>
      </c>
      <c r="AC28" s="124">
        <f t="shared" si="2"/>
        <v>38.782024228531299</v>
      </c>
    </row>
    <row r="29" spans="2:32" x14ac:dyDescent="0.25">
      <c r="B29" s="1">
        <v>45131</v>
      </c>
      <c r="C29" s="31">
        <v>3800</v>
      </c>
      <c r="D29" s="31">
        <v>0</v>
      </c>
      <c r="E29" s="31">
        <v>6789.84</v>
      </c>
      <c r="F29" s="31">
        <v>10589.84</v>
      </c>
      <c r="G29" s="6" t="s">
        <v>96</v>
      </c>
      <c r="H29" s="6" t="s">
        <v>106</v>
      </c>
      <c r="I29" s="6" t="s">
        <v>107</v>
      </c>
      <c r="J29" s="7" t="s">
        <v>99</v>
      </c>
      <c r="K29" s="6">
        <v>43.440432999999999</v>
      </c>
      <c r="L29" s="6">
        <v>-97.455648999999994</v>
      </c>
      <c r="M29" s="6" t="s">
        <v>100</v>
      </c>
      <c r="N29" s="4" t="s">
        <v>108</v>
      </c>
      <c r="O29" t="s">
        <v>56</v>
      </c>
      <c r="P29" t="s">
        <v>57</v>
      </c>
      <c r="Q29" s="5">
        <v>340</v>
      </c>
      <c r="R29" s="1">
        <v>45122</v>
      </c>
      <c r="S29" s="1">
        <v>45147</v>
      </c>
      <c r="T29">
        <v>152</v>
      </c>
      <c r="V29">
        <v>172</v>
      </c>
      <c r="W29">
        <v>48</v>
      </c>
      <c r="X29">
        <v>33</v>
      </c>
      <c r="Y29" s="29" t="s">
        <v>96</v>
      </c>
      <c r="Z29">
        <v>2</v>
      </c>
      <c r="AA29" s="124">
        <v>593.65484479334577</v>
      </c>
      <c r="AB29" s="124">
        <v>221.2596820873365</v>
      </c>
      <c r="AC29" s="124">
        <v>38.782024228531299</v>
      </c>
    </row>
    <row r="30" spans="2:32" x14ac:dyDescent="0.25">
      <c r="B30" s="11"/>
      <c r="C30" s="32"/>
      <c r="D30" s="32"/>
      <c r="E30" s="32"/>
      <c r="F30" s="32"/>
      <c r="G30" s="8" t="s">
        <v>96</v>
      </c>
      <c r="H30" s="8" t="s">
        <v>106</v>
      </c>
      <c r="I30" s="8" t="s">
        <v>107</v>
      </c>
      <c r="J30" s="9" t="s">
        <v>99</v>
      </c>
      <c r="K30" s="8">
        <v>43.440432999999999</v>
      </c>
      <c r="L30" s="8">
        <v>-97.455648999999994</v>
      </c>
      <c r="M30" s="8" t="s">
        <v>100</v>
      </c>
      <c r="N30" s="10" t="s">
        <v>108</v>
      </c>
      <c r="O30" s="11" t="s">
        <v>105</v>
      </c>
      <c r="P30" s="11" t="s">
        <v>741</v>
      </c>
      <c r="Q30" s="12">
        <v>528</v>
      </c>
      <c r="R30" s="13">
        <v>45122</v>
      </c>
      <c r="S30" s="13">
        <v>45147</v>
      </c>
      <c r="T30" s="11">
        <v>152</v>
      </c>
      <c r="U30" s="11"/>
      <c r="V30" s="11"/>
      <c r="W30" s="11"/>
      <c r="X30" s="11"/>
      <c r="Y30" s="140" t="s">
        <v>96</v>
      </c>
      <c r="Z30" s="11">
        <v>2</v>
      </c>
      <c r="AA30" s="135">
        <v>593.65484479334577</v>
      </c>
      <c r="AB30" s="135">
        <v>221.2596820873365</v>
      </c>
      <c r="AC30" s="135">
        <v>38.782024228531299</v>
      </c>
    </row>
    <row r="31" spans="2:32" x14ac:dyDescent="0.25">
      <c r="B31" s="1">
        <v>44550</v>
      </c>
      <c r="C31" s="31">
        <v>0</v>
      </c>
      <c r="D31" s="31">
        <v>0</v>
      </c>
      <c r="E31" s="31">
        <v>0</v>
      </c>
      <c r="F31" s="31">
        <v>9075</v>
      </c>
      <c r="G31" s="20" t="s">
        <v>109</v>
      </c>
      <c r="H31" s="20" t="s">
        <v>110</v>
      </c>
      <c r="I31" s="20" t="s">
        <v>111</v>
      </c>
      <c r="J31" s="21" t="s">
        <v>112</v>
      </c>
      <c r="K31" s="20">
        <v>43.265368000000002</v>
      </c>
      <c r="L31" s="20">
        <v>-98.529054000000002</v>
      </c>
      <c r="M31" s="20" t="s">
        <v>113</v>
      </c>
      <c r="N31" s="4">
        <v>20211004</v>
      </c>
      <c r="O31" t="s">
        <v>54</v>
      </c>
      <c r="P31" t="s">
        <v>55</v>
      </c>
      <c r="Q31" s="5">
        <v>329</v>
      </c>
      <c r="R31" s="1">
        <v>44317</v>
      </c>
      <c r="S31" s="1">
        <v>44409</v>
      </c>
      <c r="T31">
        <v>160</v>
      </c>
      <c r="V31">
        <v>438</v>
      </c>
      <c r="W31">
        <v>101</v>
      </c>
      <c r="X31">
        <v>68</v>
      </c>
      <c r="Z31">
        <v>2</v>
      </c>
      <c r="AA31" s="123">
        <v>1392.1451422323296</v>
      </c>
      <c r="AB31" s="123">
        <v>441.35483953210809</v>
      </c>
      <c r="AC31" s="123">
        <v>311.43140668366044</v>
      </c>
    </row>
    <row r="32" spans="2:32" x14ac:dyDescent="0.25">
      <c r="B32" s="1">
        <v>44410</v>
      </c>
      <c r="C32" s="31">
        <v>0</v>
      </c>
      <c r="D32" s="31">
        <v>1622.36</v>
      </c>
      <c r="E32" s="31">
        <v>1472.4</v>
      </c>
      <c r="F32" s="31">
        <v>10580.1</v>
      </c>
      <c r="G32" s="6" t="s">
        <v>109</v>
      </c>
      <c r="H32" s="6" t="s">
        <v>110</v>
      </c>
      <c r="I32" s="6" t="s">
        <v>111</v>
      </c>
      <c r="J32" s="7" t="s">
        <v>112</v>
      </c>
      <c r="K32" s="6">
        <v>43.265368000000002</v>
      </c>
      <c r="L32" s="6">
        <v>-98.529054000000002</v>
      </c>
      <c r="M32" s="6" t="s">
        <v>113</v>
      </c>
      <c r="N32" s="4">
        <v>20211004</v>
      </c>
      <c r="O32" t="s">
        <v>56</v>
      </c>
      <c r="P32" t="s">
        <v>57</v>
      </c>
      <c r="Q32" s="5">
        <v>340</v>
      </c>
      <c r="R32" s="1">
        <v>44317</v>
      </c>
      <c r="S32" s="1">
        <v>44409</v>
      </c>
      <c r="T32">
        <v>160</v>
      </c>
      <c r="V32">
        <v>1135</v>
      </c>
      <c r="W32">
        <v>379</v>
      </c>
      <c r="X32">
        <v>265</v>
      </c>
      <c r="Z32">
        <v>2</v>
      </c>
      <c r="AA32" s="124">
        <f t="shared" si="0"/>
        <v>1392.1451422323296</v>
      </c>
      <c r="AB32" s="124">
        <f t="shared" si="1"/>
        <v>441.35483953210809</v>
      </c>
      <c r="AC32" s="124">
        <f t="shared" si="2"/>
        <v>311.43140668366044</v>
      </c>
    </row>
    <row r="33" spans="1:33" s="28" customFormat="1" x14ac:dyDescent="0.25">
      <c r="A33"/>
      <c r="B33"/>
      <c r="C33" s="31"/>
      <c r="D33" s="31"/>
      <c r="E33" s="31"/>
      <c r="F33" s="31"/>
      <c r="G33" s="6" t="s">
        <v>109</v>
      </c>
      <c r="H33" s="6" t="s">
        <v>110</v>
      </c>
      <c r="I33" s="6" t="s">
        <v>111</v>
      </c>
      <c r="J33" s="7" t="s">
        <v>112</v>
      </c>
      <c r="K33" s="6">
        <v>43.265368000000002</v>
      </c>
      <c r="L33" s="6">
        <v>-98.529054000000002</v>
      </c>
      <c r="M33" s="6" t="s">
        <v>113</v>
      </c>
      <c r="N33" s="4">
        <v>20211004</v>
      </c>
      <c r="O33" t="s">
        <v>105</v>
      </c>
      <c r="P33" s="11" t="s">
        <v>741</v>
      </c>
      <c r="Q33" s="12">
        <v>528</v>
      </c>
      <c r="R33" s="1">
        <v>44317</v>
      </c>
      <c r="S33" s="1">
        <v>44409</v>
      </c>
      <c r="T33">
        <v>160</v>
      </c>
      <c r="U33"/>
      <c r="V33"/>
      <c r="W33"/>
      <c r="X33"/>
      <c r="Z33">
        <v>2</v>
      </c>
      <c r="AA33" s="124">
        <v>1392.1451422323296</v>
      </c>
      <c r="AB33" s="124">
        <v>441.35483953210809</v>
      </c>
      <c r="AC33" s="124">
        <v>311.43140668366044</v>
      </c>
      <c r="AD33" s="29"/>
      <c r="AE33" s="29"/>
      <c r="AF33" s="29"/>
    </row>
    <row r="34" spans="1:33" s="28" customFormat="1" x14ac:dyDescent="0.25">
      <c r="A34"/>
      <c r="B34"/>
      <c r="C34" s="31"/>
      <c r="D34" s="31"/>
      <c r="E34" s="31"/>
      <c r="F34" s="31"/>
      <c r="G34" s="6" t="s">
        <v>109</v>
      </c>
      <c r="H34" s="6" t="s">
        <v>110</v>
      </c>
      <c r="I34" s="6" t="s">
        <v>111</v>
      </c>
      <c r="J34" s="7" t="s">
        <v>112</v>
      </c>
      <c r="K34" s="6">
        <v>43.265368000000002</v>
      </c>
      <c r="L34" s="6">
        <v>-98.529054000000002</v>
      </c>
      <c r="M34" s="6" t="s">
        <v>113</v>
      </c>
      <c r="N34" s="4" t="s">
        <v>114</v>
      </c>
      <c r="O34" t="s">
        <v>54</v>
      </c>
      <c r="P34" t="s">
        <v>55</v>
      </c>
      <c r="Q34" s="5">
        <v>329</v>
      </c>
      <c r="R34" s="1">
        <v>45031</v>
      </c>
      <c r="S34" s="1">
        <v>45117</v>
      </c>
      <c r="T34">
        <v>160</v>
      </c>
      <c r="U34"/>
      <c r="V34">
        <v>438</v>
      </c>
      <c r="W34">
        <v>101</v>
      </c>
      <c r="X34">
        <v>68</v>
      </c>
      <c r="Z34">
        <v>2</v>
      </c>
      <c r="AA34" s="123">
        <v>1392.1451422323296</v>
      </c>
      <c r="AB34" s="123">
        <v>441.35483953210809</v>
      </c>
      <c r="AC34" s="123">
        <v>311.43140668366044</v>
      </c>
      <c r="AD34" s="29"/>
      <c r="AE34" s="29"/>
      <c r="AF34" s="29"/>
    </row>
    <row r="35" spans="1:33" s="28" customFormat="1" x14ac:dyDescent="0.25">
      <c r="A35"/>
      <c r="B35" s="1">
        <v>45092</v>
      </c>
      <c r="C35" s="31">
        <v>2787.04</v>
      </c>
      <c r="D35" s="31">
        <v>1220.96</v>
      </c>
      <c r="E35" s="31">
        <v>7520</v>
      </c>
      <c r="F35" s="31">
        <v>11528</v>
      </c>
      <c r="G35" s="6" t="s">
        <v>109</v>
      </c>
      <c r="H35" s="6" t="s">
        <v>110</v>
      </c>
      <c r="I35" s="6" t="s">
        <v>111</v>
      </c>
      <c r="J35" s="7" t="s">
        <v>112</v>
      </c>
      <c r="K35" s="6">
        <v>43.265368000000002</v>
      </c>
      <c r="L35" s="6">
        <v>-98.529054000000002</v>
      </c>
      <c r="M35" s="6" t="s">
        <v>113</v>
      </c>
      <c r="N35" s="4" t="s">
        <v>114</v>
      </c>
      <c r="O35" t="s">
        <v>56</v>
      </c>
      <c r="P35" t="s">
        <v>57</v>
      </c>
      <c r="Q35" s="5">
        <v>340</v>
      </c>
      <c r="R35" s="1">
        <v>45031</v>
      </c>
      <c r="S35" s="1">
        <v>45117</v>
      </c>
      <c r="T35">
        <v>160</v>
      </c>
      <c r="U35"/>
      <c r="V35">
        <v>1135</v>
      </c>
      <c r="W35">
        <v>379</v>
      </c>
      <c r="X35">
        <v>265</v>
      </c>
      <c r="Z35">
        <v>2</v>
      </c>
      <c r="AA35" s="124">
        <f t="shared" si="0"/>
        <v>1392.1451422323296</v>
      </c>
      <c r="AB35" s="124">
        <f t="shared" si="1"/>
        <v>441.35483953210809</v>
      </c>
      <c r="AC35" s="124">
        <f t="shared" si="2"/>
        <v>311.43140668366044</v>
      </c>
      <c r="AD35" s="29"/>
      <c r="AE35" s="29"/>
      <c r="AF35" s="29"/>
    </row>
    <row r="36" spans="1:33" s="28" customFormat="1" x14ac:dyDescent="0.25">
      <c r="A36"/>
      <c r="B36" s="11"/>
      <c r="C36" s="32"/>
      <c r="D36" s="32"/>
      <c r="E36" s="32"/>
      <c r="F36" s="32"/>
      <c r="G36" s="8" t="s">
        <v>109</v>
      </c>
      <c r="H36" s="8" t="s">
        <v>110</v>
      </c>
      <c r="I36" s="8" t="s">
        <v>111</v>
      </c>
      <c r="J36" s="9" t="s">
        <v>112</v>
      </c>
      <c r="K36" s="8">
        <v>43.265368000000002</v>
      </c>
      <c r="L36" s="8">
        <v>-98.529054000000002</v>
      </c>
      <c r="M36" s="8" t="s">
        <v>113</v>
      </c>
      <c r="N36" s="10" t="s">
        <v>114</v>
      </c>
      <c r="O36" s="11" t="s">
        <v>105</v>
      </c>
      <c r="P36" s="11" t="s">
        <v>741</v>
      </c>
      <c r="Q36" s="12">
        <v>528</v>
      </c>
      <c r="R36" s="13">
        <v>45031</v>
      </c>
      <c r="S36" s="13">
        <v>45117</v>
      </c>
      <c r="T36" s="11">
        <v>160</v>
      </c>
      <c r="U36" s="11"/>
      <c r="V36" s="11"/>
      <c r="W36" s="11"/>
      <c r="X36" s="11"/>
      <c r="Z36">
        <v>2</v>
      </c>
      <c r="AA36" s="124">
        <v>1392.1451422323296</v>
      </c>
      <c r="AB36" s="124">
        <v>441.35483953210809</v>
      </c>
      <c r="AC36" s="124">
        <v>311.43140668366044</v>
      </c>
      <c r="AD36" s="29"/>
      <c r="AE36" s="29"/>
      <c r="AF36" s="29"/>
    </row>
    <row r="37" spans="1:33" s="53" customFormat="1" x14ac:dyDescent="0.25">
      <c r="A37" s="46"/>
      <c r="B37" s="46" t="s">
        <v>76</v>
      </c>
      <c r="C37" s="47"/>
      <c r="D37" s="47"/>
      <c r="E37" s="47"/>
      <c r="F37" s="47"/>
      <c r="G37" s="48" t="s">
        <v>115</v>
      </c>
      <c r="H37" s="48" t="s">
        <v>116</v>
      </c>
      <c r="I37" s="48" t="s">
        <v>117</v>
      </c>
      <c r="J37" s="49" t="s">
        <v>118</v>
      </c>
      <c r="K37" s="48">
        <v>43.707427000000003</v>
      </c>
      <c r="L37" s="48">
        <v>-96.898537000000005</v>
      </c>
      <c r="M37" s="48" t="s">
        <v>119</v>
      </c>
      <c r="N37" s="50" t="s">
        <v>120</v>
      </c>
      <c r="O37" s="46" t="s">
        <v>54</v>
      </c>
      <c r="P37" s="46" t="s">
        <v>55</v>
      </c>
      <c r="Q37" s="51">
        <v>329</v>
      </c>
      <c r="R37" s="52">
        <v>44287</v>
      </c>
      <c r="S37" s="52">
        <v>44409</v>
      </c>
      <c r="T37" s="46">
        <v>400</v>
      </c>
      <c r="U37" s="46"/>
      <c r="V37" s="46">
        <v>1084</v>
      </c>
      <c r="W37" s="46">
        <v>281</v>
      </c>
      <c r="X37" s="46">
        <v>127</v>
      </c>
      <c r="Y37" s="137"/>
      <c r="Z37" s="76">
        <v>2</v>
      </c>
      <c r="AA37" s="133">
        <f t="shared" si="0"/>
        <v>1329.5906028016257</v>
      </c>
      <c r="AB37" s="133">
        <f t="shared" si="1"/>
        <v>327.23142456074504</v>
      </c>
      <c r="AC37" s="133">
        <f t="shared" si="2"/>
        <v>149.25203263707499</v>
      </c>
      <c r="AD37" s="29"/>
      <c r="AE37" s="29"/>
      <c r="AF37" s="29"/>
    </row>
    <row r="38" spans="1:33" s="53" customFormat="1" x14ac:dyDescent="0.25">
      <c r="A38" s="46"/>
      <c r="B38" s="80" t="s">
        <v>76</v>
      </c>
      <c r="C38" s="55"/>
      <c r="D38" s="55"/>
      <c r="E38" s="55"/>
      <c r="F38" s="55"/>
      <c r="G38" s="8" t="s">
        <v>115</v>
      </c>
      <c r="H38" s="8" t="s">
        <v>116</v>
      </c>
      <c r="I38" s="8" t="s">
        <v>117</v>
      </c>
      <c r="J38" s="9" t="s">
        <v>118</v>
      </c>
      <c r="K38" s="8">
        <v>43.707427000000003</v>
      </c>
      <c r="L38" s="8">
        <v>-96.898537000000005</v>
      </c>
      <c r="M38" s="8" t="s">
        <v>119</v>
      </c>
      <c r="N38" s="56" t="s">
        <v>120</v>
      </c>
      <c r="O38" s="54" t="s">
        <v>56</v>
      </c>
      <c r="P38" s="54" t="s">
        <v>57</v>
      </c>
      <c r="Q38" s="57">
        <v>340</v>
      </c>
      <c r="R38" s="58">
        <v>44287</v>
      </c>
      <c r="S38" s="58">
        <v>44409</v>
      </c>
      <c r="T38" s="54">
        <v>30</v>
      </c>
      <c r="U38" s="54"/>
      <c r="V38" s="54">
        <v>285</v>
      </c>
      <c r="W38" s="54">
        <v>99</v>
      </c>
      <c r="X38" s="54">
        <v>605</v>
      </c>
      <c r="Y38" s="136"/>
      <c r="Z38" s="54">
        <v>2</v>
      </c>
      <c r="AA38" s="135">
        <v>1329.5906028016257</v>
      </c>
      <c r="AB38" s="135">
        <v>327.23142456074504</v>
      </c>
      <c r="AC38" s="135">
        <v>149.25203263707499</v>
      </c>
      <c r="AD38" s="29"/>
      <c r="AE38" s="29"/>
      <c r="AF38" s="29"/>
    </row>
    <row r="39" spans="1:33" s="53" customFormat="1" x14ac:dyDescent="0.25">
      <c r="A39" s="46"/>
      <c r="B39" s="46" t="s">
        <v>76</v>
      </c>
      <c r="C39" s="47"/>
      <c r="D39" s="47"/>
      <c r="E39" s="47"/>
      <c r="F39" s="47"/>
      <c r="G39" s="48" t="s">
        <v>121</v>
      </c>
      <c r="H39" s="48" t="s">
        <v>122</v>
      </c>
      <c r="I39" s="48" t="s">
        <v>123</v>
      </c>
      <c r="J39" s="49" t="s">
        <v>80</v>
      </c>
      <c r="K39" s="48">
        <v>43.671343999999998</v>
      </c>
      <c r="L39" s="48">
        <v>-96.464568</v>
      </c>
      <c r="M39" s="48" t="s">
        <v>81</v>
      </c>
      <c r="N39" s="50" t="s">
        <v>124</v>
      </c>
      <c r="O39" s="46" t="s">
        <v>83</v>
      </c>
      <c r="P39" s="46" t="s">
        <v>84</v>
      </c>
      <c r="Q39" s="51">
        <v>328</v>
      </c>
      <c r="R39" s="52">
        <v>44287</v>
      </c>
      <c r="S39" s="52">
        <v>44473</v>
      </c>
      <c r="T39" s="46">
        <v>250</v>
      </c>
      <c r="U39" s="46"/>
      <c r="V39" s="46"/>
      <c r="W39" s="46"/>
      <c r="X39" s="46"/>
      <c r="Z39" s="46">
        <v>2</v>
      </c>
      <c r="AA39" s="123">
        <v>467.31920633525777</v>
      </c>
      <c r="AB39" s="123">
        <v>144.40105567805119</v>
      </c>
      <c r="AC39" s="123">
        <v>97.542666999033273</v>
      </c>
      <c r="AD39" s="29"/>
      <c r="AE39" s="29"/>
      <c r="AF39" s="29"/>
    </row>
    <row r="40" spans="1:33" s="53" customFormat="1" x14ac:dyDescent="0.25">
      <c r="A40" s="46"/>
      <c r="B40" s="38" t="s">
        <v>76</v>
      </c>
      <c r="C40" s="47"/>
      <c r="D40" s="47"/>
      <c r="E40" s="47"/>
      <c r="F40" s="47"/>
      <c r="G40" s="6" t="s">
        <v>121</v>
      </c>
      <c r="H40" s="6" t="s">
        <v>122</v>
      </c>
      <c r="I40" s="6" t="s">
        <v>123</v>
      </c>
      <c r="J40" s="7" t="s">
        <v>80</v>
      </c>
      <c r="K40" s="6">
        <v>43.671343999999998</v>
      </c>
      <c r="L40" s="6">
        <v>-96.464568</v>
      </c>
      <c r="M40" s="6" t="s">
        <v>81</v>
      </c>
      <c r="N40" s="50" t="s">
        <v>124</v>
      </c>
      <c r="O40" s="46" t="s">
        <v>54</v>
      </c>
      <c r="P40" s="46" t="s">
        <v>55</v>
      </c>
      <c r="Q40" s="51">
        <v>329</v>
      </c>
      <c r="R40" s="52">
        <v>44287</v>
      </c>
      <c r="S40" s="52">
        <v>44409</v>
      </c>
      <c r="T40" s="46">
        <v>250</v>
      </c>
      <c r="U40" s="46"/>
      <c r="V40" s="46">
        <v>363</v>
      </c>
      <c r="W40" s="46">
        <v>69</v>
      </c>
      <c r="X40" s="46">
        <v>45</v>
      </c>
      <c r="Z40" s="46">
        <v>2</v>
      </c>
      <c r="AA40" s="124">
        <v>467.31920633525777</v>
      </c>
      <c r="AB40" s="124">
        <v>144.40105567805119</v>
      </c>
      <c r="AC40" s="124">
        <v>97.542666999033273</v>
      </c>
      <c r="AD40" s="29"/>
      <c r="AE40" s="29"/>
      <c r="AF40" s="29"/>
    </row>
    <row r="41" spans="1:33" s="53" customFormat="1" x14ac:dyDescent="0.25">
      <c r="A41" s="46"/>
      <c r="B41" s="38" t="s">
        <v>76</v>
      </c>
      <c r="C41" s="47"/>
      <c r="D41" s="47"/>
      <c r="E41" s="47"/>
      <c r="F41" s="47"/>
      <c r="G41" s="6" t="s">
        <v>121</v>
      </c>
      <c r="H41" s="6" t="s">
        <v>122</v>
      </c>
      <c r="I41" s="6" t="s">
        <v>123</v>
      </c>
      <c r="J41" s="7" t="s">
        <v>80</v>
      </c>
      <c r="K41" s="6">
        <v>43.671343999999998</v>
      </c>
      <c r="L41" s="6">
        <v>-96.464568</v>
      </c>
      <c r="M41" s="6" t="s">
        <v>81</v>
      </c>
      <c r="N41" s="50" t="s">
        <v>124</v>
      </c>
      <c r="O41" s="46" t="s">
        <v>56</v>
      </c>
      <c r="P41" s="46" t="s">
        <v>57</v>
      </c>
      <c r="Q41" s="51">
        <v>340</v>
      </c>
      <c r="R41" s="52">
        <v>44287</v>
      </c>
      <c r="S41" s="52">
        <v>44409</v>
      </c>
      <c r="T41" s="46">
        <v>250</v>
      </c>
      <c r="U41" s="46"/>
      <c r="V41" s="46">
        <v>381</v>
      </c>
      <c r="W41" s="46">
        <v>124</v>
      </c>
      <c r="X41" s="46">
        <v>83</v>
      </c>
      <c r="Z41" s="46">
        <v>2</v>
      </c>
      <c r="AA41" s="124">
        <f t="shared" si="0"/>
        <v>467.31920633525777</v>
      </c>
      <c r="AB41" s="124">
        <f t="shared" si="1"/>
        <v>144.40105567805119</v>
      </c>
      <c r="AC41" s="124">
        <f t="shared" si="2"/>
        <v>97.542666999033273</v>
      </c>
      <c r="AD41" s="29"/>
      <c r="AE41" s="29"/>
      <c r="AF41" s="29"/>
    </row>
    <row r="42" spans="1:33" s="53" customFormat="1" x14ac:dyDescent="0.25">
      <c r="A42" s="46"/>
      <c r="B42" s="38" t="s">
        <v>76</v>
      </c>
      <c r="C42" s="47"/>
      <c r="D42" s="47"/>
      <c r="E42" s="47"/>
      <c r="F42" s="47"/>
      <c r="G42" s="6" t="s">
        <v>121</v>
      </c>
      <c r="H42" s="6" t="s">
        <v>122</v>
      </c>
      <c r="I42" s="6" t="s">
        <v>123</v>
      </c>
      <c r="J42" s="7" t="s">
        <v>80</v>
      </c>
      <c r="K42" s="6">
        <v>43.671343999999998</v>
      </c>
      <c r="L42" s="6">
        <v>-96.464568</v>
      </c>
      <c r="M42" s="6" t="s">
        <v>81</v>
      </c>
      <c r="N42" s="50" t="s">
        <v>125</v>
      </c>
      <c r="O42" s="46" t="s">
        <v>83</v>
      </c>
      <c r="P42" s="46" t="s">
        <v>84</v>
      </c>
      <c r="Q42" s="51">
        <v>328</v>
      </c>
      <c r="R42" s="52">
        <v>44703</v>
      </c>
      <c r="S42" s="52">
        <v>44845</v>
      </c>
      <c r="T42" s="46">
        <v>250</v>
      </c>
      <c r="U42" s="46"/>
      <c r="V42" s="46"/>
      <c r="W42" s="46"/>
      <c r="X42" s="46"/>
      <c r="Z42" s="46">
        <v>2</v>
      </c>
      <c r="AA42" s="123">
        <v>1378.6529866688445</v>
      </c>
      <c r="AB42" s="123">
        <v>241.05660101094028</v>
      </c>
      <c r="AC42" s="123">
        <v>153.95288405871517</v>
      </c>
      <c r="AD42" s="29"/>
      <c r="AE42" s="29"/>
      <c r="AF42" s="29"/>
      <c r="AG42" s="126"/>
    </row>
    <row r="43" spans="1:33" s="53" customFormat="1" x14ac:dyDescent="0.25">
      <c r="A43" s="46"/>
      <c r="B43" s="38" t="s">
        <v>76</v>
      </c>
      <c r="C43" s="47"/>
      <c r="D43" s="47"/>
      <c r="E43" s="47"/>
      <c r="F43" s="47"/>
      <c r="G43" s="6" t="s">
        <v>121</v>
      </c>
      <c r="H43" s="6" t="s">
        <v>122</v>
      </c>
      <c r="I43" s="6" t="s">
        <v>123</v>
      </c>
      <c r="J43" s="7" t="s">
        <v>80</v>
      </c>
      <c r="K43" s="6">
        <v>43.671343999999998</v>
      </c>
      <c r="L43" s="6">
        <v>-96.464568</v>
      </c>
      <c r="M43" s="6" t="s">
        <v>81</v>
      </c>
      <c r="N43" s="50" t="s">
        <v>125</v>
      </c>
      <c r="O43" s="46" t="s">
        <v>54</v>
      </c>
      <c r="P43" s="46" t="s">
        <v>55</v>
      </c>
      <c r="Q43" s="51">
        <v>329</v>
      </c>
      <c r="R43" s="52">
        <v>44703</v>
      </c>
      <c r="S43" s="52">
        <v>44845</v>
      </c>
      <c r="T43" s="46">
        <v>250</v>
      </c>
      <c r="U43" s="46"/>
      <c r="V43" s="46">
        <v>1124</v>
      </c>
      <c r="W43" s="46">
        <v>207</v>
      </c>
      <c r="X43" s="46">
        <v>131</v>
      </c>
      <c r="Z43" s="46">
        <v>2</v>
      </c>
      <c r="AA43" s="124">
        <f t="shared" si="0"/>
        <v>1378.6529866688445</v>
      </c>
      <c r="AB43" s="124">
        <f t="shared" si="1"/>
        <v>241.05660101094028</v>
      </c>
      <c r="AC43" s="124">
        <f t="shared" si="2"/>
        <v>153.95288405871517</v>
      </c>
      <c r="AD43" s="29"/>
      <c r="AE43" s="29"/>
      <c r="AF43" s="29"/>
    </row>
    <row r="44" spans="1:33" s="53" customFormat="1" x14ac:dyDescent="0.25">
      <c r="A44" s="46"/>
      <c r="B44" s="38" t="s">
        <v>76</v>
      </c>
      <c r="C44" s="47"/>
      <c r="D44" s="47"/>
      <c r="E44" s="47"/>
      <c r="F44" s="47"/>
      <c r="G44" s="6" t="s">
        <v>121</v>
      </c>
      <c r="H44" s="6" t="s">
        <v>122</v>
      </c>
      <c r="I44" s="6" t="s">
        <v>123</v>
      </c>
      <c r="J44" s="7" t="s">
        <v>80</v>
      </c>
      <c r="K44" s="6">
        <v>43.671343999999998</v>
      </c>
      <c r="L44" s="6">
        <v>-96.464568</v>
      </c>
      <c r="M44" s="6" t="s">
        <v>81</v>
      </c>
      <c r="N44" s="50" t="s">
        <v>125</v>
      </c>
      <c r="O44" s="46" t="s">
        <v>56</v>
      </c>
      <c r="P44" s="46" t="s">
        <v>57</v>
      </c>
      <c r="Q44" s="51">
        <v>340</v>
      </c>
      <c r="R44" s="52">
        <v>44703</v>
      </c>
      <c r="S44" s="52">
        <v>44845</v>
      </c>
      <c r="T44" s="46">
        <v>250</v>
      </c>
      <c r="U44" s="46"/>
      <c r="V44" s="46">
        <v>684</v>
      </c>
      <c r="W44" s="46">
        <v>229</v>
      </c>
      <c r="X44" s="46">
        <v>164</v>
      </c>
      <c r="Z44" s="46">
        <v>2</v>
      </c>
      <c r="AA44" s="124">
        <v>1378.6529866688445</v>
      </c>
      <c r="AB44" s="124">
        <v>241.05660101094028</v>
      </c>
      <c r="AC44" s="124">
        <v>153.95288405871517</v>
      </c>
      <c r="AD44" s="29"/>
      <c r="AE44" s="29"/>
      <c r="AF44" s="29"/>
    </row>
    <row r="45" spans="1:33" s="53" customFormat="1" x14ac:dyDescent="0.25">
      <c r="A45" s="46"/>
      <c r="B45" s="80" t="s">
        <v>76</v>
      </c>
      <c r="C45" s="55"/>
      <c r="D45" s="55"/>
      <c r="E45" s="55"/>
      <c r="F45" s="55"/>
      <c r="G45" s="8" t="s">
        <v>121</v>
      </c>
      <c r="H45" s="8" t="s">
        <v>122</v>
      </c>
      <c r="I45" s="8" t="s">
        <v>123</v>
      </c>
      <c r="J45" s="9" t="s">
        <v>80</v>
      </c>
      <c r="K45" s="8">
        <v>43.671343999999998</v>
      </c>
      <c r="L45" s="8">
        <v>-96.464568</v>
      </c>
      <c r="M45" s="8" t="s">
        <v>81</v>
      </c>
      <c r="N45" s="56" t="s">
        <v>125</v>
      </c>
      <c r="O45" s="54" t="s">
        <v>105</v>
      </c>
      <c r="P45" s="54" t="s">
        <v>741</v>
      </c>
      <c r="Q45" s="57">
        <v>528</v>
      </c>
      <c r="R45" s="58">
        <v>44703</v>
      </c>
      <c r="S45" s="58">
        <v>44845</v>
      </c>
      <c r="T45" s="54">
        <v>250</v>
      </c>
      <c r="U45" s="54"/>
      <c r="V45" s="54"/>
      <c r="W45" s="54"/>
      <c r="X45" s="54"/>
      <c r="Z45" s="46">
        <v>2</v>
      </c>
      <c r="AA45" s="124">
        <v>1378.6529866688445</v>
      </c>
      <c r="AB45" s="124">
        <v>241.05660101094028</v>
      </c>
      <c r="AC45" s="124">
        <v>153.95288405871517</v>
      </c>
      <c r="AD45" s="29"/>
      <c r="AE45" s="29"/>
      <c r="AF45" s="29"/>
    </row>
    <row r="46" spans="1:33" s="53" customFormat="1" x14ac:dyDescent="0.25">
      <c r="A46" s="46"/>
      <c r="B46" s="46" t="s">
        <v>76</v>
      </c>
      <c r="C46" s="47"/>
      <c r="D46" s="47"/>
      <c r="E46" s="47"/>
      <c r="F46" s="47"/>
      <c r="G46" s="48" t="s">
        <v>121</v>
      </c>
      <c r="H46" s="48" t="s">
        <v>126</v>
      </c>
      <c r="I46" s="48" t="s">
        <v>123</v>
      </c>
      <c r="J46" s="49" t="s">
        <v>127</v>
      </c>
      <c r="K46" s="48">
        <v>44.503782000000001</v>
      </c>
      <c r="L46" s="48">
        <v>-97.292654999999996</v>
      </c>
      <c r="M46" s="48" t="s">
        <v>128</v>
      </c>
      <c r="N46" s="50" t="s">
        <v>129</v>
      </c>
      <c r="O46" s="46" t="s">
        <v>54</v>
      </c>
      <c r="P46" s="46" t="s">
        <v>55</v>
      </c>
      <c r="Q46" s="51">
        <v>329</v>
      </c>
      <c r="R46" s="52">
        <v>44287</v>
      </c>
      <c r="S46" s="52">
        <v>44409</v>
      </c>
      <c r="T46" s="46">
        <v>300</v>
      </c>
      <c r="U46" s="46"/>
      <c r="V46" s="46">
        <v>300</v>
      </c>
      <c r="W46" s="46">
        <v>271</v>
      </c>
      <c r="X46" s="46">
        <v>147</v>
      </c>
      <c r="Y46" s="137"/>
      <c r="Z46" s="76">
        <v>2</v>
      </c>
      <c r="AA46" s="133">
        <f t="shared" si="0"/>
        <v>367.96787900413995</v>
      </c>
      <c r="AB46" s="133">
        <f t="shared" si="1"/>
        <v>315.58617813509574</v>
      </c>
      <c r="AC46" s="133">
        <f t="shared" si="2"/>
        <v>172.75628974527578</v>
      </c>
      <c r="AD46" s="29"/>
      <c r="AE46" s="29"/>
      <c r="AF46" s="29"/>
    </row>
    <row r="47" spans="1:33" s="53" customFormat="1" ht="14.4" thickBot="1" x14ac:dyDescent="0.3">
      <c r="A47" s="46"/>
      <c r="B47" s="81" t="s">
        <v>76</v>
      </c>
      <c r="C47" s="60"/>
      <c r="D47" s="60"/>
      <c r="E47" s="60"/>
      <c r="F47" s="60"/>
      <c r="G47" s="61" t="s">
        <v>121</v>
      </c>
      <c r="H47" s="61" t="s">
        <v>126</v>
      </c>
      <c r="I47" s="61" t="s">
        <v>123</v>
      </c>
      <c r="J47" s="62" t="s">
        <v>127</v>
      </c>
      <c r="K47" s="61">
        <v>44.503782000000001</v>
      </c>
      <c r="L47" s="61">
        <v>-97.292654999999996</v>
      </c>
      <c r="M47" s="61" t="s">
        <v>128</v>
      </c>
      <c r="N47" s="63" t="s">
        <v>129</v>
      </c>
      <c r="O47" s="59" t="s">
        <v>56</v>
      </c>
      <c r="P47" s="59" t="s">
        <v>57</v>
      </c>
      <c r="Q47" s="64">
        <v>340</v>
      </c>
      <c r="R47" s="65">
        <v>44287</v>
      </c>
      <c r="S47" s="65">
        <v>44409</v>
      </c>
      <c r="T47" s="59">
        <v>300</v>
      </c>
      <c r="U47" s="59"/>
      <c r="V47" s="59">
        <v>256</v>
      </c>
      <c r="W47" s="59">
        <v>79</v>
      </c>
      <c r="X47" s="59">
        <v>574</v>
      </c>
      <c r="Z47" s="46">
        <v>2</v>
      </c>
      <c r="AA47" s="124">
        <v>367.96787900413995</v>
      </c>
      <c r="AB47" s="124">
        <v>315.58617813509574</v>
      </c>
      <c r="AC47" s="124">
        <v>172.75628974527578</v>
      </c>
      <c r="AD47" s="29"/>
      <c r="AE47" s="29"/>
      <c r="AF47" s="29"/>
    </row>
    <row r="48" spans="1:33" s="28" customFormat="1" x14ac:dyDescent="0.25">
      <c r="A48"/>
      <c r="B48"/>
      <c r="C48" s="31"/>
      <c r="D48" s="31"/>
      <c r="E48" s="31"/>
      <c r="F48" s="31"/>
      <c r="G48" s="20" t="s">
        <v>121</v>
      </c>
      <c r="H48" s="20" t="s">
        <v>126</v>
      </c>
      <c r="I48" s="20" t="s">
        <v>123</v>
      </c>
      <c r="J48" s="21" t="s">
        <v>127</v>
      </c>
      <c r="K48" s="20">
        <v>44.481755</v>
      </c>
      <c r="L48" s="20">
        <v>-97.627313999999998</v>
      </c>
      <c r="M48" s="20" t="s">
        <v>130</v>
      </c>
      <c r="N48" s="4" t="s">
        <v>131</v>
      </c>
      <c r="O48" t="s">
        <v>83</v>
      </c>
      <c r="P48" t="s">
        <v>84</v>
      </c>
      <c r="Q48" s="5">
        <v>328</v>
      </c>
      <c r="R48" s="1">
        <v>45355</v>
      </c>
      <c r="S48" s="1">
        <v>45525</v>
      </c>
      <c r="T48">
        <v>108</v>
      </c>
      <c r="U48"/>
      <c r="V48"/>
      <c r="W48"/>
      <c r="X48"/>
      <c r="Z48">
        <v>3</v>
      </c>
      <c r="AA48" s="123">
        <v>504.11599423567174</v>
      </c>
      <c r="AB48" s="123">
        <v>139.74295710779148</v>
      </c>
      <c r="AC48" s="123">
        <v>86.965751300342916</v>
      </c>
      <c r="AD48" s="29"/>
      <c r="AE48" s="29"/>
      <c r="AF48" s="29"/>
    </row>
    <row r="49" spans="1:32" s="28" customFormat="1" x14ac:dyDescent="0.25">
      <c r="A49"/>
      <c r="B49"/>
      <c r="C49" s="31"/>
      <c r="D49" s="31"/>
      <c r="E49" s="31"/>
      <c r="F49" s="31"/>
      <c r="G49" s="6" t="s">
        <v>121</v>
      </c>
      <c r="H49" s="6" t="s">
        <v>126</v>
      </c>
      <c r="I49" s="6" t="s">
        <v>123</v>
      </c>
      <c r="J49" s="7" t="s">
        <v>127</v>
      </c>
      <c r="K49" s="6">
        <v>44.481755</v>
      </c>
      <c r="L49" s="6">
        <v>-97.627313999999998</v>
      </c>
      <c r="M49" s="6" t="s">
        <v>130</v>
      </c>
      <c r="N49" s="4" t="s">
        <v>131</v>
      </c>
      <c r="O49" t="s">
        <v>54</v>
      </c>
      <c r="P49" t="s">
        <v>55</v>
      </c>
      <c r="Q49" s="5">
        <v>329</v>
      </c>
      <c r="R49" s="1">
        <v>45352</v>
      </c>
      <c r="S49" s="1">
        <v>45600</v>
      </c>
      <c r="T49">
        <v>108</v>
      </c>
      <c r="U49"/>
      <c r="V49">
        <v>232</v>
      </c>
      <c r="W49">
        <v>37</v>
      </c>
      <c r="X49">
        <v>21</v>
      </c>
      <c r="Z49">
        <v>3</v>
      </c>
      <c r="AA49" s="124">
        <v>504.11599423567174</v>
      </c>
      <c r="AB49" s="124">
        <v>139.74295710779148</v>
      </c>
      <c r="AC49" s="124">
        <v>86.965751300342916</v>
      </c>
      <c r="AD49" s="29"/>
      <c r="AE49" s="29"/>
      <c r="AF49" s="29"/>
    </row>
    <row r="50" spans="1:32" s="28" customFormat="1" x14ac:dyDescent="0.25">
      <c r="A50"/>
      <c r="B50" s="13">
        <v>45565</v>
      </c>
      <c r="C50" s="32">
        <v>10693.08</v>
      </c>
      <c r="D50" s="32"/>
      <c r="E50" s="32">
        <v>10693.08</v>
      </c>
      <c r="F50" s="32">
        <v>21386.16</v>
      </c>
      <c r="G50" s="8" t="s">
        <v>121</v>
      </c>
      <c r="H50" s="8" t="s">
        <v>126</v>
      </c>
      <c r="I50" s="8" t="s">
        <v>123</v>
      </c>
      <c r="J50" s="9" t="s">
        <v>127</v>
      </c>
      <c r="K50" s="8">
        <v>44.481755</v>
      </c>
      <c r="L50" s="8">
        <v>-97.627313999999998</v>
      </c>
      <c r="M50" s="8" t="s">
        <v>130</v>
      </c>
      <c r="N50" s="10" t="s">
        <v>131</v>
      </c>
      <c r="O50" s="11" t="s">
        <v>132</v>
      </c>
      <c r="P50" s="11" t="s">
        <v>133</v>
      </c>
      <c r="Q50" s="12"/>
      <c r="R50" s="13">
        <v>45433</v>
      </c>
      <c r="S50" s="13">
        <v>45552</v>
      </c>
      <c r="T50" s="11">
        <v>108</v>
      </c>
      <c r="U50" s="11"/>
      <c r="V50" s="11">
        <v>411</v>
      </c>
      <c r="W50" s="11">
        <v>120</v>
      </c>
      <c r="X50" s="11">
        <v>74</v>
      </c>
      <c r="Y50" s="36"/>
      <c r="Z50" s="11">
        <v>3</v>
      </c>
      <c r="AA50" s="135">
        <f t="shared" si="0"/>
        <v>504.11599423567174</v>
      </c>
      <c r="AB50" s="135">
        <f t="shared" si="1"/>
        <v>139.74295710779148</v>
      </c>
      <c r="AC50" s="135">
        <f t="shared" si="2"/>
        <v>86.965751300342916</v>
      </c>
      <c r="AD50" s="29"/>
      <c r="AE50" s="29"/>
      <c r="AF50" s="29"/>
    </row>
    <row r="51" spans="1:32" s="28" customFormat="1" x14ac:dyDescent="0.25">
      <c r="A51"/>
      <c r="B51"/>
      <c r="C51" s="31"/>
      <c r="D51" s="31"/>
      <c r="E51" s="31"/>
      <c r="F51" s="31"/>
      <c r="G51" s="20" t="s">
        <v>134</v>
      </c>
      <c r="H51" s="20" t="s">
        <v>135</v>
      </c>
      <c r="I51" s="20" t="s">
        <v>136</v>
      </c>
      <c r="J51" s="21" t="s">
        <v>80</v>
      </c>
      <c r="K51" s="20">
        <v>43.013342999999999</v>
      </c>
      <c r="L51" s="20">
        <v>-97.414660999999995</v>
      </c>
      <c r="M51" s="20" t="s">
        <v>137</v>
      </c>
      <c r="N51" s="4">
        <v>20211008</v>
      </c>
      <c r="O51" t="s">
        <v>54</v>
      </c>
      <c r="P51" t="s">
        <v>55</v>
      </c>
      <c r="Q51" s="5">
        <v>329</v>
      </c>
      <c r="R51" s="1">
        <v>44403</v>
      </c>
      <c r="S51" s="1">
        <v>44463</v>
      </c>
      <c r="T51">
        <v>124</v>
      </c>
      <c r="U51"/>
      <c r="V51">
        <v>417</v>
      </c>
      <c r="W51">
        <v>93</v>
      </c>
      <c r="X51">
        <v>65</v>
      </c>
      <c r="Z51">
        <v>2</v>
      </c>
      <c r="AA51" s="123">
        <v>1267.036063370922</v>
      </c>
      <c r="AB51" s="123">
        <v>409.91267418285497</v>
      </c>
      <c r="AC51" s="123">
        <v>296.15363956332993</v>
      </c>
      <c r="AD51" s="29"/>
      <c r="AE51" s="29"/>
      <c r="AF51" s="29"/>
    </row>
    <row r="52" spans="1:32" s="28" customFormat="1" x14ac:dyDescent="0.25">
      <c r="A52"/>
      <c r="B52" s="1">
        <v>44463</v>
      </c>
      <c r="C52" s="31">
        <v>0</v>
      </c>
      <c r="D52" s="31">
        <v>2771</v>
      </c>
      <c r="E52" s="31">
        <v>2232</v>
      </c>
      <c r="F52" s="31">
        <v>5003</v>
      </c>
      <c r="G52" s="6" t="s">
        <v>134</v>
      </c>
      <c r="H52" s="6" t="s">
        <v>135</v>
      </c>
      <c r="I52" s="6" t="s">
        <v>136</v>
      </c>
      <c r="J52" s="7" t="s">
        <v>80</v>
      </c>
      <c r="K52" s="6">
        <v>43.013342999999999</v>
      </c>
      <c r="L52" s="6">
        <v>-97.414660999999995</v>
      </c>
      <c r="M52" s="6" t="s">
        <v>137</v>
      </c>
      <c r="N52" s="4">
        <v>20211008</v>
      </c>
      <c r="O52" t="s">
        <v>56</v>
      </c>
      <c r="P52" t="s">
        <v>57</v>
      </c>
      <c r="Q52" s="5">
        <v>340</v>
      </c>
      <c r="R52" s="1">
        <v>44287</v>
      </c>
      <c r="S52" s="1">
        <v>44463</v>
      </c>
      <c r="T52">
        <v>124</v>
      </c>
      <c r="U52"/>
      <c r="V52">
        <v>1033</v>
      </c>
      <c r="W52">
        <v>352</v>
      </c>
      <c r="X52">
        <v>252</v>
      </c>
      <c r="Z52">
        <v>2</v>
      </c>
      <c r="AA52" s="124">
        <f t="shared" si="0"/>
        <v>1267.036063370922</v>
      </c>
      <c r="AB52" s="124">
        <f t="shared" si="1"/>
        <v>409.91267418285497</v>
      </c>
      <c r="AC52" s="124">
        <f t="shared" si="2"/>
        <v>296.15363956332993</v>
      </c>
      <c r="AD52" s="29"/>
      <c r="AE52" s="29"/>
      <c r="AF52" s="29"/>
    </row>
    <row r="53" spans="1:32" s="28" customFormat="1" x14ac:dyDescent="0.25">
      <c r="A53"/>
      <c r="B53" s="11"/>
      <c r="C53" s="32"/>
      <c r="D53" s="32"/>
      <c r="E53" s="32"/>
      <c r="F53" s="32"/>
      <c r="G53" s="8" t="s">
        <v>134</v>
      </c>
      <c r="H53" s="8" t="s">
        <v>135</v>
      </c>
      <c r="I53" s="8" t="s">
        <v>136</v>
      </c>
      <c r="J53" s="9" t="s">
        <v>80</v>
      </c>
      <c r="K53" s="8">
        <v>43.013342999999999</v>
      </c>
      <c r="L53" s="8">
        <v>-97.414660999999995</v>
      </c>
      <c r="M53" s="8" t="s">
        <v>137</v>
      </c>
      <c r="N53" s="10">
        <v>20211008</v>
      </c>
      <c r="O53" s="11" t="s">
        <v>105</v>
      </c>
      <c r="P53" s="11" t="s">
        <v>741</v>
      </c>
      <c r="Q53" s="12">
        <v>528</v>
      </c>
      <c r="R53" s="13">
        <v>44317</v>
      </c>
      <c r="S53" s="13">
        <v>44409</v>
      </c>
      <c r="T53" s="11">
        <v>124</v>
      </c>
      <c r="U53" s="11"/>
      <c r="V53" s="11"/>
      <c r="W53" s="11"/>
      <c r="X53" s="11"/>
      <c r="Z53">
        <v>2</v>
      </c>
      <c r="AA53" s="124">
        <v>1267.036063370922</v>
      </c>
      <c r="AB53" s="124">
        <v>409.91267418285497</v>
      </c>
      <c r="AC53" s="124">
        <v>296.15363956332993</v>
      </c>
      <c r="AD53" s="29"/>
      <c r="AE53" s="29"/>
      <c r="AF53" s="29"/>
    </row>
    <row r="54" spans="1:32" s="28" customFormat="1" x14ac:dyDescent="0.25">
      <c r="A54"/>
      <c r="B54"/>
      <c r="C54" s="31"/>
      <c r="D54" s="31"/>
      <c r="E54" s="31"/>
      <c r="F54" s="31"/>
      <c r="G54" s="20" t="s">
        <v>134</v>
      </c>
      <c r="H54" s="20" t="s">
        <v>138</v>
      </c>
      <c r="I54" s="20" t="s">
        <v>136</v>
      </c>
      <c r="J54" s="21" t="s">
        <v>139</v>
      </c>
      <c r="K54" s="20">
        <v>43.036881999999999</v>
      </c>
      <c r="L54" s="20">
        <v>-97.424096000000006</v>
      </c>
      <c r="M54" s="20" t="s">
        <v>137</v>
      </c>
      <c r="N54" s="4">
        <v>20211007</v>
      </c>
      <c r="O54" t="s">
        <v>54</v>
      </c>
      <c r="P54" t="s">
        <v>55</v>
      </c>
      <c r="Q54" s="5">
        <v>329</v>
      </c>
      <c r="R54" s="1">
        <v>44287</v>
      </c>
      <c r="S54" s="1">
        <v>44463</v>
      </c>
      <c r="T54">
        <v>123</v>
      </c>
      <c r="U54"/>
      <c r="V54">
        <v>417</v>
      </c>
      <c r="W54">
        <v>93</v>
      </c>
      <c r="X54">
        <v>64</v>
      </c>
      <c r="Y54" s="132"/>
      <c r="Z54" s="14">
        <v>2</v>
      </c>
      <c r="AA54" s="133">
        <v>1267.036063370922</v>
      </c>
      <c r="AB54" s="133">
        <v>409.91267418285497</v>
      </c>
      <c r="AC54" s="133">
        <v>296.15363956332993</v>
      </c>
      <c r="AD54" s="29"/>
      <c r="AE54" s="29"/>
      <c r="AF54" s="29"/>
    </row>
    <row r="55" spans="1:32" s="28" customFormat="1" x14ac:dyDescent="0.25">
      <c r="A55"/>
      <c r="B55" s="1">
        <v>44463</v>
      </c>
      <c r="C55" s="31">
        <v>0</v>
      </c>
      <c r="D55" s="31">
        <v>2501</v>
      </c>
      <c r="E55" s="31">
        <v>4715</v>
      </c>
      <c r="F55" s="31">
        <v>4715</v>
      </c>
      <c r="G55" s="6" t="s">
        <v>134</v>
      </c>
      <c r="H55" s="6" t="s">
        <v>138</v>
      </c>
      <c r="I55" s="6" t="s">
        <v>136</v>
      </c>
      <c r="J55" s="7" t="s">
        <v>139</v>
      </c>
      <c r="K55" s="6">
        <v>43.036881999999999</v>
      </c>
      <c r="L55" s="6">
        <v>-97.424096000000006</v>
      </c>
      <c r="M55" s="6" t="s">
        <v>137</v>
      </c>
      <c r="N55" s="4">
        <v>20211007</v>
      </c>
      <c r="O55" t="s">
        <v>56</v>
      </c>
      <c r="P55" t="s">
        <v>57</v>
      </c>
      <c r="Q55" s="5">
        <v>340</v>
      </c>
      <c r="R55" s="1">
        <v>44287</v>
      </c>
      <c r="S55" s="1">
        <v>44463</v>
      </c>
      <c r="T55">
        <v>123</v>
      </c>
      <c r="U55"/>
      <c r="V55">
        <v>1033</v>
      </c>
      <c r="W55">
        <v>352</v>
      </c>
      <c r="X55">
        <v>252</v>
      </c>
      <c r="Z55">
        <v>2</v>
      </c>
      <c r="AA55" s="124">
        <f t="shared" si="0"/>
        <v>1267.036063370922</v>
      </c>
      <c r="AB55" s="124">
        <f t="shared" si="1"/>
        <v>409.91267418285497</v>
      </c>
      <c r="AC55" s="124">
        <f t="shared" si="2"/>
        <v>296.15363956332993</v>
      </c>
      <c r="AD55" s="29"/>
      <c r="AE55" s="29"/>
      <c r="AF55" s="29"/>
    </row>
    <row r="56" spans="1:32" s="28" customFormat="1" x14ac:dyDescent="0.25">
      <c r="A56"/>
      <c r="B56" s="66"/>
      <c r="C56" s="67"/>
      <c r="D56" s="67"/>
      <c r="E56" s="67"/>
      <c r="F56" s="67"/>
      <c r="G56" s="68" t="s">
        <v>134</v>
      </c>
      <c r="H56" s="68" t="s">
        <v>138</v>
      </c>
      <c r="I56" s="68" t="s">
        <v>136</v>
      </c>
      <c r="J56" s="69" t="s">
        <v>139</v>
      </c>
      <c r="K56" s="68">
        <v>43.036881999999999</v>
      </c>
      <c r="L56" s="68">
        <v>-97.424096000000006</v>
      </c>
      <c r="M56" s="68" t="s">
        <v>137</v>
      </c>
      <c r="N56" s="70">
        <v>20211007</v>
      </c>
      <c r="O56" s="66" t="s">
        <v>105</v>
      </c>
      <c r="P56" s="11" t="s">
        <v>741</v>
      </c>
      <c r="Q56" s="12">
        <v>528</v>
      </c>
      <c r="R56" s="72">
        <v>44287</v>
      </c>
      <c r="S56" s="72">
        <v>44463</v>
      </c>
      <c r="T56" s="66">
        <v>123</v>
      </c>
      <c r="U56" s="66"/>
      <c r="V56" s="66"/>
      <c r="W56" s="66"/>
      <c r="X56" s="66"/>
      <c r="Y56" s="36"/>
      <c r="Z56" s="11">
        <v>2</v>
      </c>
      <c r="AA56" s="135">
        <v>1267.036063370922</v>
      </c>
      <c r="AB56" s="135">
        <v>409.91267418285497</v>
      </c>
      <c r="AC56" s="135">
        <v>296.15363956332993</v>
      </c>
      <c r="AD56" s="29"/>
      <c r="AE56" s="29"/>
      <c r="AF56" s="29"/>
    </row>
    <row r="57" spans="1:32" s="53" customFormat="1" x14ac:dyDescent="0.25">
      <c r="A57" s="46"/>
      <c r="B57" s="46" t="s">
        <v>76</v>
      </c>
      <c r="C57" s="47"/>
      <c r="D57" s="47"/>
      <c r="E57" s="47"/>
      <c r="F57" s="47"/>
      <c r="G57" s="48" t="s">
        <v>140</v>
      </c>
      <c r="H57" s="48" t="s">
        <v>141</v>
      </c>
      <c r="I57" s="48" t="s">
        <v>142</v>
      </c>
      <c r="J57" s="48" t="s">
        <v>69</v>
      </c>
      <c r="K57" s="48">
        <v>43.720559000000002</v>
      </c>
      <c r="L57" s="48">
        <v>-98.272563000000005</v>
      </c>
      <c r="M57" s="48" t="s">
        <v>143</v>
      </c>
      <c r="N57" s="50" t="s">
        <v>144</v>
      </c>
      <c r="O57" s="46" t="s">
        <v>83</v>
      </c>
      <c r="P57" s="46" t="s">
        <v>84</v>
      </c>
      <c r="Q57" s="51">
        <v>328</v>
      </c>
      <c r="R57" s="52">
        <v>44287</v>
      </c>
      <c r="S57" s="52">
        <v>44409</v>
      </c>
      <c r="T57" s="46"/>
      <c r="U57" s="46" t="s">
        <v>145</v>
      </c>
      <c r="V57" s="46"/>
      <c r="W57" s="46"/>
      <c r="X57" s="46"/>
      <c r="Z57" s="46">
        <v>2</v>
      </c>
      <c r="AA57" s="123">
        <v>1723.3162333360556</v>
      </c>
      <c r="AB57" s="123">
        <v>444.84841345980283</v>
      </c>
      <c r="AC57" s="123">
        <v>227.99129394954764</v>
      </c>
      <c r="AD57" s="29"/>
      <c r="AE57" s="29"/>
      <c r="AF57" s="29"/>
    </row>
    <row r="58" spans="1:32" s="53" customFormat="1" x14ac:dyDescent="0.25">
      <c r="A58" s="46"/>
      <c r="B58" s="38" t="s">
        <v>76</v>
      </c>
      <c r="C58" s="47"/>
      <c r="D58" s="47"/>
      <c r="E58" s="47"/>
      <c r="F58" s="47"/>
      <c r="G58" s="6" t="s">
        <v>140</v>
      </c>
      <c r="H58" s="6" t="s">
        <v>141</v>
      </c>
      <c r="I58" s="6" t="s">
        <v>142</v>
      </c>
      <c r="J58" s="6" t="s">
        <v>69</v>
      </c>
      <c r="K58" s="6">
        <v>43.720559000000002</v>
      </c>
      <c r="L58" s="6">
        <v>-98.272563000000005</v>
      </c>
      <c r="M58" s="6" t="s">
        <v>143</v>
      </c>
      <c r="N58" s="50" t="s">
        <v>144</v>
      </c>
      <c r="O58" s="46" t="s">
        <v>54</v>
      </c>
      <c r="P58" s="46" t="s">
        <v>55</v>
      </c>
      <c r="Q58" s="51">
        <v>329</v>
      </c>
      <c r="R58" s="52">
        <v>44287</v>
      </c>
      <c r="S58" s="52">
        <v>44409</v>
      </c>
      <c r="T58" s="46"/>
      <c r="U58" s="46" t="s">
        <v>145</v>
      </c>
      <c r="V58" s="46" t="s">
        <v>145</v>
      </c>
      <c r="W58" s="46" t="s">
        <v>145</v>
      </c>
      <c r="X58" s="46" t="s">
        <v>145</v>
      </c>
      <c r="Z58" s="46">
        <v>2</v>
      </c>
      <c r="AA58" s="124">
        <v>1723.3162333360556</v>
      </c>
      <c r="AB58" s="124">
        <v>444.84841345980283</v>
      </c>
      <c r="AC58" s="124">
        <v>227.99129394954764</v>
      </c>
      <c r="AD58" s="29"/>
      <c r="AE58" s="29"/>
      <c r="AF58" s="29"/>
    </row>
    <row r="59" spans="1:32" s="53" customFormat="1" x14ac:dyDescent="0.25">
      <c r="A59" s="46"/>
      <c r="B59" s="54"/>
      <c r="C59" s="55"/>
      <c r="D59" s="55"/>
      <c r="E59" s="55"/>
      <c r="F59" s="55"/>
      <c r="G59" s="8" t="s">
        <v>140</v>
      </c>
      <c r="H59" s="8" t="s">
        <v>141</v>
      </c>
      <c r="I59" s="8" t="s">
        <v>142</v>
      </c>
      <c r="J59" s="8" t="s">
        <v>69</v>
      </c>
      <c r="K59" s="8">
        <v>43.720559000000002</v>
      </c>
      <c r="L59" s="8">
        <v>-98.272563000000005</v>
      </c>
      <c r="M59" s="8" t="s">
        <v>143</v>
      </c>
      <c r="N59" s="56" t="s">
        <v>144</v>
      </c>
      <c r="O59" s="54" t="s">
        <v>56</v>
      </c>
      <c r="P59" s="54" t="s">
        <v>57</v>
      </c>
      <c r="Q59" s="57">
        <v>340</v>
      </c>
      <c r="R59" s="58">
        <v>44287</v>
      </c>
      <c r="S59" s="58">
        <v>44409</v>
      </c>
      <c r="T59" s="54"/>
      <c r="U59" s="54" t="s">
        <v>145</v>
      </c>
      <c r="V59" s="54">
        <v>1405</v>
      </c>
      <c r="W59" s="54">
        <v>382</v>
      </c>
      <c r="X59" s="54">
        <v>194</v>
      </c>
      <c r="Z59" s="46">
        <v>2</v>
      </c>
      <c r="AA59" s="124">
        <f t="shared" si="0"/>
        <v>1723.3162333360556</v>
      </c>
      <c r="AB59" s="124">
        <f t="shared" si="1"/>
        <v>444.84841345980283</v>
      </c>
      <c r="AC59" s="124">
        <f t="shared" si="2"/>
        <v>227.99129394954764</v>
      </c>
      <c r="AD59" s="29"/>
      <c r="AE59" s="29"/>
      <c r="AF59" s="29"/>
    </row>
    <row r="60" spans="1:32" s="28" customFormat="1" x14ac:dyDescent="0.25">
      <c r="A60"/>
      <c r="B60"/>
      <c r="C60" s="31"/>
      <c r="D60" s="31"/>
      <c r="E60" s="31"/>
      <c r="F60" s="31"/>
      <c r="G60" s="20" t="s">
        <v>146</v>
      </c>
      <c r="H60" s="20" t="s">
        <v>147</v>
      </c>
      <c r="I60" s="20" t="s">
        <v>148</v>
      </c>
      <c r="J60" s="20" t="s">
        <v>149</v>
      </c>
      <c r="K60" s="20">
        <v>45.745404999999998</v>
      </c>
      <c r="L60" s="20">
        <v>-98.635947999999999</v>
      </c>
      <c r="M60" s="20" t="s">
        <v>150</v>
      </c>
      <c r="N60" s="4" t="s">
        <v>151</v>
      </c>
      <c r="O60" t="s">
        <v>54</v>
      </c>
      <c r="P60" t="s">
        <v>55</v>
      </c>
      <c r="Q60" s="5">
        <v>329</v>
      </c>
      <c r="R60" s="1">
        <v>45047</v>
      </c>
      <c r="S60" s="1">
        <v>45118</v>
      </c>
      <c r="T60">
        <v>1210</v>
      </c>
      <c r="U60"/>
      <c r="V60">
        <v>2301.4</v>
      </c>
      <c r="W60">
        <v>421.5</v>
      </c>
      <c r="X60">
        <v>172.1</v>
      </c>
      <c r="Y60" s="132"/>
      <c r="Z60" s="14">
        <v>2</v>
      </c>
      <c r="AA60" s="138">
        <v>3049.5951252266441</v>
      </c>
      <c r="AB60" s="138">
        <v>724.45078013964235</v>
      </c>
      <c r="AC60" s="138">
        <v>304.96773597890524</v>
      </c>
      <c r="AD60" s="29"/>
      <c r="AE60" s="29"/>
      <c r="AF60" s="29"/>
    </row>
    <row r="61" spans="1:32" s="28" customFormat="1" x14ac:dyDescent="0.25">
      <c r="A61"/>
      <c r="B61" s="13">
        <v>45119</v>
      </c>
      <c r="C61" s="32">
        <v>4000</v>
      </c>
      <c r="D61" s="32">
        <v>0</v>
      </c>
      <c r="E61" s="32">
        <v>45240</v>
      </c>
      <c r="F61" s="32">
        <v>49240</v>
      </c>
      <c r="G61" s="8" t="s">
        <v>146</v>
      </c>
      <c r="H61" s="8" t="s">
        <v>147</v>
      </c>
      <c r="I61" s="8" t="s">
        <v>148</v>
      </c>
      <c r="J61" s="8" t="s">
        <v>149</v>
      </c>
      <c r="K61" s="8">
        <v>45.745404999999998</v>
      </c>
      <c r="L61" s="8">
        <v>-98.635947999999999</v>
      </c>
      <c r="M61" s="8" t="s">
        <v>150</v>
      </c>
      <c r="N61" s="10" t="s">
        <v>151</v>
      </c>
      <c r="O61" s="11" t="s">
        <v>56</v>
      </c>
      <c r="P61" s="11" t="s">
        <v>57</v>
      </c>
      <c r="Q61" s="12">
        <v>340</v>
      </c>
      <c r="R61" s="13">
        <v>45047</v>
      </c>
      <c r="S61" s="13">
        <v>45118</v>
      </c>
      <c r="T61" s="11">
        <v>1210</v>
      </c>
      <c r="U61" s="11"/>
      <c r="V61" s="11">
        <v>2486.3000000000002</v>
      </c>
      <c r="W61" s="11">
        <v>622.1</v>
      </c>
      <c r="X61" s="11">
        <v>259.5</v>
      </c>
      <c r="Y61" s="36"/>
      <c r="Z61" s="11">
        <v>2</v>
      </c>
      <c r="AA61" s="135">
        <f t="shared" si="0"/>
        <v>3049.5951252266441</v>
      </c>
      <c r="AB61" s="135">
        <f t="shared" si="1"/>
        <v>724.45078013964235</v>
      </c>
      <c r="AC61" s="135">
        <f t="shared" si="2"/>
        <v>304.96773597890524</v>
      </c>
      <c r="AD61" s="29"/>
      <c r="AE61" s="29"/>
      <c r="AF61" s="29"/>
    </row>
    <row r="62" spans="1:32" s="53" customFormat="1" x14ac:dyDescent="0.25">
      <c r="A62" s="46"/>
      <c r="B62" s="46" t="s">
        <v>76</v>
      </c>
      <c r="C62" s="47"/>
      <c r="D62" s="47"/>
      <c r="E62" s="47"/>
      <c r="F62" s="47"/>
      <c r="G62" s="48" t="s">
        <v>152</v>
      </c>
      <c r="H62" s="48" t="s">
        <v>153</v>
      </c>
      <c r="I62" s="48" t="s">
        <v>154</v>
      </c>
      <c r="J62" s="48" t="s">
        <v>155</v>
      </c>
      <c r="K62" s="48">
        <v>43.689903999999999</v>
      </c>
      <c r="L62" s="48">
        <v>-96.779409000000001</v>
      </c>
      <c r="M62" s="48" t="s">
        <v>156</v>
      </c>
      <c r="N62" s="50" t="s">
        <v>157</v>
      </c>
      <c r="O62" s="46" t="s">
        <v>54</v>
      </c>
      <c r="P62" s="46" t="s">
        <v>55</v>
      </c>
      <c r="Q62" s="51">
        <v>329</v>
      </c>
      <c r="R62" s="52">
        <v>44287</v>
      </c>
      <c r="S62" s="52">
        <v>44409</v>
      </c>
      <c r="T62" s="46">
        <v>250</v>
      </c>
      <c r="U62" s="46"/>
      <c r="V62" s="46">
        <v>1940</v>
      </c>
      <c r="W62" s="46">
        <v>566</v>
      </c>
      <c r="X62" s="46">
        <v>399</v>
      </c>
      <c r="Z62" s="46">
        <v>2</v>
      </c>
      <c r="AA62" s="123">
        <f t="shared" si="0"/>
        <v>2379.5256175601053</v>
      </c>
      <c r="AB62" s="123">
        <f t="shared" si="1"/>
        <v>659.12094769174973</v>
      </c>
      <c r="AC62" s="123">
        <f t="shared" si="2"/>
        <v>468.90992930860574</v>
      </c>
      <c r="AD62" s="29"/>
      <c r="AE62" s="29"/>
      <c r="AF62" s="29"/>
    </row>
    <row r="63" spans="1:32" s="53" customFormat="1" x14ac:dyDescent="0.25">
      <c r="A63" s="46"/>
      <c r="B63" s="38" t="s">
        <v>76</v>
      </c>
      <c r="C63" s="82"/>
      <c r="D63" s="82"/>
      <c r="E63" s="82"/>
      <c r="F63" s="82"/>
      <c r="G63" s="6" t="s">
        <v>152</v>
      </c>
      <c r="H63" s="6" t="s">
        <v>153</v>
      </c>
      <c r="I63" s="6" t="s">
        <v>154</v>
      </c>
      <c r="J63" s="6" t="s">
        <v>155</v>
      </c>
      <c r="K63" s="6">
        <v>43.689903999999999</v>
      </c>
      <c r="L63" s="6">
        <v>-96.779409000000001</v>
      </c>
      <c r="M63" s="6" t="s">
        <v>156</v>
      </c>
      <c r="N63" s="50" t="s">
        <v>158</v>
      </c>
      <c r="O63" s="46" t="s">
        <v>56</v>
      </c>
      <c r="P63" s="46" t="s">
        <v>57</v>
      </c>
      <c r="Q63" s="51">
        <v>340</v>
      </c>
      <c r="R63" s="52">
        <v>44287</v>
      </c>
      <c r="S63" s="52">
        <v>44409</v>
      </c>
      <c r="T63" s="46">
        <v>250</v>
      </c>
      <c r="U63" s="46"/>
      <c r="V63" s="46">
        <v>1442.7</v>
      </c>
      <c r="W63" s="46">
        <v>489</v>
      </c>
      <c r="X63" s="46">
        <v>349</v>
      </c>
      <c r="Z63" s="46">
        <v>2</v>
      </c>
      <c r="AA63" s="124">
        <v>2379.5256175601053</v>
      </c>
      <c r="AB63" s="124">
        <v>659.12094769174973</v>
      </c>
      <c r="AC63" s="124">
        <v>468.90992930860574</v>
      </c>
      <c r="AD63" s="29"/>
      <c r="AE63" s="29"/>
      <c r="AF63" s="29"/>
    </row>
    <row r="64" spans="1:32" s="53" customFormat="1" x14ac:dyDescent="0.25">
      <c r="A64" s="46"/>
      <c r="B64" s="38" t="s">
        <v>76</v>
      </c>
      <c r="C64" s="82"/>
      <c r="D64" s="82"/>
      <c r="E64" s="82"/>
      <c r="F64" s="82"/>
      <c r="G64" s="6" t="s">
        <v>152</v>
      </c>
      <c r="H64" s="6" t="s">
        <v>153</v>
      </c>
      <c r="I64" s="6" t="s">
        <v>154</v>
      </c>
      <c r="J64" s="6" t="s">
        <v>155</v>
      </c>
      <c r="K64" s="6">
        <v>43.689903999999999</v>
      </c>
      <c r="L64" s="6">
        <v>-96.779409000000001</v>
      </c>
      <c r="M64" s="6" t="s">
        <v>156</v>
      </c>
      <c r="N64" s="50" t="s">
        <v>159</v>
      </c>
      <c r="O64" s="46" t="s">
        <v>54</v>
      </c>
      <c r="P64" s="46" t="s">
        <v>55</v>
      </c>
      <c r="Q64" s="51">
        <v>329</v>
      </c>
      <c r="R64" s="52">
        <v>44682</v>
      </c>
      <c r="S64" s="52">
        <v>44880</v>
      </c>
      <c r="T64" s="46">
        <v>250</v>
      </c>
      <c r="U64" s="46"/>
      <c r="V64" s="46">
        <v>860</v>
      </c>
      <c r="W64" s="46">
        <v>162</v>
      </c>
      <c r="X64" s="46">
        <v>104</v>
      </c>
      <c r="Z64" s="46">
        <v>2</v>
      </c>
      <c r="AA64" s="124">
        <v>2379.5256175601053</v>
      </c>
      <c r="AB64" s="124">
        <v>659.12094769174973</v>
      </c>
      <c r="AC64" s="124">
        <v>468.90992930860574</v>
      </c>
      <c r="AD64" s="29"/>
      <c r="AE64" s="29"/>
      <c r="AF64" s="29"/>
    </row>
    <row r="65" spans="1:32" s="53" customFormat="1" ht="14.4" thickBot="1" x14ac:dyDescent="0.3">
      <c r="A65" s="46"/>
      <c r="B65" s="81" t="s">
        <v>76</v>
      </c>
      <c r="C65" s="81"/>
      <c r="D65" s="81"/>
      <c r="E65" s="81"/>
      <c r="F65" s="81"/>
      <c r="G65" s="61" t="s">
        <v>152</v>
      </c>
      <c r="H65" s="61" t="s">
        <v>153</v>
      </c>
      <c r="I65" s="61" t="s">
        <v>154</v>
      </c>
      <c r="J65" s="62" t="s">
        <v>155</v>
      </c>
      <c r="K65" s="61">
        <v>43.689903999999999</v>
      </c>
      <c r="L65" s="61">
        <v>-96.779409000000001</v>
      </c>
      <c r="M65" s="61" t="s">
        <v>156</v>
      </c>
      <c r="N65" s="63" t="s">
        <v>160</v>
      </c>
      <c r="O65" s="59" t="s">
        <v>105</v>
      </c>
      <c r="P65" s="54" t="s">
        <v>741</v>
      </c>
      <c r="Q65" s="57">
        <v>528</v>
      </c>
      <c r="R65" s="65">
        <v>44682</v>
      </c>
      <c r="S65" s="65">
        <v>44880</v>
      </c>
      <c r="T65" s="59">
        <v>250</v>
      </c>
      <c r="U65" s="59"/>
      <c r="V65" s="59"/>
      <c r="W65" s="59"/>
      <c r="X65" s="59"/>
      <c r="Z65" s="46">
        <v>2</v>
      </c>
      <c r="AA65" s="124">
        <v>2379.5256175601053</v>
      </c>
      <c r="AB65" s="124">
        <v>659.12094769174973</v>
      </c>
      <c r="AC65" s="124">
        <v>468.90992930860574</v>
      </c>
      <c r="AD65" s="29"/>
      <c r="AE65" s="29"/>
      <c r="AF65" s="29"/>
    </row>
    <row r="66" spans="1:32" s="53" customFormat="1" x14ac:dyDescent="0.25">
      <c r="A66" s="46"/>
      <c r="B66" s="38" t="s">
        <v>76</v>
      </c>
      <c r="C66" s="82"/>
      <c r="D66" s="82"/>
      <c r="E66" s="82"/>
      <c r="F66" s="82"/>
      <c r="G66" s="20" t="s">
        <v>152</v>
      </c>
      <c r="H66" s="20" t="s">
        <v>153</v>
      </c>
      <c r="I66" s="20" t="s">
        <v>154</v>
      </c>
      <c r="J66" s="20" t="s">
        <v>155</v>
      </c>
      <c r="K66" s="20">
        <v>43.689903999999999</v>
      </c>
      <c r="L66" s="20">
        <v>-96.779409000000001</v>
      </c>
      <c r="M66" s="20" t="s">
        <v>156</v>
      </c>
      <c r="N66" s="4" t="s">
        <v>161</v>
      </c>
      <c r="O66" t="s">
        <v>83</v>
      </c>
      <c r="P66" t="s">
        <v>84</v>
      </c>
      <c r="Q66" s="5">
        <v>328</v>
      </c>
      <c r="R66" s="1">
        <v>45047</v>
      </c>
      <c r="S66" s="1">
        <v>45147</v>
      </c>
      <c r="T66">
        <v>100</v>
      </c>
      <c r="U66" s="46"/>
      <c r="V66" s="41"/>
      <c r="W66" s="41"/>
      <c r="X66" s="41"/>
      <c r="Z66">
        <v>2</v>
      </c>
      <c r="AA66" s="120">
        <v>660</v>
      </c>
      <c r="AB66" s="120">
        <v>253</v>
      </c>
      <c r="AC66" s="120">
        <v>191</v>
      </c>
      <c r="AD66" s="38">
        <f>AA66/V67</f>
        <v>1.0714285714285714</v>
      </c>
      <c r="AE66" s="38">
        <f t="shared" ref="AE66:AF66" si="5">AB66/W67</f>
        <v>1.0242914979757085</v>
      </c>
      <c r="AF66" s="38">
        <f t="shared" si="5"/>
        <v>1.0268817204301075</v>
      </c>
    </row>
    <row r="67" spans="1:32" s="53" customFormat="1" x14ac:dyDescent="0.25">
      <c r="A67" s="46"/>
      <c r="B67" s="82" t="s">
        <v>76</v>
      </c>
      <c r="C67" s="82"/>
      <c r="D67" s="82"/>
      <c r="E67" s="82"/>
      <c r="F67" s="82"/>
      <c r="G67" s="6" t="s">
        <v>152</v>
      </c>
      <c r="H67" s="6" t="s">
        <v>153</v>
      </c>
      <c r="I67" s="6" t="s">
        <v>154</v>
      </c>
      <c r="J67" s="7" t="s">
        <v>155</v>
      </c>
      <c r="K67" s="6">
        <v>43.689903999999999</v>
      </c>
      <c r="L67" s="6">
        <v>-96.779409000000001</v>
      </c>
      <c r="M67" s="6" t="s">
        <v>156</v>
      </c>
      <c r="N67" s="4" t="s">
        <v>161</v>
      </c>
      <c r="O67" t="s">
        <v>54</v>
      </c>
      <c r="P67" t="s">
        <v>55</v>
      </c>
      <c r="Q67" s="5">
        <v>329</v>
      </c>
      <c r="R67" s="1">
        <v>45047</v>
      </c>
      <c r="S67" s="1">
        <v>45147</v>
      </c>
      <c r="T67">
        <v>100</v>
      </c>
      <c r="U67" s="46"/>
      <c r="V67" s="41">
        <v>616</v>
      </c>
      <c r="W67" s="41">
        <v>247</v>
      </c>
      <c r="X67" s="41">
        <v>186</v>
      </c>
      <c r="Y67" s="118"/>
      <c r="Z67">
        <v>2</v>
      </c>
      <c r="AA67" s="38">
        <v>660</v>
      </c>
      <c r="AB67" s="38">
        <v>253</v>
      </c>
      <c r="AC67" s="38">
        <v>191</v>
      </c>
      <c r="AD67" s="38"/>
      <c r="AE67" s="38"/>
      <c r="AF67" s="29"/>
    </row>
    <row r="68" spans="1:32" s="28" customFormat="1" x14ac:dyDescent="0.25">
      <c r="A68"/>
      <c r="B68" s="1">
        <v>45148</v>
      </c>
      <c r="C68" s="31">
        <v>1596.99</v>
      </c>
      <c r="D68" s="31">
        <v>0</v>
      </c>
      <c r="E68" s="31">
        <v>1596.99</v>
      </c>
      <c r="F68" s="31">
        <v>3193.98</v>
      </c>
      <c r="G68" s="6" t="s">
        <v>152</v>
      </c>
      <c r="H68" s="6" t="s">
        <v>153</v>
      </c>
      <c r="I68" s="6" t="s">
        <v>154</v>
      </c>
      <c r="J68" s="6" t="s">
        <v>155</v>
      </c>
      <c r="K68" s="6">
        <v>43.689903999999999</v>
      </c>
      <c r="L68" s="6">
        <v>-96.779409000000001</v>
      </c>
      <c r="M68" s="6" t="s">
        <v>156</v>
      </c>
      <c r="N68" s="4" t="s">
        <v>161</v>
      </c>
      <c r="O68" t="s">
        <v>56</v>
      </c>
      <c r="P68" t="s">
        <v>57</v>
      </c>
      <c r="Q68" s="5">
        <v>340</v>
      </c>
      <c r="R68" s="1">
        <v>45047</v>
      </c>
      <c r="S68" s="1">
        <v>45147</v>
      </c>
      <c r="T68">
        <v>100</v>
      </c>
      <c r="U68"/>
      <c r="V68">
        <v>133</v>
      </c>
      <c r="W68">
        <v>43</v>
      </c>
      <c r="X68">
        <v>32</v>
      </c>
      <c r="Z68">
        <v>2</v>
      </c>
      <c r="AA68" s="38">
        <v>660</v>
      </c>
      <c r="AB68" s="38">
        <v>253</v>
      </c>
      <c r="AC68" s="38">
        <v>191</v>
      </c>
      <c r="AD68" s="38"/>
      <c r="AE68" s="38"/>
      <c r="AF68" s="29"/>
    </row>
    <row r="69" spans="1:32" s="28" customFormat="1" x14ac:dyDescent="0.25">
      <c r="A69"/>
      <c r="B69"/>
      <c r="C69" s="31"/>
      <c r="D69" s="31"/>
      <c r="E69" s="31"/>
      <c r="F69" s="31"/>
      <c r="G69" s="6" t="s">
        <v>152</v>
      </c>
      <c r="H69" s="6" t="s">
        <v>153</v>
      </c>
      <c r="I69" s="6" t="s">
        <v>154</v>
      </c>
      <c r="J69" s="6" t="s">
        <v>155</v>
      </c>
      <c r="K69" s="6">
        <v>43.689903999999999</v>
      </c>
      <c r="L69" s="6">
        <v>-96.779409000000001</v>
      </c>
      <c r="M69" s="6" t="s">
        <v>156</v>
      </c>
      <c r="N69" s="4" t="s">
        <v>161</v>
      </c>
      <c r="O69" t="s">
        <v>105</v>
      </c>
      <c r="P69" s="11" t="s">
        <v>741</v>
      </c>
      <c r="Q69" s="12">
        <v>528</v>
      </c>
      <c r="R69" s="1">
        <v>45047</v>
      </c>
      <c r="S69" s="1">
        <v>45147</v>
      </c>
      <c r="T69">
        <v>100</v>
      </c>
      <c r="U69"/>
      <c r="V69"/>
      <c r="W69"/>
      <c r="X69"/>
      <c r="Z69">
        <v>2</v>
      </c>
      <c r="AA69" s="38">
        <v>660</v>
      </c>
      <c r="AB69" s="38">
        <v>253</v>
      </c>
      <c r="AC69" s="38">
        <v>191</v>
      </c>
      <c r="AD69" s="38"/>
      <c r="AE69" s="38"/>
      <c r="AF69" s="29"/>
    </row>
    <row r="70" spans="1:32" s="28" customFormat="1" x14ac:dyDescent="0.25">
      <c r="A70"/>
      <c r="B70"/>
      <c r="C70" s="31"/>
      <c r="D70" s="31"/>
      <c r="E70" s="31"/>
      <c r="F70" s="31"/>
      <c r="G70" s="6" t="s">
        <v>152</v>
      </c>
      <c r="H70" s="6" t="s">
        <v>153</v>
      </c>
      <c r="I70" s="6" t="s">
        <v>154</v>
      </c>
      <c r="J70" s="6" t="s">
        <v>155</v>
      </c>
      <c r="K70" s="6">
        <v>43.692777999999997</v>
      </c>
      <c r="L70" s="6">
        <v>-96.773408000000003</v>
      </c>
      <c r="M70" s="6" t="s">
        <v>156</v>
      </c>
      <c r="N70" s="4" t="s">
        <v>164</v>
      </c>
      <c r="O70" t="s">
        <v>54</v>
      </c>
      <c r="P70" t="s">
        <v>55</v>
      </c>
      <c r="Q70" s="5">
        <v>329</v>
      </c>
      <c r="R70" s="1">
        <v>45432</v>
      </c>
      <c r="S70" s="1">
        <v>45555</v>
      </c>
      <c r="T70">
        <v>56</v>
      </c>
      <c r="U70"/>
      <c r="V70">
        <v>204</v>
      </c>
      <c r="W70">
        <v>47</v>
      </c>
      <c r="X70">
        <v>33</v>
      </c>
      <c r="Z70">
        <v>3</v>
      </c>
      <c r="AA70" s="120">
        <v>669</v>
      </c>
      <c r="AB70" s="120">
        <v>255</v>
      </c>
      <c r="AC70" s="120">
        <v>192</v>
      </c>
      <c r="AD70" s="38">
        <f>AA70/V71</f>
        <v>1.4264392324093818</v>
      </c>
      <c r="AE70" s="38">
        <f t="shared" ref="AE70:AF70" si="6">AB70/W71</f>
        <v>1.6139240506329113</v>
      </c>
      <c r="AF70" s="38">
        <f t="shared" si="6"/>
        <v>1.6991150442477876</v>
      </c>
    </row>
    <row r="71" spans="1:32" s="28" customFormat="1" x14ac:dyDescent="0.25">
      <c r="A71"/>
      <c r="B71" s="1">
        <v>45513</v>
      </c>
      <c r="C71" s="31">
        <v>1400</v>
      </c>
      <c r="D71" s="31"/>
      <c r="E71" s="31">
        <v>1769.7</v>
      </c>
      <c r="F71" s="31">
        <v>3169.7</v>
      </c>
      <c r="G71" s="6" t="s">
        <v>152</v>
      </c>
      <c r="H71" s="6" t="s">
        <v>153</v>
      </c>
      <c r="I71" s="6" t="s">
        <v>154</v>
      </c>
      <c r="J71" s="6" t="s">
        <v>155</v>
      </c>
      <c r="K71" s="6">
        <v>43.692777999999997</v>
      </c>
      <c r="L71" s="6">
        <v>-96.773408000000003</v>
      </c>
      <c r="M71" s="6" t="s">
        <v>156</v>
      </c>
      <c r="N71" s="4" t="s">
        <v>164</v>
      </c>
      <c r="O71" t="s">
        <v>56</v>
      </c>
      <c r="P71" t="s">
        <v>57</v>
      </c>
      <c r="Q71" s="5">
        <v>340</v>
      </c>
      <c r="R71" s="1">
        <v>45432</v>
      </c>
      <c r="S71" s="1">
        <v>45555</v>
      </c>
      <c r="T71">
        <v>56</v>
      </c>
      <c r="U71"/>
      <c r="V71">
        <v>469</v>
      </c>
      <c r="W71">
        <v>158</v>
      </c>
      <c r="X71">
        <v>113</v>
      </c>
      <c r="Z71">
        <v>3</v>
      </c>
      <c r="AA71" s="38">
        <v>669</v>
      </c>
      <c r="AB71" s="38">
        <v>255</v>
      </c>
      <c r="AC71" s="38">
        <v>192</v>
      </c>
      <c r="AD71" s="38"/>
      <c r="AE71" s="38"/>
      <c r="AF71" s="29"/>
    </row>
    <row r="72" spans="1:32" s="28" customFormat="1" x14ac:dyDescent="0.25">
      <c r="A72"/>
      <c r="B72" s="1"/>
      <c r="C72" s="31"/>
      <c r="D72" s="31"/>
      <c r="E72" s="31"/>
      <c r="F72" s="31"/>
      <c r="G72" s="6" t="s">
        <v>152</v>
      </c>
      <c r="H72" s="6" t="s">
        <v>153</v>
      </c>
      <c r="I72" s="6" t="s">
        <v>154</v>
      </c>
      <c r="J72" s="6" t="s">
        <v>155</v>
      </c>
      <c r="K72" s="6">
        <v>43.692777999999997</v>
      </c>
      <c r="L72" s="6">
        <v>-96.773408000000003</v>
      </c>
      <c r="M72" s="6" t="s">
        <v>156</v>
      </c>
      <c r="N72" s="4" t="s">
        <v>164</v>
      </c>
      <c r="O72" t="s">
        <v>71</v>
      </c>
      <c r="P72" t="s">
        <v>72</v>
      </c>
      <c r="Q72" s="5" t="s">
        <v>73</v>
      </c>
      <c r="R72" s="1">
        <v>45432</v>
      </c>
      <c r="S72" s="1">
        <v>45555</v>
      </c>
      <c r="T72">
        <v>2.5</v>
      </c>
      <c r="U72"/>
      <c r="V72" s="41">
        <v>11</v>
      </c>
      <c r="W72" s="41">
        <v>4.12</v>
      </c>
      <c r="X72" s="41">
        <v>3.11</v>
      </c>
      <c r="Z72">
        <v>3</v>
      </c>
      <c r="AA72" s="38">
        <v>669</v>
      </c>
      <c r="AB72" s="38">
        <v>255</v>
      </c>
      <c r="AC72" s="38">
        <v>192</v>
      </c>
      <c r="AD72" s="38"/>
      <c r="AE72" s="38"/>
      <c r="AF72" s="29"/>
    </row>
    <row r="73" spans="1:32" s="28" customFormat="1" x14ac:dyDescent="0.25">
      <c r="A73"/>
      <c r="B73" s="11"/>
      <c r="C73" s="32"/>
      <c r="D73" s="32"/>
      <c r="E73" s="32"/>
      <c r="F73" s="32"/>
      <c r="G73" s="8" t="s">
        <v>152</v>
      </c>
      <c r="H73" s="8" t="s">
        <v>153</v>
      </c>
      <c r="I73" s="8" t="s">
        <v>154</v>
      </c>
      <c r="J73" s="8" t="s">
        <v>155</v>
      </c>
      <c r="K73" s="8">
        <v>43.692777999999997</v>
      </c>
      <c r="L73" s="8">
        <v>-96.773408000000003</v>
      </c>
      <c r="M73" s="8" t="s">
        <v>156</v>
      </c>
      <c r="N73" s="10" t="s">
        <v>164</v>
      </c>
      <c r="O73" s="11" t="s">
        <v>105</v>
      </c>
      <c r="P73" s="11" t="s">
        <v>741</v>
      </c>
      <c r="Q73" s="12">
        <v>528</v>
      </c>
      <c r="R73" s="13">
        <v>45413</v>
      </c>
      <c r="S73" s="13">
        <v>45555</v>
      </c>
      <c r="T73" s="11">
        <v>56</v>
      </c>
      <c r="U73" s="11"/>
      <c r="V73" s="11"/>
      <c r="W73" s="11"/>
      <c r="X73" s="11"/>
      <c r="Z73">
        <v>3</v>
      </c>
      <c r="AA73" s="38">
        <v>669</v>
      </c>
      <c r="AB73" s="38">
        <v>255</v>
      </c>
      <c r="AC73" s="38">
        <v>192</v>
      </c>
      <c r="AD73" s="38"/>
      <c r="AE73" s="38"/>
      <c r="AF73" s="29"/>
    </row>
    <row r="74" spans="1:32" s="28" customFormat="1" x14ac:dyDescent="0.25">
      <c r="A74"/>
      <c r="B74"/>
      <c r="C74" s="31"/>
      <c r="D74" s="31"/>
      <c r="E74" s="31"/>
      <c r="F74" s="31"/>
      <c r="G74" s="20" t="s">
        <v>165</v>
      </c>
      <c r="H74" s="20" t="s">
        <v>166</v>
      </c>
      <c r="I74" s="20" t="s">
        <v>167</v>
      </c>
      <c r="J74" s="20" t="s">
        <v>168</v>
      </c>
      <c r="K74" s="20">
        <v>45.649925000000003</v>
      </c>
      <c r="L74" s="20">
        <v>-97.611886999999996</v>
      </c>
      <c r="M74" s="20" t="s">
        <v>169</v>
      </c>
      <c r="N74" s="4">
        <v>2021110</v>
      </c>
      <c r="O74" t="s">
        <v>54</v>
      </c>
      <c r="P74" t="s">
        <v>55</v>
      </c>
      <c r="Q74" s="5">
        <v>329</v>
      </c>
      <c r="R74" s="1">
        <v>44470</v>
      </c>
      <c r="S74" s="1">
        <v>44742</v>
      </c>
      <c r="T74">
        <v>117</v>
      </c>
      <c r="U74"/>
      <c r="V74">
        <v>289</v>
      </c>
      <c r="W74">
        <v>67</v>
      </c>
      <c r="X74">
        <v>48</v>
      </c>
      <c r="Y74" s="132"/>
      <c r="Z74" s="14">
        <v>2</v>
      </c>
      <c r="AA74" s="133">
        <v>824.24804896927355</v>
      </c>
      <c r="AB74" s="133">
        <v>263.18256921967395</v>
      </c>
      <c r="AC74" s="133">
        <v>192.73490828724647</v>
      </c>
      <c r="AD74" s="29"/>
      <c r="AE74" s="29"/>
      <c r="AF74" s="29"/>
    </row>
    <row r="75" spans="1:32" s="28" customFormat="1" x14ac:dyDescent="0.25">
      <c r="A75"/>
      <c r="B75" s="1">
        <v>44494</v>
      </c>
      <c r="C75" s="31">
        <v>0</v>
      </c>
      <c r="D75" s="31">
        <v>0</v>
      </c>
      <c r="E75" s="31">
        <v>6751.12</v>
      </c>
      <c r="F75" s="31">
        <v>6751.12</v>
      </c>
      <c r="G75" s="6" t="s">
        <v>165</v>
      </c>
      <c r="H75" s="6" t="s">
        <v>166</v>
      </c>
      <c r="I75" s="6" t="s">
        <v>167</v>
      </c>
      <c r="J75" s="6" t="s">
        <v>168</v>
      </c>
      <c r="K75" s="6">
        <v>45.649925000000003</v>
      </c>
      <c r="L75" s="6">
        <v>-97.611886999999996</v>
      </c>
      <c r="M75" s="6" t="s">
        <v>169</v>
      </c>
      <c r="N75" s="4">
        <v>2021110</v>
      </c>
      <c r="O75" t="s">
        <v>56</v>
      </c>
      <c r="P75" t="s">
        <v>57</v>
      </c>
      <c r="Q75" s="5">
        <v>340</v>
      </c>
      <c r="R75" s="1">
        <v>44470</v>
      </c>
      <c r="S75" s="1">
        <v>44480</v>
      </c>
      <c r="T75">
        <v>117</v>
      </c>
      <c r="U75"/>
      <c r="V75">
        <v>672</v>
      </c>
      <c r="W75">
        <v>226</v>
      </c>
      <c r="X75">
        <v>164</v>
      </c>
      <c r="Z75">
        <v>2</v>
      </c>
      <c r="AA75" s="124">
        <f t="shared" ref="AA75:AA136" si="7">V75*$AD$1</f>
        <v>824.24804896927355</v>
      </c>
      <c r="AB75" s="124">
        <f t="shared" ref="AB75:AB136" si="8">W75*$AE$1</f>
        <v>263.18256921967395</v>
      </c>
      <c r="AC75" s="124">
        <f t="shared" ref="AC75:AC136" si="9">X75*$AF$1</f>
        <v>192.73490828724647</v>
      </c>
      <c r="AD75" s="29"/>
      <c r="AE75" s="29"/>
      <c r="AF75" s="29"/>
    </row>
    <row r="76" spans="1:32" s="28" customFormat="1" x14ac:dyDescent="0.25">
      <c r="A76"/>
      <c r="B76" s="11"/>
      <c r="C76" s="32"/>
      <c r="D76" s="32"/>
      <c r="E76" s="32"/>
      <c r="F76" s="32"/>
      <c r="G76" s="8" t="s">
        <v>165</v>
      </c>
      <c r="H76" s="8" t="s">
        <v>166</v>
      </c>
      <c r="I76" s="8" t="s">
        <v>167</v>
      </c>
      <c r="J76" s="8" t="s">
        <v>168</v>
      </c>
      <c r="K76" s="8">
        <v>45.649925000000003</v>
      </c>
      <c r="L76" s="8">
        <v>-97.611886999999996</v>
      </c>
      <c r="M76" s="8" t="s">
        <v>169</v>
      </c>
      <c r="N76" s="10">
        <v>2021110</v>
      </c>
      <c r="O76" s="11" t="s">
        <v>105</v>
      </c>
      <c r="P76" s="11" t="s">
        <v>741</v>
      </c>
      <c r="Q76" s="12">
        <v>528</v>
      </c>
      <c r="R76" s="13">
        <v>44470</v>
      </c>
      <c r="S76" s="13">
        <v>45147</v>
      </c>
      <c r="T76" s="11">
        <v>117</v>
      </c>
      <c r="U76" s="11"/>
      <c r="V76" s="11"/>
      <c r="W76" s="11"/>
      <c r="X76" s="11"/>
      <c r="Y76" s="36"/>
      <c r="Z76" s="11">
        <v>2</v>
      </c>
      <c r="AA76" s="135">
        <v>824.24804896927355</v>
      </c>
      <c r="AB76" s="135">
        <v>263.18256921967395</v>
      </c>
      <c r="AC76" s="135">
        <v>192.73490828724647</v>
      </c>
      <c r="AD76" s="29"/>
      <c r="AE76" s="29"/>
      <c r="AF76" s="29"/>
    </row>
    <row r="77" spans="1:32" s="28" customFormat="1" x14ac:dyDescent="0.25">
      <c r="A77"/>
      <c r="B77"/>
      <c r="C77" s="31"/>
      <c r="D77" s="31"/>
      <c r="E77" s="31"/>
      <c r="F77" s="31"/>
      <c r="G77" s="20" t="s">
        <v>170</v>
      </c>
      <c r="H77" s="20" t="s">
        <v>171</v>
      </c>
      <c r="I77" s="20" t="s">
        <v>172</v>
      </c>
      <c r="J77" s="20" t="s">
        <v>173</v>
      </c>
      <c r="K77" s="20">
        <v>45.132477000000002</v>
      </c>
      <c r="L77" s="20">
        <v>-96.797469000000007</v>
      </c>
      <c r="M77" s="20" t="s">
        <v>174</v>
      </c>
      <c r="N77" s="4">
        <v>20211007</v>
      </c>
      <c r="O77" t="s">
        <v>54</v>
      </c>
      <c r="P77" t="s">
        <v>55</v>
      </c>
      <c r="Q77" s="5">
        <v>329</v>
      </c>
      <c r="R77" s="1">
        <v>44713</v>
      </c>
      <c r="S77" s="1">
        <v>45154</v>
      </c>
      <c r="T77">
        <v>160</v>
      </c>
      <c r="U77"/>
      <c r="V77">
        <v>259</v>
      </c>
      <c r="W77">
        <v>51</v>
      </c>
      <c r="X77">
        <v>33</v>
      </c>
      <c r="Z77">
        <v>2</v>
      </c>
      <c r="AA77" s="123">
        <f t="shared" si="7"/>
        <v>317.67893554024084</v>
      </c>
      <c r="AB77" s="123">
        <f t="shared" si="8"/>
        <v>59.390756770811379</v>
      </c>
      <c r="AC77" s="123">
        <f t="shared" si="9"/>
        <v>38.782024228531299</v>
      </c>
      <c r="AD77" s="29"/>
      <c r="AE77" s="29"/>
      <c r="AF77" s="29"/>
    </row>
    <row r="78" spans="1:32" s="28" customFormat="1" x14ac:dyDescent="0.25">
      <c r="A78"/>
      <c r="B78" s="1">
        <v>45153</v>
      </c>
      <c r="C78" s="31">
        <v>525</v>
      </c>
      <c r="D78" s="31">
        <v>0</v>
      </c>
      <c r="E78" s="31">
        <v>525</v>
      </c>
      <c r="F78" s="31">
        <v>1050</v>
      </c>
      <c r="G78" s="6" t="s">
        <v>170</v>
      </c>
      <c r="H78" s="6" t="s">
        <v>171</v>
      </c>
      <c r="I78" s="6" t="s">
        <v>172</v>
      </c>
      <c r="J78" s="6" t="s">
        <v>173</v>
      </c>
      <c r="K78" s="6">
        <v>45.132477000000002</v>
      </c>
      <c r="L78" s="6">
        <v>-96.797469000000007</v>
      </c>
      <c r="M78" s="6" t="s">
        <v>174</v>
      </c>
      <c r="N78" s="4">
        <v>20211007</v>
      </c>
      <c r="O78" t="s">
        <v>56</v>
      </c>
      <c r="P78" t="s">
        <v>57</v>
      </c>
      <c r="Q78" s="5">
        <v>340</v>
      </c>
      <c r="R78" s="1">
        <v>44713</v>
      </c>
      <c r="S78" s="1">
        <v>45154</v>
      </c>
      <c r="T78">
        <v>143</v>
      </c>
      <c r="U78"/>
      <c r="V78">
        <v>163</v>
      </c>
      <c r="W78">
        <v>55</v>
      </c>
      <c r="X78">
        <v>38</v>
      </c>
      <c r="Z78">
        <v>2</v>
      </c>
      <c r="AA78" s="124">
        <v>317.67893554024084</v>
      </c>
      <c r="AB78" s="124">
        <v>59.390756770811379</v>
      </c>
      <c r="AC78" s="124">
        <v>38.782024228531299</v>
      </c>
      <c r="AD78" s="29"/>
      <c r="AE78" s="29"/>
      <c r="AF78" s="29"/>
    </row>
    <row r="79" spans="1:32" s="28" customFormat="1" x14ac:dyDescent="0.25">
      <c r="A79"/>
      <c r="B79" s="13">
        <v>45153</v>
      </c>
      <c r="C79" s="32">
        <v>6462</v>
      </c>
      <c r="D79" s="32">
        <v>0</v>
      </c>
      <c r="E79" s="32">
        <v>6462</v>
      </c>
      <c r="F79" s="32">
        <v>12924</v>
      </c>
      <c r="G79" s="8" t="s">
        <v>170</v>
      </c>
      <c r="H79" s="8" t="s">
        <v>171</v>
      </c>
      <c r="I79" s="8" t="s">
        <v>172</v>
      </c>
      <c r="J79" s="8" t="s">
        <v>173</v>
      </c>
      <c r="K79" s="8">
        <v>45.132477000000002</v>
      </c>
      <c r="L79" s="8">
        <v>-96.797469000000007</v>
      </c>
      <c r="M79" s="8" t="s">
        <v>174</v>
      </c>
      <c r="N79" s="10">
        <v>20211007</v>
      </c>
      <c r="O79" s="11" t="s">
        <v>132</v>
      </c>
      <c r="P79" s="11" t="s">
        <v>133</v>
      </c>
      <c r="Q79" s="12"/>
      <c r="R79" s="13">
        <v>44652</v>
      </c>
      <c r="S79" s="13">
        <v>44711</v>
      </c>
      <c r="T79" s="11"/>
      <c r="U79" s="11" t="s">
        <v>145</v>
      </c>
      <c r="V79" s="11">
        <v>198</v>
      </c>
      <c r="W79" s="11">
        <v>40</v>
      </c>
      <c r="X79" s="11">
        <v>26</v>
      </c>
      <c r="Z79">
        <v>2</v>
      </c>
      <c r="AA79" s="124">
        <v>317.67893554024084</v>
      </c>
      <c r="AB79" s="124">
        <v>59.390756770811379</v>
      </c>
      <c r="AC79" s="124">
        <v>38.782024228531299</v>
      </c>
      <c r="AD79" s="29"/>
      <c r="AE79" s="29"/>
      <c r="AF79" s="29"/>
    </row>
    <row r="80" spans="1:32" s="28" customFormat="1" x14ac:dyDescent="0.25">
      <c r="A80"/>
      <c r="B80" s="13">
        <v>44455</v>
      </c>
      <c r="C80" s="32">
        <v>0</v>
      </c>
      <c r="D80" s="32">
        <v>900.06</v>
      </c>
      <c r="E80" s="32">
        <v>756</v>
      </c>
      <c r="F80" s="32">
        <v>1656.06</v>
      </c>
      <c r="G80" s="30" t="s">
        <v>175</v>
      </c>
      <c r="H80" s="30" t="s">
        <v>176</v>
      </c>
      <c r="I80" s="30" t="s">
        <v>177</v>
      </c>
      <c r="J80" s="30" t="s">
        <v>178</v>
      </c>
      <c r="K80" s="30">
        <v>42.983561000000002</v>
      </c>
      <c r="L80" s="30">
        <v>-98.013389000000004</v>
      </c>
      <c r="M80" s="30" t="s">
        <v>179</v>
      </c>
      <c r="N80" s="25" t="s">
        <v>180</v>
      </c>
      <c r="O80" s="24" t="s">
        <v>56</v>
      </c>
      <c r="P80" s="24" t="s">
        <v>57</v>
      </c>
      <c r="Q80" s="26">
        <v>340</v>
      </c>
      <c r="R80" s="27">
        <v>44470</v>
      </c>
      <c r="S80" s="27">
        <v>44505</v>
      </c>
      <c r="T80" s="24"/>
      <c r="U80" s="24" t="s">
        <v>145</v>
      </c>
      <c r="V80" s="24">
        <v>405</v>
      </c>
      <c r="W80" s="24">
        <v>141</v>
      </c>
      <c r="X80" s="24">
        <v>103</v>
      </c>
      <c r="Y80" s="129"/>
      <c r="Z80" s="24">
        <v>2</v>
      </c>
      <c r="AA80" s="130">
        <f t="shared" si="7"/>
        <v>496.75663665558898</v>
      </c>
      <c r="AB80" s="130">
        <f t="shared" si="8"/>
        <v>164.19797460165498</v>
      </c>
      <c r="AC80" s="130">
        <f t="shared" si="9"/>
        <v>121.04692410723406</v>
      </c>
      <c r="AD80" s="29"/>
      <c r="AE80" s="29"/>
      <c r="AF80" s="29"/>
    </row>
    <row r="81" spans="1:32" s="28" customFormat="1" x14ac:dyDescent="0.25">
      <c r="A81"/>
      <c r="B81" s="13">
        <v>44529</v>
      </c>
      <c r="C81" s="32">
        <v>0</v>
      </c>
      <c r="D81" s="32">
        <v>3304.8</v>
      </c>
      <c r="E81" s="32">
        <v>3060</v>
      </c>
      <c r="F81" s="32">
        <v>6364.8</v>
      </c>
      <c r="G81" s="30" t="s">
        <v>181</v>
      </c>
      <c r="H81" s="30" t="s">
        <v>182</v>
      </c>
      <c r="I81" s="30" t="s">
        <v>183</v>
      </c>
      <c r="J81" s="30" t="s">
        <v>139</v>
      </c>
      <c r="K81" s="30">
        <v>42.954563999999998</v>
      </c>
      <c r="L81" s="30">
        <v>-97.356232000000006</v>
      </c>
      <c r="M81" s="30" t="s">
        <v>137</v>
      </c>
      <c r="N81" s="25" t="s">
        <v>184</v>
      </c>
      <c r="O81" s="24" t="s">
        <v>56</v>
      </c>
      <c r="P81" s="24" t="s">
        <v>57</v>
      </c>
      <c r="Q81" s="26">
        <v>340</v>
      </c>
      <c r="R81" s="27">
        <v>44378</v>
      </c>
      <c r="S81" s="27">
        <v>44530</v>
      </c>
      <c r="T81" s="24"/>
      <c r="U81" s="24" t="s">
        <v>145</v>
      </c>
      <c r="V81" s="24">
        <v>1364</v>
      </c>
      <c r="W81" s="24">
        <v>463</v>
      </c>
      <c r="X81" s="24">
        <v>330</v>
      </c>
      <c r="Z81">
        <v>2</v>
      </c>
      <c r="AA81" s="123">
        <f t="shared" si="7"/>
        <v>1673.0272898721564</v>
      </c>
      <c r="AB81" s="123">
        <f t="shared" si="8"/>
        <v>539.17490950756212</v>
      </c>
      <c r="AC81" s="123">
        <f t="shared" si="9"/>
        <v>387.82024228531299</v>
      </c>
      <c r="AD81" s="29"/>
      <c r="AE81" s="29"/>
      <c r="AF81" s="29"/>
    </row>
    <row r="82" spans="1:32" s="28" customFormat="1" x14ac:dyDescent="0.25">
      <c r="A82"/>
      <c r="B82"/>
      <c r="C82" s="31"/>
      <c r="D82" s="31"/>
      <c r="E82" s="31"/>
      <c r="F82" s="31"/>
      <c r="G82" s="20" t="s">
        <v>185</v>
      </c>
      <c r="H82" s="20" t="s">
        <v>186</v>
      </c>
      <c r="I82" s="20" t="s">
        <v>187</v>
      </c>
      <c r="J82" s="20" t="s">
        <v>188</v>
      </c>
      <c r="K82" s="20">
        <v>43.916442000000004</v>
      </c>
      <c r="L82" s="20">
        <v>-97.696316999999993</v>
      </c>
      <c r="M82" s="20" t="s">
        <v>189</v>
      </c>
      <c r="N82" s="4" t="s">
        <v>190</v>
      </c>
      <c r="O82" t="s">
        <v>54</v>
      </c>
      <c r="P82" t="s">
        <v>55</v>
      </c>
      <c r="Q82" s="5">
        <v>329</v>
      </c>
      <c r="R82" s="1">
        <v>44753</v>
      </c>
      <c r="S82" s="1">
        <v>44850</v>
      </c>
      <c r="T82">
        <v>76</v>
      </c>
      <c r="U82"/>
      <c r="V82">
        <v>154</v>
      </c>
      <c r="W82">
        <v>23</v>
      </c>
      <c r="X82">
        <v>13</v>
      </c>
      <c r="Y82" s="132"/>
      <c r="Z82" s="14">
        <v>2</v>
      </c>
      <c r="AA82" s="133">
        <v>343.43668707053064</v>
      </c>
      <c r="AB82" s="133">
        <v>96.655545332889105</v>
      </c>
      <c r="AC82" s="133">
        <v>58.760642770501967</v>
      </c>
      <c r="AD82" s="29"/>
      <c r="AE82" s="29"/>
      <c r="AF82" s="29"/>
    </row>
    <row r="83" spans="1:32" s="28" customFormat="1" x14ac:dyDescent="0.25">
      <c r="A83"/>
      <c r="B83" s="13">
        <v>44850</v>
      </c>
      <c r="C83" s="32">
        <v>931</v>
      </c>
      <c r="D83" s="32">
        <v>0</v>
      </c>
      <c r="E83" s="32">
        <v>931</v>
      </c>
      <c r="F83" s="32">
        <v>1862</v>
      </c>
      <c r="G83" s="8" t="s">
        <v>185</v>
      </c>
      <c r="H83" s="8" t="s">
        <v>186</v>
      </c>
      <c r="I83" s="8" t="s">
        <v>187</v>
      </c>
      <c r="J83" s="8" t="s">
        <v>188</v>
      </c>
      <c r="K83" s="8">
        <v>43.916442000000004</v>
      </c>
      <c r="L83" s="8">
        <v>-97.696316999999993</v>
      </c>
      <c r="M83" s="8" t="s">
        <v>189</v>
      </c>
      <c r="N83" s="10" t="s">
        <v>190</v>
      </c>
      <c r="O83" s="11" t="s">
        <v>56</v>
      </c>
      <c r="P83" s="11" t="s">
        <v>57</v>
      </c>
      <c r="Q83" s="12">
        <v>340</v>
      </c>
      <c r="R83" s="13">
        <v>44753</v>
      </c>
      <c r="S83" s="13">
        <v>44850</v>
      </c>
      <c r="T83" s="11">
        <v>76</v>
      </c>
      <c r="U83" s="11"/>
      <c r="V83" s="11">
        <v>280</v>
      </c>
      <c r="W83" s="11">
        <v>83</v>
      </c>
      <c r="X83" s="11">
        <v>50</v>
      </c>
      <c r="Y83" s="36"/>
      <c r="Z83" s="11">
        <v>2</v>
      </c>
      <c r="AA83" s="135">
        <f t="shared" si="7"/>
        <v>343.43668707053064</v>
      </c>
      <c r="AB83" s="135">
        <f t="shared" si="8"/>
        <v>96.655545332889105</v>
      </c>
      <c r="AC83" s="135">
        <f t="shared" si="9"/>
        <v>58.760642770501967</v>
      </c>
      <c r="AD83" s="29"/>
      <c r="AE83" s="29"/>
      <c r="AF83" s="29"/>
    </row>
    <row r="84" spans="1:32" s="28" customFormat="1" x14ac:dyDescent="0.25">
      <c r="A84"/>
      <c r="B84"/>
      <c r="C84" s="31"/>
      <c r="D84" s="31"/>
      <c r="E84" s="31"/>
      <c r="F84" s="31"/>
      <c r="G84" s="20" t="s">
        <v>185</v>
      </c>
      <c r="H84" s="20" t="s">
        <v>166</v>
      </c>
      <c r="I84" s="20" t="s">
        <v>187</v>
      </c>
      <c r="J84" s="20" t="s">
        <v>188</v>
      </c>
      <c r="K84" s="20">
        <v>43.874657999999997</v>
      </c>
      <c r="L84" s="20">
        <v>-97.632651999999993</v>
      </c>
      <c r="M84" s="20" t="s">
        <v>189</v>
      </c>
      <c r="N84" s="4" t="s">
        <v>191</v>
      </c>
      <c r="O84" t="s">
        <v>54</v>
      </c>
      <c r="P84" t="s">
        <v>55</v>
      </c>
      <c r="Q84" s="5">
        <v>329</v>
      </c>
      <c r="R84" s="1">
        <v>44805</v>
      </c>
      <c r="S84" s="1">
        <v>44873</v>
      </c>
      <c r="T84">
        <v>135</v>
      </c>
      <c r="U84"/>
      <c r="V84">
        <v>271</v>
      </c>
      <c r="W84">
        <v>39</v>
      </c>
      <c r="X84">
        <v>20</v>
      </c>
      <c r="Z84">
        <v>2</v>
      </c>
      <c r="AA84" s="123">
        <v>588.74860640662394</v>
      </c>
      <c r="AB84" s="123">
        <v>164.19797460165498</v>
      </c>
      <c r="AC84" s="123">
        <v>95.192241288213197</v>
      </c>
      <c r="AD84" s="29"/>
      <c r="AE84" s="29"/>
      <c r="AF84" s="29"/>
    </row>
    <row r="85" spans="1:32" s="28" customFormat="1" x14ac:dyDescent="0.25">
      <c r="A85"/>
      <c r="B85" s="13">
        <v>44850</v>
      </c>
      <c r="C85" s="32">
        <v>1653.75</v>
      </c>
      <c r="D85" s="32">
        <v>0</v>
      </c>
      <c r="E85" s="32">
        <v>1653.75</v>
      </c>
      <c r="F85" s="32">
        <v>3307.5</v>
      </c>
      <c r="G85" s="8" t="s">
        <v>185</v>
      </c>
      <c r="H85" s="8" t="s">
        <v>166</v>
      </c>
      <c r="I85" s="8" t="s">
        <v>187</v>
      </c>
      <c r="J85" s="8" t="s">
        <v>188</v>
      </c>
      <c r="K85" s="8">
        <v>43.874657999999997</v>
      </c>
      <c r="L85" s="8">
        <v>-97.632651999999993</v>
      </c>
      <c r="M85" s="8" t="s">
        <v>189</v>
      </c>
      <c r="N85" s="10" t="s">
        <v>191</v>
      </c>
      <c r="O85" s="11" t="s">
        <v>56</v>
      </c>
      <c r="P85" s="11" t="s">
        <v>57</v>
      </c>
      <c r="Q85" s="12">
        <v>340</v>
      </c>
      <c r="R85" s="13">
        <v>44805</v>
      </c>
      <c r="S85" s="13">
        <v>44873</v>
      </c>
      <c r="T85" s="11">
        <v>135</v>
      </c>
      <c r="U85" s="11"/>
      <c r="V85" s="11">
        <v>480</v>
      </c>
      <c r="W85" s="11">
        <v>141</v>
      </c>
      <c r="X85" s="11">
        <v>81</v>
      </c>
      <c r="Z85">
        <v>2</v>
      </c>
      <c r="AA85" s="124">
        <f>V85*$AD$1</f>
        <v>588.74860640662394</v>
      </c>
      <c r="AB85" s="124">
        <f>W85*$AE$1</f>
        <v>164.19797460165498</v>
      </c>
      <c r="AC85" s="124">
        <f>X85*$AF$1</f>
        <v>95.192241288213197</v>
      </c>
      <c r="AD85" s="29"/>
      <c r="AE85" s="29"/>
      <c r="AF85" s="29"/>
    </row>
    <row r="86" spans="1:32" s="28" customFormat="1" x14ac:dyDescent="0.25">
      <c r="A86"/>
      <c r="B86"/>
      <c r="C86" s="31"/>
      <c r="D86" s="31"/>
      <c r="E86" s="31"/>
      <c r="F86" s="31"/>
      <c r="G86" s="20" t="s">
        <v>185</v>
      </c>
      <c r="H86" s="20" t="s">
        <v>67</v>
      </c>
      <c r="I86" s="20" t="s">
        <v>187</v>
      </c>
      <c r="J86" s="20" t="s">
        <v>188</v>
      </c>
      <c r="K86" s="20">
        <v>43.859940999999999</v>
      </c>
      <c r="L86" s="20">
        <v>-97.615333000000007</v>
      </c>
      <c r="M86" s="20" t="s">
        <v>192</v>
      </c>
      <c r="N86" s="4" t="s">
        <v>193</v>
      </c>
      <c r="O86" t="s">
        <v>54</v>
      </c>
      <c r="P86" t="s">
        <v>55</v>
      </c>
      <c r="Q86" s="5">
        <v>329</v>
      </c>
      <c r="R86" s="1">
        <v>44743</v>
      </c>
      <c r="S86" s="1">
        <v>44867</v>
      </c>
      <c r="T86">
        <v>137</v>
      </c>
      <c r="U86"/>
      <c r="V86">
        <v>272</v>
      </c>
      <c r="W86">
        <v>40</v>
      </c>
      <c r="X86">
        <v>21</v>
      </c>
      <c r="Y86" s="132"/>
      <c r="Z86" s="14">
        <v>2</v>
      </c>
      <c r="AA86" s="133">
        <v>594.88140439002632</v>
      </c>
      <c r="AB86" s="133">
        <v>165.36249924421992</v>
      </c>
      <c r="AC86" s="133">
        <v>97.542666999033273</v>
      </c>
      <c r="AD86" s="29"/>
      <c r="AE86" s="29"/>
      <c r="AF86" s="29"/>
    </row>
    <row r="87" spans="1:32" s="28" customFormat="1" x14ac:dyDescent="0.25">
      <c r="A87"/>
      <c r="B87" s="13">
        <v>44860</v>
      </c>
      <c r="C87" s="32">
        <v>1678.25</v>
      </c>
      <c r="D87" s="32">
        <v>0</v>
      </c>
      <c r="E87" s="32">
        <v>1678.25</v>
      </c>
      <c r="F87" s="32">
        <v>3356.5</v>
      </c>
      <c r="G87" s="8" t="s">
        <v>185</v>
      </c>
      <c r="H87" s="8" t="s">
        <v>67</v>
      </c>
      <c r="I87" s="8" t="s">
        <v>187</v>
      </c>
      <c r="J87" s="8" t="s">
        <v>188</v>
      </c>
      <c r="K87" s="8">
        <v>43.859940999999999</v>
      </c>
      <c r="L87" s="8">
        <v>-97.615333000000007</v>
      </c>
      <c r="M87" s="8" t="s">
        <v>192</v>
      </c>
      <c r="N87" s="10" t="s">
        <v>193</v>
      </c>
      <c r="O87" s="11" t="s">
        <v>56</v>
      </c>
      <c r="P87" s="11" t="s">
        <v>57</v>
      </c>
      <c r="Q87" s="12">
        <v>340</v>
      </c>
      <c r="R87" s="13">
        <v>44743</v>
      </c>
      <c r="S87" s="13">
        <v>44867</v>
      </c>
      <c r="T87" s="11">
        <v>137</v>
      </c>
      <c r="U87" s="11"/>
      <c r="V87" s="11">
        <v>485</v>
      </c>
      <c r="W87" s="11">
        <v>142</v>
      </c>
      <c r="X87" s="11">
        <v>83</v>
      </c>
      <c r="Y87" s="36"/>
      <c r="Z87" s="11">
        <v>2</v>
      </c>
      <c r="AA87" s="135">
        <f t="shared" si="7"/>
        <v>594.88140439002632</v>
      </c>
      <c r="AB87" s="135">
        <f t="shared" si="8"/>
        <v>165.36249924421992</v>
      </c>
      <c r="AC87" s="135">
        <f t="shared" si="9"/>
        <v>97.542666999033273</v>
      </c>
      <c r="AD87" s="29"/>
      <c r="AE87" s="29"/>
      <c r="AF87" s="29"/>
    </row>
    <row r="88" spans="1:32" s="28" customFormat="1" x14ac:dyDescent="0.25">
      <c r="A88"/>
      <c r="B88"/>
      <c r="C88" s="31"/>
      <c r="D88" s="31"/>
      <c r="E88" s="31"/>
      <c r="F88" s="31"/>
      <c r="G88" s="20" t="s">
        <v>194</v>
      </c>
      <c r="H88" s="20" t="s">
        <v>195</v>
      </c>
      <c r="I88" s="20" t="s">
        <v>196</v>
      </c>
      <c r="J88" s="20" t="s">
        <v>197</v>
      </c>
      <c r="K88" s="20">
        <v>43.311056000000001</v>
      </c>
      <c r="L88" s="20">
        <v>-97.175206000000003</v>
      </c>
      <c r="M88" s="20" t="s">
        <v>100</v>
      </c>
      <c r="N88" s="4">
        <v>2014</v>
      </c>
      <c r="O88" t="s">
        <v>54</v>
      </c>
      <c r="P88" t="s">
        <v>55</v>
      </c>
      <c r="Q88" s="5">
        <v>329</v>
      </c>
      <c r="R88" s="1">
        <v>44774</v>
      </c>
      <c r="S88" s="1">
        <v>44819</v>
      </c>
      <c r="T88">
        <v>115</v>
      </c>
      <c r="U88"/>
      <c r="V88">
        <v>282</v>
      </c>
      <c r="W88">
        <v>46</v>
      </c>
      <c r="X88">
        <v>27</v>
      </c>
      <c r="Z88">
        <v>2</v>
      </c>
      <c r="AA88" s="123">
        <v>670.92809938421522</v>
      </c>
      <c r="AB88" s="123">
        <v>195.64013995090806</v>
      </c>
      <c r="AC88" s="123">
        <v>123.39734981805414</v>
      </c>
      <c r="AD88" s="29"/>
      <c r="AE88" s="29"/>
      <c r="AF88" s="29"/>
    </row>
    <row r="89" spans="1:32" s="28" customFormat="1" x14ac:dyDescent="0.25">
      <c r="A89"/>
      <c r="B89" s="13">
        <v>44945</v>
      </c>
      <c r="C89" s="32">
        <v>2155.4699999999998</v>
      </c>
      <c r="D89" s="32">
        <v>0</v>
      </c>
      <c r="E89" s="32">
        <v>2155.4699999999998</v>
      </c>
      <c r="F89" s="32">
        <v>4310.95</v>
      </c>
      <c r="G89" s="8" t="s">
        <v>194</v>
      </c>
      <c r="H89" s="8" t="s">
        <v>195</v>
      </c>
      <c r="I89" s="8" t="s">
        <v>196</v>
      </c>
      <c r="J89" s="8" t="s">
        <v>197</v>
      </c>
      <c r="K89" s="8">
        <v>43.311056000000001</v>
      </c>
      <c r="L89" s="8">
        <v>-97.175206000000003</v>
      </c>
      <c r="M89" s="8" t="s">
        <v>100</v>
      </c>
      <c r="N89" s="10">
        <v>2014</v>
      </c>
      <c r="O89" s="11" t="s">
        <v>56</v>
      </c>
      <c r="P89" s="11" t="s">
        <v>57</v>
      </c>
      <c r="Q89" s="12">
        <v>340</v>
      </c>
      <c r="R89" s="13">
        <v>44774</v>
      </c>
      <c r="S89" s="13">
        <v>44819</v>
      </c>
      <c r="T89" s="11">
        <v>115</v>
      </c>
      <c r="U89" s="11"/>
      <c r="V89" s="11">
        <v>547</v>
      </c>
      <c r="W89" s="11">
        <v>168</v>
      </c>
      <c r="X89" s="11">
        <v>105</v>
      </c>
      <c r="Z89">
        <v>2</v>
      </c>
      <c r="AA89" s="124">
        <f t="shared" si="7"/>
        <v>670.92809938421522</v>
      </c>
      <c r="AB89" s="124">
        <f t="shared" si="8"/>
        <v>195.64013995090806</v>
      </c>
      <c r="AC89" s="124">
        <f t="shared" si="9"/>
        <v>123.39734981805414</v>
      </c>
      <c r="AD89" s="29"/>
      <c r="AE89" s="29"/>
      <c r="AF89" s="29"/>
    </row>
    <row r="90" spans="1:32" s="28" customFormat="1" x14ac:dyDescent="0.25">
      <c r="A90"/>
      <c r="B90"/>
      <c r="C90" s="31"/>
      <c r="D90" s="31"/>
      <c r="E90" s="31"/>
      <c r="F90" s="31"/>
      <c r="G90" s="20" t="s">
        <v>194</v>
      </c>
      <c r="H90" s="20" t="s">
        <v>198</v>
      </c>
      <c r="I90" s="20" t="s">
        <v>199</v>
      </c>
      <c r="J90" s="20" t="s">
        <v>200</v>
      </c>
      <c r="K90" s="20">
        <v>43.296892</v>
      </c>
      <c r="L90" s="20">
        <v>-97.107156000000003</v>
      </c>
      <c r="M90" s="20" t="s">
        <v>100</v>
      </c>
      <c r="N90" s="4">
        <v>2015</v>
      </c>
      <c r="O90" t="s">
        <v>54</v>
      </c>
      <c r="P90" t="s">
        <v>55</v>
      </c>
      <c r="Q90" s="5">
        <v>329</v>
      </c>
      <c r="R90" s="1">
        <v>44799</v>
      </c>
      <c r="S90" s="1">
        <v>44826</v>
      </c>
      <c r="T90">
        <v>297</v>
      </c>
      <c r="U90"/>
      <c r="V90">
        <v>822</v>
      </c>
      <c r="W90">
        <v>156</v>
      </c>
      <c r="X90">
        <v>99</v>
      </c>
      <c r="Y90" s="132"/>
      <c r="Z90" s="14">
        <v>2</v>
      </c>
      <c r="AA90" s="133">
        <v>2194.3151184613548</v>
      </c>
      <c r="AB90" s="133">
        <v>674.25976804509389</v>
      </c>
      <c r="AC90" s="133">
        <v>458.33301360991538</v>
      </c>
      <c r="AD90" s="29"/>
      <c r="AE90" s="29"/>
      <c r="AF90" s="29"/>
    </row>
    <row r="91" spans="1:32" s="28" customFormat="1" x14ac:dyDescent="0.25">
      <c r="A91"/>
      <c r="B91" s="13">
        <v>44943</v>
      </c>
      <c r="C91" s="32">
        <v>4000</v>
      </c>
      <c r="D91" s="32">
        <v>0</v>
      </c>
      <c r="E91" s="32">
        <v>6400.25</v>
      </c>
      <c r="F91" s="32">
        <v>10400.25</v>
      </c>
      <c r="G91" s="8" t="s">
        <v>194</v>
      </c>
      <c r="H91" s="8" t="s">
        <v>198</v>
      </c>
      <c r="I91" s="8" t="s">
        <v>199</v>
      </c>
      <c r="J91" s="8" t="s">
        <v>200</v>
      </c>
      <c r="K91" s="8">
        <v>43.296892</v>
      </c>
      <c r="L91" s="8">
        <v>-97.107156000000003</v>
      </c>
      <c r="M91" s="8" t="s">
        <v>100</v>
      </c>
      <c r="N91" s="10">
        <v>2015</v>
      </c>
      <c r="O91" s="11" t="s">
        <v>56</v>
      </c>
      <c r="P91" s="11" t="s">
        <v>57</v>
      </c>
      <c r="Q91" s="12">
        <v>340</v>
      </c>
      <c r="R91" s="13">
        <v>44799</v>
      </c>
      <c r="S91" s="13">
        <v>44826</v>
      </c>
      <c r="T91" s="11">
        <v>297</v>
      </c>
      <c r="U91" s="11"/>
      <c r="V91" s="11">
        <v>1789</v>
      </c>
      <c r="W91" s="11">
        <v>579</v>
      </c>
      <c r="X91" s="11">
        <v>390</v>
      </c>
      <c r="Y91" s="36"/>
      <c r="Z91" s="11">
        <v>2</v>
      </c>
      <c r="AA91" s="135">
        <f t="shared" si="7"/>
        <v>2194.3151184613548</v>
      </c>
      <c r="AB91" s="135">
        <f t="shared" si="8"/>
        <v>674.25976804509389</v>
      </c>
      <c r="AC91" s="135">
        <f t="shared" si="9"/>
        <v>458.33301360991538</v>
      </c>
      <c r="AD91" s="29"/>
      <c r="AE91" s="29"/>
      <c r="AF91" s="29"/>
    </row>
    <row r="92" spans="1:32" s="28" customFormat="1" x14ac:dyDescent="0.25">
      <c r="A92"/>
      <c r="B92"/>
      <c r="C92" s="31"/>
      <c r="D92" s="31"/>
      <c r="E92" s="31"/>
      <c r="F92" s="31"/>
      <c r="G92" s="20" t="s">
        <v>194</v>
      </c>
      <c r="H92" s="20" t="s">
        <v>201</v>
      </c>
      <c r="I92" s="20" t="s">
        <v>202</v>
      </c>
      <c r="J92" s="20" t="s">
        <v>99</v>
      </c>
      <c r="K92" s="20">
        <v>43.348407999999999</v>
      </c>
      <c r="L92" s="20">
        <v>-97.343086999999997</v>
      </c>
      <c r="M92" s="20" t="s">
        <v>203</v>
      </c>
      <c r="N92" s="4">
        <v>2007</v>
      </c>
      <c r="O92" t="s">
        <v>54</v>
      </c>
      <c r="P92" t="s">
        <v>55</v>
      </c>
      <c r="Q92" s="5">
        <v>329</v>
      </c>
      <c r="R92" s="1">
        <v>44722</v>
      </c>
      <c r="S92" s="13">
        <v>44788</v>
      </c>
      <c r="T92">
        <v>127</v>
      </c>
      <c r="U92"/>
      <c r="V92">
        <v>196.8</v>
      </c>
      <c r="W92">
        <v>45.5</v>
      </c>
      <c r="X92">
        <v>31.8</v>
      </c>
      <c r="Z92">
        <v>2</v>
      </c>
      <c r="AA92" s="123">
        <v>614.38370197724566</v>
      </c>
      <c r="AB92" s="123">
        <v>200.64759591393727</v>
      </c>
      <c r="AC92" s="123">
        <v>146.66656435517291</v>
      </c>
      <c r="AD92" s="29"/>
      <c r="AE92" s="29"/>
      <c r="AF92" s="29"/>
    </row>
    <row r="93" spans="1:32" s="28" customFormat="1" x14ac:dyDescent="0.25">
      <c r="A93"/>
      <c r="B93" s="13">
        <v>44823</v>
      </c>
      <c r="C93" s="32">
        <v>1761.14</v>
      </c>
      <c r="D93" s="32">
        <v>0</v>
      </c>
      <c r="E93" s="32">
        <v>1905</v>
      </c>
      <c r="F93" s="32">
        <v>3677.14</v>
      </c>
      <c r="G93" s="8" t="s">
        <v>194</v>
      </c>
      <c r="H93" s="8" t="s">
        <v>201</v>
      </c>
      <c r="I93" s="8" t="s">
        <v>202</v>
      </c>
      <c r="J93" s="8" t="s">
        <v>99</v>
      </c>
      <c r="K93" s="8">
        <v>43.348407999999999</v>
      </c>
      <c r="L93" s="8">
        <v>-97.343086999999997</v>
      </c>
      <c r="M93" s="8" t="s">
        <v>203</v>
      </c>
      <c r="N93" s="10">
        <v>2007</v>
      </c>
      <c r="O93" s="11" t="s">
        <v>56</v>
      </c>
      <c r="P93" s="11" t="s">
        <v>57</v>
      </c>
      <c r="Q93" s="12">
        <v>340</v>
      </c>
      <c r="R93" s="13">
        <v>44725</v>
      </c>
      <c r="S93" s="13">
        <v>44879</v>
      </c>
      <c r="T93" s="11">
        <v>127</v>
      </c>
      <c r="U93" s="11"/>
      <c r="V93" s="66">
        <v>500.9</v>
      </c>
      <c r="W93" s="66">
        <v>172.3</v>
      </c>
      <c r="X93" s="66">
        <v>124.8</v>
      </c>
      <c r="Z93">
        <v>2</v>
      </c>
      <c r="AA93" s="124">
        <f t="shared" si="7"/>
        <v>614.38370197724566</v>
      </c>
      <c r="AB93" s="124">
        <f t="shared" si="8"/>
        <v>200.64759591393727</v>
      </c>
      <c r="AC93" s="124">
        <f t="shared" si="9"/>
        <v>146.66656435517291</v>
      </c>
      <c r="AD93" s="29"/>
      <c r="AE93" s="29"/>
      <c r="AF93" s="29"/>
    </row>
    <row r="94" spans="1:32" s="28" customFormat="1" x14ac:dyDescent="0.25">
      <c r="A94"/>
      <c r="B94"/>
      <c r="C94" s="31"/>
      <c r="D94" s="31"/>
      <c r="E94" s="31"/>
      <c r="F94" s="31"/>
      <c r="G94" s="20" t="s">
        <v>204</v>
      </c>
      <c r="H94" s="20" t="s">
        <v>205</v>
      </c>
      <c r="I94" s="20" t="s">
        <v>206</v>
      </c>
      <c r="J94" s="20" t="s">
        <v>207</v>
      </c>
      <c r="K94" s="20">
        <v>44.437491000000001</v>
      </c>
      <c r="L94" s="20">
        <v>-103.22508500000001</v>
      </c>
      <c r="M94" s="20" t="s">
        <v>208</v>
      </c>
      <c r="N94" s="4">
        <v>2021915</v>
      </c>
      <c r="O94" t="s">
        <v>54</v>
      </c>
      <c r="P94" t="s">
        <v>55</v>
      </c>
      <c r="Q94" s="5">
        <v>329</v>
      </c>
      <c r="R94" s="1">
        <v>44317</v>
      </c>
      <c r="S94" s="1">
        <v>44423</v>
      </c>
      <c r="T94">
        <v>230</v>
      </c>
      <c r="U94"/>
      <c r="V94">
        <v>727</v>
      </c>
      <c r="W94">
        <v>235</v>
      </c>
      <c r="X94">
        <v>174</v>
      </c>
      <c r="Y94" s="132"/>
      <c r="Z94" s="14">
        <v>2</v>
      </c>
      <c r="AA94" s="133">
        <v>1111.2629945925028</v>
      </c>
      <c r="AB94" s="133">
        <v>365.66073776538769</v>
      </c>
      <c r="AC94" s="133">
        <v>273.82459531053917</v>
      </c>
      <c r="AD94" s="29"/>
      <c r="AE94" s="29"/>
      <c r="AF94" s="29"/>
    </row>
    <row r="95" spans="1:32" s="28" customFormat="1" x14ac:dyDescent="0.25">
      <c r="A95"/>
      <c r="B95" s="1">
        <v>44369</v>
      </c>
      <c r="C95" s="31">
        <v>5747.75</v>
      </c>
      <c r="D95" s="31">
        <v>0</v>
      </c>
      <c r="E95" s="31">
        <v>5058.0200000000004</v>
      </c>
      <c r="F95" s="31">
        <v>10805.77</v>
      </c>
      <c r="G95" s="6" t="s">
        <v>204</v>
      </c>
      <c r="H95" s="6" t="s">
        <v>205</v>
      </c>
      <c r="I95" s="6" t="s">
        <v>206</v>
      </c>
      <c r="J95" s="6" t="s">
        <v>207</v>
      </c>
      <c r="K95" s="6">
        <v>44.437491000000001</v>
      </c>
      <c r="L95" s="6">
        <v>-103.22508500000001</v>
      </c>
      <c r="M95" s="6" t="s">
        <v>208</v>
      </c>
      <c r="N95" s="4">
        <v>2021915</v>
      </c>
      <c r="O95" t="s">
        <v>56</v>
      </c>
      <c r="P95" t="s">
        <v>57</v>
      </c>
      <c r="Q95" s="5">
        <v>340</v>
      </c>
      <c r="R95" s="1">
        <v>44317</v>
      </c>
      <c r="S95" s="1">
        <v>44423</v>
      </c>
      <c r="T95">
        <v>230</v>
      </c>
      <c r="U95"/>
      <c r="V95">
        <v>906</v>
      </c>
      <c r="W95">
        <v>314</v>
      </c>
      <c r="X95">
        <v>233</v>
      </c>
      <c r="Z95">
        <v>2</v>
      </c>
      <c r="AA95" s="124">
        <f t="shared" si="7"/>
        <v>1111.2629945925028</v>
      </c>
      <c r="AB95" s="124">
        <f t="shared" si="8"/>
        <v>365.66073776538769</v>
      </c>
      <c r="AC95" s="124">
        <f t="shared" si="9"/>
        <v>273.82459531053917</v>
      </c>
      <c r="AD95" s="29"/>
      <c r="AE95" s="29"/>
      <c r="AF95" s="29"/>
    </row>
    <row r="96" spans="1:32" s="28" customFormat="1" x14ac:dyDescent="0.25">
      <c r="A96"/>
      <c r="B96" s="11"/>
      <c r="C96" s="32"/>
      <c r="D96" s="32"/>
      <c r="E96" s="32"/>
      <c r="F96" s="32"/>
      <c r="G96" s="8" t="s">
        <v>204</v>
      </c>
      <c r="H96" s="8" t="s">
        <v>205</v>
      </c>
      <c r="I96" s="8" t="s">
        <v>206</v>
      </c>
      <c r="J96" s="8" t="s">
        <v>207</v>
      </c>
      <c r="K96" s="8">
        <v>44.437491000000001</v>
      </c>
      <c r="L96" s="8">
        <v>-103.22508500000001</v>
      </c>
      <c r="M96" s="8" t="s">
        <v>208</v>
      </c>
      <c r="N96" s="10">
        <v>2021915</v>
      </c>
      <c r="O96" s="11" t="s">
        <v>105</v>
      </c>
      <c r="P96" s="11" t="s">
        <v>741</v>
      </c>
      <c r="Q96" s="12">
        <v>528</v>
      </c>
      <c r="R96" s="13">
        <v>44317</v>
      </c>
      <c r="S96" s="13">
        <v>44423</v>
      </c>
      <c r="T96" s="11">
        <v>230</v>
      </c>
      <c r="U96" s="11"/>
      <c r="V96" s="11"/>
      <c r="W96" s="11"/>
      <c r="X96" s="11"/>
      <c r="Y96" s="36"/>
      <c r="Z96" s="11">
        <v>2</v>
      </c>
      <c r="AA96" s="135">
        <v>1111.2629945925028</v>
      </c>
      <c r="AB96" s="135">
        <v>365.66073776538769</v>
      </c>
      <c r="AC96" s="135">
        <v>273.82459531053917</v>
      </c>
      <c r="AD96" s="29"/>
      <c r="AE96" s="29"/>
      <c r="AF96" s="29"/>
    </row>
    <row r="97" spans="1:32" s="28" customFormat="1" x14ac:dyDescent="0.25">
      <c r="A97"/>
      <c r="B97" s="27">
        <v>44433</v>
      </c>
      <c r="C97" s="33">
        <v>0</v>
      </c>
      <c r="D97" s="33">
        <v>1919.3</v>
      </c>
      <c r="E97" s="33">
        <v>3042</v>
      </c>
      <c r="F97" s="33">
        <v>4961.3</v>
      </c>
      <c r="G97" s="22" t="s">
        <v>209</v>
      </c>
      <c r="H97" s="22" t="s">
        <v>210</v>
      </c>
      <c r="I97" s="22" t="s">
        <v>211</v>
      </c>
      <c r="J97" s="22" t="s">
        <v>212</v>
      </c>
      <c r="K97" s="22">
        <v>42.971603999999999</v>
      </c>
      <c r="L97" s="22">
        <v>-97.326511999999994</v>
      </c>
      <c r="M97" s="22"/>
      <c r="N97" s="10" t="s">
        <v>213</v>
      </c>
      <c r="O97" s="11" t="s">
        <v>56</v>
      </c>
      <c r="P97" s="11" t="s">
        <v>57</v>
      </c>
      <c r="Q97" s="12">
        <v>340</v>
      </c>
      <c r="R97" s="13">
        <v>44470</v>
      </c>
      <c r="S97" s="13">
        <v>44498</v>
      </c>
      <c r="T97" s="11">
        <v>170</v>
      </c>
      <c r="U97" s="11"/>
      <c r="V97" s="11">
        <v>1243</v>
      </c>
      <c r="W97" s="11">
        <v>413</v>
      </c>
      <c r="X97" s="11">
        <v>293</v>
      </c>
      <c r="Z97">
        <v>2</v>
      </c>
      <c r="AA97" s="123">
        <f t="shared" si="7"/>
        <v>1524.61357867382</v>
      </c>
      <c r="AB97" s="123">
        <f t="shared" si="8"/>
        <v>480.94867737931565</v>
      </c>
      <c r="AC97" s="123">
        <f t="shared" si="9"/>
        <v>344.33736663514156</v>
      </c>
      <c r="AD97" s="29"/>
      <c r="AE97" s="29"/>
      <c r="AF97" s="29"/>
    </row>
    <row r="98" spans="1:32" s="28" customFormat="1" x14ac:dyDescent="0.25">
      <c r="A98"/>
      <c r="B98"/>
      <c r="C98" s="31"/>
      <c r="D98" s="31"/>
      <c r="E98" s="31"/>
      <c r="F98" s="31"/>
      <c r="G98" s="20" t="s">
        <v>214</v>
      </c>
      <c r="H98" s="20" t="s">
        <v>215</v>
      </c>
      <c r="I98" s="20" t="s">
        <v>216</v>
      </c>
      <c r="J98" s="20" t="s">
        <v>217</v>
      </c>
      <c r="K98" s="20">
        <v>43.078023999999999</v>
      </c>
      <c r="L98" s="20">
        <v>-100.144284</v>
      </c>
      <c r="M98" s="20" t="s">
        <v>218</v>
      </c>
      <c r="N98" s="4">
        <v>2021003</v>
      </c>
      <c r="O98" t="s">
        <v>83</v>
      </c>
      <c r="P98" t="s">
        <v>84</v>
      </c>
      <c r="Q98" s="5">
        <v>328</v>
      </c>
      <c r="R98" s="1">
        <v>44270</v>
      </c>
      <c r="S98" s="1">
        <v>44463</v>
      </c>
      <c r="T98">
        <v>70</v>
      </c>
      <c r="U98"/>
      <c r="V98"/>
      <c r="W98"/>
      <c r="X98"/>
      <c r="Y98" s="132"/>
      <c r="Z98" s="14">
        <v>2</v>
      </c>
      <c r="AA98" s="133">
        <v>780.09190348877678</v>
      </c>
      <c r="AB98" s="133">
        <v>262.01804457710904</v>
      </c>
      <c r="AC98" s="133">
        <v>196.26054685347657</v>
      </c>
      <c r="AD98" s="29"/>
      <c r="AE98" s="29"/>
      <c r="AF98" s="29"/>
    </row>
    <row r="99" spans="1:32" s="28" customFormat="1" x14ac:dyDescent="0.25">
      <c r="A99"/>
      <c r="B99"/>
      <c r="C99" s="31"/>
      <c r="D99" s="31"/>
      <c r="E99" s="31"/>
      <c r="F99" s="31"/>
      <c r="G99" s="6" t="s">
        <v>214</v>
      </c>
      <c r="H99" s="6" t="s">
        <v>215</v>
      </c>
      <c r="I99" s="6" t="s">
        <v>216</v>
      </c>
      <c r="J99" s="6" t="s">
        <v>217</v>
      </c>
      <c r="K99" s="6">
        <v>43.078023999999999</v>
      </c>
      <c r="L99" s="6">
        <v>-100.144284</v>
      </c>
      <c r="M99" s="6" t="s">
        <v>218</v>
      </c>
      <c r="N99" s="4">
        <v>2021003</v>
      </c>
      <c r="O99" t="s">
        <v>54</v>
      </c>
      <c r="P99" t="s">
        <v>55</v>
      </c>
      <c r="Q99" s="5">
        <v>329</v>
      </c>
      <c r="R99" s="1">
        <v>44317</v>
      </c>
      <c r="S99" s="1">
        <v>44409</v>
      </c>
      <c r="T99">
        <v>70</v>
      </c>
      <c r="U99"/>
      <c r="V99">
        <v>230</v>
      </c>
      <c r="W99">
        <v>59</v>
      </c>
      <c r="X99">
        <v>43</v>
      </c>
      <c r="Z99">
        <v>2</v>
      </c>
      <c r="AA99" s="124">
        <v>780.09190348877678</v>
      </c>
      <c r="AB99" s="124">
        <v>262.01804457710904</v>
      </c>
      <c r="AC99" s="124">
        <v>196.26054685347657</v>
      </c>
      <c r="AD99" s="29"/>
      <c r="AE99" s="29"/>
      <c r="AF99" s="29"/>
    </row>
    <row r="100" spans="1:32" s="28" customFormat="1" x14ac:dyDescent="0.25">
      <c r="A100"/>
      <c r="B100" s="1">
        <v>44417</v>
      </c>
      <c r="C100" s="31">
        <v>0</v>
      </c>
      <c r="D100" s="31">
        <v>1750.56</v>
      </c>
      <c r="E100" s="31">
        <v>1167.04</v>
      </c>
      <c r="F100" s="31">
        <v>2917.6</v>
      </c>
      <c r="G100" s="6" t="s">
        <v>214</v>
      </c>
      <c r="H100" s="6"/>
      <c r="I100" s="6" t="s">
        <v>216</v>
      </c>
      <c r="J100" s="6" t="s">
        <v>217</v>
      </c>
      <c r="K100" s="6">
        <v>43.078023999999999</v>
      </c>
      <c r="L100" s="6">
        <v>-100.144284</v>
      </c>
      <c r="M100" s="6" t="s">
        <v>218</v>
      </c>
      <c r="N100" s="4">
        <v>2021003</v>
      </c>
      <c r="O100" t="s">
        <v>56</v>
      </c>
      <c r="P100" t="s">
        <v>57</v>
      </c>
      <c r="Q100" s="5">
        <v>340</v>
      </c>
      <c r="R100" s="1">
        <v>44287</v>
      </c>
      <c r="S100" s="1">
        <v>44417</v>
      </c>
      <c r="T100">
        <v>70</v>
      </c>
      <c r="U100"/>
      <c r="V100">
        <v>636</v>
      </c>
      <c r="W100">
        <v>225</v>
      </c>
      <c r="X100">
        <v>167</v>
      </c>
      <c r="Z100">
        <v>2</v>
      </c>
      <c r="AA100" s="124">
        <f t="shared" si="7"/>
        <v>780.09190348877678</v>
      </c>
      <c r="AB100" s="124">
        <f t="shared" si="8"/>
        <v>262.01804457710904</v>
      </c>
      <c r="AC100" s="124">
        <f t="shared" si="9"/>
        <v>196.26054685347657</v>
      </c>
      <c r="AD100" s="29"/>
      <c r="AE100" s="29"/>
      <c r="AF100" s="29"/>
    </row>
    <row r="101" spans="1:32" s="28" customFormat="1" x14ac:dyDescent="0.25">
      <c r="A101"/>
      <c r="B101" s="1"/>
      <c r="C101" s="31"/>
      <c r="D101" s="31"/>
      <c r="E101" s="31"/>
      <c r="F101" s="31"/>
      <c r="G101" s="6" t="s">
        <v>214</v>
      </c>
      <c r="H101" s="6" t="s">
        <v>215</v>
      </c>
      <c r="I101" s="6" t="s">
        <v>216</v>
      </c>
      <c r="J101" s="6" t="s">
        <v>217</v>
      </c>
      <c r="K101" s="6">
        <v>43.078023999999999</v>
      </c>
      <c r="L101" s="6">
        <v>-100.144284</v>
      </c>
      <c r="M101" s="6" t="s">
        <v>218</v>
      </c>
      <c r="N101" s="4">
        <v>2021003</v>
      </c>
      <c r="O101" t="s">
        <v>105</v>
      </c>
      <c r="P101" s="11" t="s">
        <v>741</v>
      </c>
      <c r="Q101" s="12">
        <v>528</v>
      </c>
      <c r="R101" s="1">
        <v>44317</v>
      </c>
      <c r="S101" s="1">
        <v>44409</v>
      </c>
      <c r="T101">
        <v>70</v>
      </c>
      <c r="U101"/>
      <c r="V101"/>
      <c r="W101"/>
      <c r="X101"/>
      <c r="Z101">
        <v>2</v>
      </c>
      <c r="AA101" s="124">
        <v>780.09190348877678</v>
      </c>
      <c r="AB101" s="124">
        <v>262.01804457710904</v>
      </c>
      <c r="AC101" s="124">
        <v>196.26054685347657</v>
      </c>
      <c r="AD101" s="29"/>
      <c r="AE101" s="29"/>
      <c r="AF101" s="29"/>
    </row>
    <row r="102" spans="1:32" s="28" customFormat="1" x14ac:dyDescent="0.25">
      <c r="A102"/>
      <c r="B102"/>
      <c r="C102" s="31"/>
      <c r="D102" s="31"/>
      <c r="E102" s="31"/>
      <c r="F102" s="31"/>
      <c r="G102" s="6" t="s">
        <v>214</v>
      </c>
      <c r="H102" s="6" t="s">
        <v>215</v>
      </c>
      <c r="I102" s="6" t="s">
        <v>216</v>
      </c>
      <c r="J102" s="6" t="s">
        <v>217</v>
      </c>
      <c r="K102" s="6">
        <v>43.078023999999999</v>
      </c>
      <c r="L102" s="6">
        <v>-100.144284</v>
      </c>
      <c r="M102" s="6" t="s">
        <v>218</v>
      </c>
      <c r="N102" s="4" t="s">
        <v>219</v>
      </c>
      <c r="O102" t="s">
        <v>83</v>
      </c>
      <c r="P102" t="s">
        <v>84</v>
      </c>
      <c r="Q102" s="5">
        <v>328</v>
      </c>
      <c r="R102" s="1">
        <v>44682</v>
      </c>
      <c r="S102" s="1">
        <v>44872</v>
      </c>
      <c r="T102">
        <v>70</v>
      </c>
      <c r="U102"/>
      <c r="V102"/>
      <c r="W102"/>
      <c r="X102"/>
      <c r="Z102">
        <v>2</v>
      </c>
      <c r="AA102" s="124">
        <v>780.09190348877678</v>
      </c>
      <c r="AB102" s="124">
        <v>262.01804457710904</v>
      </c>
      <c r="AC102" s="124">
        <v>196.26054685347657</v>
      </c>
      <c r="AD102" s="29"/>
      <c r="AE102" s="29"/>
      <c r="AF102" s="29"/>
    </row>
    <row r="103" spans="1:32" s="28" customFormat="1" x14ac:dyDescent="0.25">
      <c r="A103"/>
      <c r="B103"/>
      <c r="C103" s="31"/>
      <c r="D103" s="31"/>
      <c r="E103" s="31"/>
      <c r="F103" s="31"/>
      <c r="G103" s="6" t="s">
        <v>214</v>
      </c>
      <c r="H103" s="6" t="s">
        <v>215</v>
      </c>
      <c r="I103" s="6" t="s">
        <v>216</v>
      </c>
      <c r="J103" s="6" t="s">
        <v>217</v>
      </c>
      <c r="K103" s="6">
        <v>43.078023999999999</v>
      </c>
      <c r="L103" s="6">
        <v>-100.144284</v>
      </c>
      <c r="M103" s="6" t="s">
        <v>218</v>
      </c>
      <c r="N103" s="4" t="s">
        <v>219</v>
      </c>
      <c r="O103" t="s">
        <v>54</v>
      </c>
      <c r="P103" t="s">
        <v>55</v>
      </c>
      <c r="Q103" s="5">
        <v>329</v>
      </c>
      <c r="R103" s="1">
        <v>44682</v>
      </c>
      <c r="S103" s="1">
        <v>44872</v>
      </c>
      <c r="T103">
        <v>70</v>
      </c>
      <c r="U103"/>
      <c r="V103">
        <v>236</v>
      </c>
      <c r="W103">
        <v>60</v>
      </c>
      <c r="X103">
        <v>44</v>
      </c>
      <c r="Z103">
        <v>2</v>
      </c>
      <c r="AA103" s="123">
        <v>723.67016204147524</v>
      </c>
      <c r="AB103" s="123">
        <v>238.72755172581043</v>
      </c>
      <c r="AC103" s="123">
        <v>179.80756687773604</v>
      </c>
      <c r="AD103" s="29"/>
      <c r="AE103" s="29"/>
      <c r="AF103" s="29"/>
    </row>
    <row r="104" spans="1:32" s="28" customFormat="1" x14ac:dyDescent="0.25">
      <c r="A104"/>
      <c r="B104" s="1">
        <v>44789</v>
      </c>
      <c r="C104" s="31">
        <v>1253.52</v>
      </c>
      <c r="D104" s="31">
        <v>0</v>
      </c>
      <c r="E104" s="31">
        <v>1901.64</v>
      </c>
      <c r="F104" s="31">
        <v>3155.16</v>
      </c>
      <c r="G104" s="6" t="s">
        <v>214</v>
      </c>
      <c r="H104" s="6" t="s">
        <v>215</v>
      </c>
      <c r="I104" s="6" t="s">
        <v>216</v>
      </c>
      <c r="J104" s="6" t="s">
        <v>217</v>
      </c>
      <c r="K104" s="6">
        <v>43.078023999999999</v>
      </c>
      <c r="L104" s="6">
        <v>-100.144284</v>
      </c>
      <c r="M104" s="6" t="s">
        <v>218</v>
      </c>
      <c r="N104" s="4" t="s">
        <v>219</v>
      </c>
      <c r="O104" t="s">
        <v>56</v>
      </c>
      <c r="P104" t="s">
        <v>57</v>
      </c>
      <c r="Q104" s="5">
        <v>340</v>
      </c>
      <c r="R104" s="1">
        <v>44762</v>
      </c>
      <c r="S104" s="1">
        <v>44932</v>
      </c>
      <c r="T104">
        <v>70</v>
      </c>
      <c r="U104"/>
      <c r="V104">
        <v>590</v>
      </c>
      <c r="W104">
        <v>205</v>
      </c>
      <c r="X104">
        <v>153</v>
      </c>
      <c r="Z104">
        <v>2</v>
      </c>
      <c r="AA104" s="124">
        <f t="shared" si="7"/>
        <v>723.67016204147524</v>
      </c>
      <c r="AB104" s="124">
        <f t="shared" si="8"/>
        <v>238.72755172581043</v>
      </c>
      <c r="AC104" s="124">
        <f t="shared" si="9"/>
        <v>179.80756687773604</v>
      </c>
      <c r="AD104" s="29"/>
      <c r="AE104" s="29"/>
      <c r="AF104" s="29"/>
    </row>
    <row r="105" spans="1:32" s="28" customFormat="1" ht="14.4" thickBot="1" x14ac:dyDescent="0.3">
      <c r="A105"/>
      <c r="B105"/>
      <c r="C105" s="31"/>
      <c r="D105" s="31"/>
      <c r="E105" s="31"/>
      <c r="F105" s="31"/>
      <c r="G105" s="6" t="s">
        <v>214</v>
      </c>
      <c r="H105" s="6" t="s">
        <v>215</v>
      </c>
      <c r="I105" s="6" t="s">
        <v>216</v>
      </c>
      <c r="J105" s="6" t="s">
        <v>217</v>
      </c>
      <c r="K105" s="6">
        <v>43.078023999999999</v>
      </c>
      <c r="L105" s="6">
        <v>-100.144284</v>
      </c>
      <c r="M105" s="6" t="s">
        <v>218</v>
      </c>
      <c r="N105" s="4" t="s">
        <v>219</v>
      </c>
      <c r="O105" t="s">
        <v>105</v>
      </c>
      <c r="P105" s="11" t="s">
        <v>741</v>
      </c>
      <c r="Q105" s="12">
        <v>528</v>
      </c>
      <c r="R105" s="1">
        <v>44682</v>
      </c>
      <c r="S105" s="1">
        <v>44872</v>
      </c>
      <c r="T105">
        <v>70</v>
      </c>
      <c r="U105"/>
      <c r="V105"/>
      <c r="W105"/>
      <c r="X105"/>
      <c r="Z105">
        <v>2</v>
      </c>
      <c r="AA105" s="124">
        <v>723.67016204147524</v>
      </c>
      <c r="AB105" s="124">
        <v>238.72755172581043</v>
      </c>
      <c r="AC105" s="124">
        <v>179.80756687773604</v>
      </c>
      <c r="AD105" s="29"/>
      <c r="AE105" s="29"/>
      <c r="AF105" s="29"/>
    </row>
    <row r="106" spans="1:32" s="28" customFormat="1" x14ac:dyDescent="0.25">
      <c r="A106"/>
      <c r="B106" s="106" t="s">
        <v>668</v>
      </c>
      <c r="C106" s="102"/>
      <c r="D106" s="102"/>
      <c r="E106" s="102"/>
      <c r="F106" s="102"/>
      <c r="G106" s="103" t="s">
        <v>214</v>
      </c>
      <c r="H106" s="103" t="s">
        <v>215</v>
      </c>
      <c r="I106" s="103" t="s">
        <v>216</v>
      </c>
      <c r="J106" s="103" t="s">
        <v>217</v>
      </c>
      <c r="K106" s="103">
        <v>43.078023999999999</v>
      </c>
      <c r="L106" s="103">
        <v>-100.144284</v>
      </c>
      <c r="M106" s="103" t="s">
        <v>218</v>
      </c>
      <c r="N106" s="104"/>
      <c r="O106" s="106"/>
      <c r="P106" s="106" t="s">
        <v>304</v>
      </c>
      <c r="Q106" s="107">
        <v>516</v>
      </c>
      <c r="R106" s="108"/>
      <c r="S106" s="105"/>
      <c r="T106" s="101"/>
      <c r="U106" s="101"/>
      <c r="V106" s="101"/>
      <c r="W106" s="101"/>
      <c r="X106" s="101"/>
      <c r="Y106" s="36"/>
      <c r="Z106" s="36"/>
      <c r="AA106" s="128"/>
      <c r="AB106" s="128"/>
      <c r="AC106" s="128"/>
      <c r="AD106" s="29"/>
      <c r="AE106" s="29"/>
      <c r="AF106" s="29"/>
    </row>
    <row r="107" spans="1:32" s="28" customFormat="1" x14ac:dyDescent="0.25">
      <c r="A107"/>
      <c r="B107" s="27">
        <v>45153</v>
      </c>
      <c r="C107" s="33">
        <v>1000</v>
      </c>
      <c r="D107" s="33">
        <v>0</v>
      </c>
      <c r="E107" s="33">
        <v>3958</v>
      </c>
      <c r="F107" s="33">
        <v>4958</v>
      </c>
      <c r="G107" s="30" t="s">
        <v>220</v>
      </c>
      <c r="H107" s="30" t="s">
        <v>205</v>
      </c>
      <c r="I107" s="30" t="s">
        <v>221</v>
      </c>
      <c r="J107" s="30" t="s">
        <v>222</v>
      </c>
      <c r="K107" s="30">
        <v>44.899106000000003</v>
      </c>
      <c r="L107" s="30">
        <v>-97.205034999999995</v>
      </c>
      <c r="M107" s="30" t="s">
        <v>223</v>
      </c>
      <c r="N107" s="25" t="s">
        <v>95</v>
      </c>
      <c r="O107" s="24" t="s">
        <v>132</v>
      </c>
      <c r="P107" s="24" t="s">
        <v>133</v>
      </c>
      <c r="Q107" s="26"/>
      <c r="R107" s="27">
        <v>44927</v>
      </c>
      <c r="S107" s="27">
        <v>45061</v>
      </c>
      <c r="T107" s="24">
        <v>10</v>
      </c>
      <c r="U107" s="24"/>
      <c r="V107" s="24">
        <v>65</v>
      </c>
      <c r="W107" s="24">
        <v>23</v>
      </c>
      <c r="X107" s="24">
        <v>17</v>
      </c>
      <c r="Z107">
        <v>2</v>
      </c>
      <c r="AA107" s="123">
        <f t="shared" si="7"/>
        <v>79.726373784230319</v>
      </c>
      <c r="AB107" s="123">
        <f t="shared" si="8"/>
        <v>26.784066778993367</v>
      </c>
      <c r="AC107" s="123">
        <f t="shared" si="9"/>
        <v>19.978618541970668</v>
      </c>
      <c r="AD107" s="29"/>
      <c r="AE107" s="29"/>
      <c r="AF107" s="29"/>
    </row>
    <row r="108" spans="1:32" s="28" customFormat="1" x14ac:dyDescent="0.25">
      <c r="A108"/>
      <c r="B108"/>
      <c r="C108" s="31"/>
      <c r="D108" s="31"/>
      <c r="E108" s="31"/>
      <c r="F108" s="31"/>
      <c r="G108" s="20" t="s">
        <v>224</v>
      </c>
      <c r="H108" s="20" t="s">
        <v>225</v>
      </c>
      <c r="I108" s="20" t="s">
        <v>226</v>
      </c>
      <c r="J108" s="20" t="s">
        <v>227</v>
      </c>
      <c r="K108" s="20">
        <v>43.866072000000003</v>
      </c>
      <c r="L108" s="20">
        <v>-96.759816999999998</v>
      </c>
      <c r="M108" s="20" t="s">
        <v>228</v>
      </c>
      <c r="N108" s="4">
        <v>2021002</v>
      </c>
      <c r="O108" t="s">
        <v>83</v>
      </c>
      <c r="P108" t="s">
        <v>84</v>
      </c>
      <c r="Q108" s="5">
        <v>328</v>
      </c>
      <c r="R108" s="1">
        <v>44317</v>
      </c>
      <c r="S108" s="1">
        <v>44409</v>
      </c>
      <c r="T108">
        <v>31.66</v>
      </c>
      <c r="U108"/>
      <c r="V108"/>
      <c r="W108"/>
      <c r="X108"/>
      <c r="Y108" s="132"/>
      <c r="Z108" s="14">
        <v>2</v>
      </c>
      <c r="AA108" s="133">
        <v>667.24842059417381</v>
      </c>
      <c r="AB108" s="133">
        <v>138.57843246522654</v>
      </c>
      <c r="AC108" s="133">
        <v>96.367454143623235</v>
      </c>
      <c r="AD108" s="29"/>
      <c r="AE108" s="29"/>
      <c r="AF108" s="29"/>
    </row>
    <row r="109" spans="1:32" s="28" customFormat="1" x14ac:dyDescent="0.25">
      <c r="A109"/>
      <c r="B109"/>
      <c r="C109" s="31"/>
      <c r="D109" s="31"/>
      <c r="E109" s="31"/>
      <c r="F109" s="31"/>
      <c r="G109" s="6" t="s">
        <v>224</v>
      </c>
      <c r="H109" s="6" t="s">
        <v>225</v>
      </c>
      <c r="I109" s="6" t="s">
        <v>226</v>
      </c>
      <c r="J109" s="6" t="s">
        <v>227</v>
      </c>
      <c r="K109" s="6">
        <v>43.866072000000003</v>
      </c>
      <c r="L109" s="6">
        <v>-96.759816999999998</v>
      </c>
      <c r="M109" s="6" t="s">
        <v>228</v>
      </c>
      <c r="N109" s="4">
        <v>2021002</v>
      </c>
      <c r="O109" t="s">
        <v>54</v>
      </c>
      <c r="P109" t="s">
        <v>55</v>
      </c>
      <c r="Q109" s="5">
        <v>329</v>
      </c>
      <c r="R109" s="1">
        <v>44317</v>
      </c>
      <c r="S109" s="1">
        <v>44409</v>
      </c>
      <c r="T109">
        <v>31.66</v>
      </c>
      <c r="U109"/>
      <c r="V109">
        <v>544</v>
      </c>
      <c r="W109">
        <v>119</v>
      </c>
      <c r="X109">
        <v>82</v>
      </c>
      <c r="Z109">
        <v>2</v>
      </c>
      <c r="AA109" s="124">
        <f t="shared" si="7"/>
        <v>667.24842059417381</v>
      </c>
      <c r="AB109" s="124">
        <f t="shared" si="8"/>
        <v>138.57843246522654</v>
      </c>
      <c r="AC109" s="124">
        <f t="shared" si="9"/>
        <v>96.367454143623235</v>
      </c>
      <c r="AD109" s="29"/>
      <c r="AE109" s="29"/>
      <c r="AF109" s="29"/>
    </row>
    <row r="110" spans="1:32" s="28" customFormat="1" x14ac:dyDescent="0.25">
      <c r="A110"/>
      <c r="B110" s="1">
        <v>44407</v>
      </c>
      <c r="C110" s="31">
        <v>0</v>
      </c>
      <c r="D110" s="31">
        <v>719.5</v>
      </c>
      <c r="E110" s="31">
        <v>1108.0999999999999</v>
      </c>
      <c r="F110" s="31">
        <v>1899.6</v>
      </c>
      <c r="G110" s="6" t="s">
        <v>224</v>
      </c>
      <c r="H110" s="6" t="s">
        <v>225</v>
      </c>
      <c r="I110" s="6" t="s">
        <v>226</v>
      </c>
      <c r="J110" s="6" t="s">
        <v>227</v>
      </c>
      <c r="K110" s="6">
        <v>43.866072000000003</v>
      </c>
      <c r="L110" s="6">
        <v>-96.759816999999998</v>
      </c>
      <c r="M110" s="6" t="s">
        <v>228</v>
      </c>
      <c r="N110" s="4">
        <v>2021002</v>
      </c>
      <c r="O110" t="s">
        <v>56</v>
      </c>
      <c r="P110" t="s">
        <v>57</v>
      </c>
      <c r="Q110" s="5">
        <v>340</v>
      </c>
      <c r="R110" s="1">
        <v>44348</v>
      </c>
      <c r="S110" s="1">
        <v>44439</v>
      </c>
      <c r="T110">
        <v>31.66</v>
      </c>
      <c r="U110"/>
      <c r="V110">
        <v>196</v>
      </c>
      <c r="W110">
        <v>64</v>
      </c>
      <c r="X110">
        <v>11</v>
      </c>
      <c r="Z110">
        <v>2</v>
      </c>
      <c r="AA110" s="124">
        <v>667.24842059417381</v>
      </c>
      <c r="AB110" s="124">
        <v>138.57843246522654</v>
      </c>
      <c r="AC110" s="124">
        <v>96.367454143623235</v>
      </c>
      <c r="AD110" s="29"/>
      <c r="AE110" s="29"/>
      <c r="AF110" s="29"/>
    </row>
    <row r="111" spans="1:32" s="28" customFormat="1" x14ac:dyDescent="0.25">
      <c r="A111"/>
      <c r="B111" s="11"/>
      <c r="C111" s="32"/>
      <c r="D111" s="32"/>
      <c r="E111" s="32"/>
      <c r="F111" s="32"/>
      <c r="G111" s="6" t="s">
        <v>224</v>
      </c>
      <c r="H111" s="6" t="s">
        <v>225</v>
      </c>
      <c r="I111" s="6" t="s">
        <v>226</v>
      </c>
      <c r="J111" s="6" t="s">
        <v>227</v>
      </c>
      <c r="K111" s="6">
        <v>43.866072000000003</v>
      </c>
      <c r="L111" s="6">
        <v>-96.759816999999998</v>
      </c>
      <c r="M111" s="6" t="s">
        <v>228</v>
      </c>
      <c r="N111" s="4">
        <v>2021002</v>
      </c>
      <c r="O111" t="s">
        <v>105</v>
      </c>
      <c r="P111" s="11" t="s">
        <v>741</v>
      </c>
      <c r="Q111" s="12">
        <v>528</v>
      </c>
      <c r="R111" s="1">
        <v>44317</v>
      </c>
      <c r="S111" s="1">
        <v>44409</v>
      </c>
      <c r="T111">
        <v>31.66</v>
      </c>
      <c r="U111"/>
      <c r="V111"/>
      <c r="W111"/>
      <c r="X111"/>
      <c r="Y111" s="36"/>
      <c r="Z111" s="11">
        <v>2</v>
      </c>
      <c r="AA111" s="135">
        <v>667.24842059417381</v>
      </c>
      <c r="AB111" s="135">
        <v>138.57843246522654</v>
      </c>
      <c r="AC111" s="135">
        <v>96.367454143623235</v>
      </c>
      <c r="AD111" s="29"/>
      <c r="AE111" s="29"/>
      <c r="AF111" s="29"/>
    </row>
    <row r="112" spans="1:32" s="28" customFormat="1" x14ac:dyDescent="0.25">
      <c r="A112"/>
      <c r="B112"/>
      <c r="C112" s="31"/>
      <c r="D112" s="31"/>
      <c r="E112" s="31"/>
      <c r="F112" s="31"/>
      <c r="G112" s="18" t="s">
        <v>229</v>
      </c>
      <c r="H112" s="18" t="s">
        <v>230</v>
      </c>
      <c r="I112" s="18" t="s">
        <v>231</v>
      </c>
      <c r="J112" s="18" t="s">
        <v>232</v>
      </c>
      <c r="K112" s="18">
        <v>45.425331</v>
      </c>
      <c r="L112" s="18">
        <v>-98.027854000000005</v>
      </c>
      <c r="M112" s="18" t="s">
        <v>233</v>
      </c>
      <c r="N112" s="16">
        <v>2003</v>
      </c>
      <c r="O112" s="14" t="s">
        <v>54</v>
      </c>
      <c r="P112" s="14" t="s">
        <v>55</v>
      </c>
      <c r="Q112" s="17">
        <v>329</v>
      </c>
      <c r="R112" s="15">
        <v>44718</v>
      </c>
      <c r="S112" s="15">
        <v>44770</v>
      </c>
      <c r="T112" s="14">
        <v>157</v>
      </c>
      <c r="U112" s="14"/>
      <c r="V112" s="14">
        <v>254.2</v>
      </c>
      <c r="W112" s="14">
        <v>33.9</v>
      </c>
      <c r="X112" s="14">
        <v>16.8</v>
      </c>
      <c r="Z112">
        <v>2</v>
      </c>
      <c r="AA112" s="123">
        <v>521.77845242787043</v>
      </c>
      <c r="AB112" s="123">
        <v>140.09231450056095</v>
      </c>
      <c r="AC112" s="123">
        <v>77.329005885980592</v>
      </c>
      <c r="AD112" s="29"/>
      <c r="AE112" s="29"/>
      <c r="AF112" s="29"/>
    </row>
    <row r="113" spans="1:32" s="28" customFormat="1" x14ac:dyDescent="0.25">
      <c r="A113"/>
      <c r="B113" s="1">
        <v>44769</v>
      </c>
      <c r="C113" s="31">
        <v>0</v>
      </c>
      <c r="D113" s="31">
        <v>3596.87</v>
      </c>
      <c r="E113" s="31">
        <v>3596.87</v>
      </c>
      <c r="F113" s="31">
        <v>7193.74</v>
      </c>
      <c r="G113" s="6" t="s">
        <v>229</v>
      </c>
      <c r="H113" s="6" t="s">
        <v>230</v>
      </c>
      <c r="I113" s="6" t="s">
        <v>231</v>
      </c>
      <c r="J113" s="6" t="s">
        <v>232</v>
      </c>
      <c r="K113" s="6">
        <v>45.425331</v>
      </c>
      <c r="L113" s="6">
        <v>-98.027854000000005</v>
      </c>
      <c r="M113" s="6" t="s">
        <v>233</v>
      </c>
      <c r="N113" s="4">
        <v>2003</v>
      </c>
      <c r="O113" t="s">
        <v>56</v>
      </c>
      <c r="P113" t="s">
        <v>57</v>
      </c>
      <c r="Q113" s="5">
        <v>340</v>
      </c>
      <c r="R113" s="1">
        <v>44718</v>
      </c>
      <c r="S113" s="1">
        <v>44770</v>
      </c>
      <c r="T113">
        <v>157</v>
      </c>
      <c r="U113"/>
      <c r="V113">
        <v>425.4</v>
      </c>
      <c r="W113">
        <v>120.3</v>
      </c>
      <c r="X113">
        <v>65.8</v>
      </c>
      <c r="Z113">
        <v>2</v>
      </c>
      <c r="AA113" s="124">
        <f t="shared" si="7"/>
        <v>521.77845242787043</v>
      </c>
      <c r="AB113" s="124">
        <f t="shared" si="8"/>
        <v>140.09231450056095</v>
      </c>
      <c r="AC113" s="124">
        <f t="shared" si="9"/>
        <v>77.329005885980592</v>
      </c>
      <c r="AD113" s="29"/>
      <c r="AE113" s="29"/>
      <c r="AF113" s="29"/>
    </row>
    <row r="114" spans="1:32" s="28" customFormat="1" x14ac:dyDescent="0.25">
      <c r="A114"/>
      <c r="B114" s="11"/>
      <c r="C114" s="32"/>
      <c r="D114" s="89"/>
      <c r="E114" s="89"/>
      <c r="F114" s="89"/>
      <c r="G114" s="85" t="s">
        <v>234</v>
      </c>
      <c r="H114" s="85" t="s">
        <v>122</v>
      </c>
      <c r="I114" s="85" t="s">
        <v>235</v>
      </c>
      <c r="J114" s="85" t="s">
        <v>99</v>
      </c>
      <c r="K114" s="85">
        <v>43.410054000000002</v>
      </c>
      <c r="L114" s="85">
        <v>-97.545253000000002</v>
      </c>
      <c r="M114" s="85" t="s">
        <v>192</v>
      </c>
      <c r="N114" s="86" t="s">
        <v>236</v>
      </c>
      <c r="O114" s="83" t="s">
        <v>54</v>
      </c>
      <c r="P114" s="83" t="s">
        <v>55</v>
      </c>
      <c r="Q114" s="87">
        <v>329</v>
      </c>
      <c r="R114" s="88">
        <v>44682</v>
      </c>
      <c r="S114" s="88">
        <v>44845</v>
      </c>
      <c r="T114" s="83">
        <v>261</v>
      </c>
      <c r="U114" s="83"/>
      <c r="V114" s="83">
        <v>569</v>
      </c>
      <c r="W114" s="83">
        <v>82</v>
      </c>
      <c r="X114" s="83">
        <v>44</v>
      </c>
      <c r="Y114" s="132"/>
      <c r="Z114" s="14">
        <v>2</v>
      </c>
      <c r="AA114" s="133">
        <v>1237.5986330505907</v>
      </c>
      <c r="AB114" s="133">
        <v>344.69929419921897</v>
      </c>
      <c r="AC114" s="133">
        <v>202.13661113052677</v>
      </c>
      <c r="AD114" s="29"/>
      <c r="AE114" s="29"/>
      <c r="AF114" s="29"/>
    </row>
    <row r="115" spans="1:32" s="28" customFormat="1" x14ac:dyDescent="0.25">
      <c r="A115"/>
      <c r="B115" s="13">
        <v>44849</v>
      </c>
      <c r="C115" s="32">
        <v>3622.8</v>
      </c>
      <c r="D115" s="32">
        <v>0</v>
      </c>
      <c r="E115" s="32">
        <v>4226.6000000000004</v>
      </c>
      <c r="F115" s="32">
        <v>7849.4</v>
      </c>
      <c r="G115" s="8" t="s">
        <v>234</v>
      </c>
      <c r="H115" s="8" t="s">
        <v>122</v>
      </c>
      <c r="I115" s="8" t="s">
        <v>235</v>
      </c>
      <c r="J115" s="8" t="s">
        <v>99</v>
      </c>
      <c r="K115" s="8">
        <v>43.410054000000002</v>
      </c>
      <c r="L115" s="8">
        <v>-97.545253000000002</v>
      </c>
      <c r="M115" s="8" t="s">
        <v>192</v>
      </c>
      <c r="N115" s="10" t="s">
        <v>236</v>
      </c>
      <c r="O115" s="11" t="s">
        <v>56</v>
      </c>
      <c r="P115" s="11" t="s">
        <v>57</v>
      </c>
      <c r="Q115" s="12">
        <v>340</v>
      </c>
      <c r="R115" s="13">
        <v>44682</v>
      </c>
      <c r="S115" s="13">
        <v>44848</v>
      </c>
      <c r="T115" s="11">
        <v>261</v>
      </c>
      <c r="U115" s="11"/>
      <c r="V115" s="11">
        <v>1009</v>
      </c>
      <c r="W115" s="11">
        <v>296</v>
      </c>
      <c r="X115" s="11">
        <v>172</v>
      </c>
      <c r="Y115" s="36"/>
      <c r="Z115" s="11">
        <v>2</v>
      </c>
      <c r="AA115" s="135">
        <f t="shared" si="7"/>
        <v>1237.5986330505907</v>
      </c>
      <c r="AB115" s="135">
        <f t="shared" si="8"/>
        <v>344.69929419921897</v>
      </c>
      <c r="AC115" s="135">
        <f t="shared" si="9"/>
        <v>202.13661113052677</v>
      </c>
      <c r="AD115" s="29"/>
      <c r="AE115" s="29"/>
      <c r="AF115" s="29"/>
    </row>
    <row r="116" spans="1:32" s="28" customFormat="1" x14ac:dyDescent="0.25">
      <c r="A116"/>
      <c r="B116"/>
      <c r="C116" s="31"/>
      <c r="D116" s="31"/>
      <c r="E116" s="31"/>
      <c r="F116" s="31"/>
      <c r="G116" s="20" t="s">
        <v>237</v>
      </c>
      <c r="H116" s="20" t="s">
        <v>92</v>
      </c>
      <c r="I116" s="20" t="s">
        <v>238</v>
      </c>
      <c r="J116" s="20" t="s">
        <v>239</v>
      </c>
      <c r="K116" s="20">
        <v>43.468524000000002</v>
      </c>
      <c r="L116" s="20">
        <v>-98.023386000000002</v>
      </c>
      <c r="M116" s="20" t="s">
        <v>64</v>
      </c>
      <c r="N116" s="4" t="s">
        <v>240</v>
      </c>
      <c r="O116" t="s">
        <v>54</v>
      </c>
      <c r="P116" t="s">
        <v>55</v>
      </c>
      <c r="Q116" s="5">
        <v>329</v>
      </c>
      <c r="R116" s="1">
        <v>45047</v>
      </c>
      <c r="S116" s="1">
        <v>45168</v>
      </c>
      <c r="T116">
        <v>40</v>
      </c>
      <c r="U116"/>
      <c r="V116">
        <v>83</v>
      </c>
      <c r="W116">
        <v>17</v>
      </c>
      <c r="X116">
        <v>12</v>
      </c>
      <c r="Z116">
        <v>2</v>
      </c>
      <c r="AA116" s="123">
        <v>239.17912135269097</v>
      </c>
      <c r="AB116" s="123">
        <v>74.529577124155452</v>
      </c>
      <c r="AC116" s="123">
        <v>50.534152782631693</v>
      </c>
      <c r="AD116" s="29"/>
      <c r="AE116" s="29"/>
      <c r="AF116" s="29"/>
    </row>
    <row r="117" spans="1:32" s="28" customFormat="1" x14ac:dyDescent="0.25">
      <c r="A117"/>
      <c r="B117" s="13">
        <v>45153</v>
      </c>
      <c r="C117" s="32">
        <v>1000</v>
      </c>
      <c r="D117" s="32">
        <v>0</v>
      </c>
      <c r="E117" s="32">
        <v>1000</v>
      </c>
      <c r="F117" s="32">
        <v>2000</v>
      </c>
      <c r="G117" s="8" t="s">
        <v>237</v>
      </c>
      <c r="H117" s="8" t="s">
        <v>92</v>
      </c>
      <c r="I117" s="8" t="s">
        <v>238</v>
      </c>
      <c r="J117" s="8" t="s">
        <v>239</v>
      </c>
      <c r="K117" s="8">
        <v>43.468524000000002</v>
      </c>
      <c r="L117" s="8">
        <v>-98.023386000000002</v>
      </c>
      <c r="M117" s="8" t="s">
        <v>64</v>
      </c>
      <c r="N117" s="10" t="s">
        <v>240</v>
      </c>
      <c r="O117" s="11" t="s">
        <v>56</v>
      </c>
      <c r="P117" s="11" t="s">
        <v>57</v>
      </c>
      <c r="Q117" s="12">
        <v>340</v>
      </c>
      <c r="R117" s="13">
        <v>45047</v>
      </c>
      <c r="S117" s="13">
        <v>45168</v>
      </c>
      <c r="T117" s="11">
        <v>40</v>
      </c>
      <c r="U117" s="11"/>
      <c r="V117" s="11">
        <v>195</v>
      </c>
      <c r="W117" s="11">
        <v>64</v>
      </c>
      <c r="X117" s="11">
        <v>43</v>
      </c>
      <c r="Z117">
        <v>2</v>
      </c>
      <c r="AA117" s="124">
        <f t="shared" si="7"/>
        <v>239.17912135269097</v>
      </c>
      <c r="AB117" s="124">
        <f t="shared" si="8"/>
        <v>74.529577124155452</v>
      </c>
      <c r="AC117" s="124">
        <f t="shared" si="9"/>
        <v>50.534152782631693</v>
      </c>
      <c r="AD117" s="29"/>
      <c r="AE117" s="29"/>
      <c r="AF117" s="29"/>
    </row>
    <row r="118" spans="1:32" s="28" customFormat="1" x14ac:dyDescent="0.25">
      <c r="A118"/>
      <c r="B118"/>
      <c r="C118" s="31"/>
      <c r="D118" s="31"/>
      <c r="E118" s="31"/>
      <c r="F118" s="31"/>
      <c r="G118" s="20" t="s">
        <v>237</v>
      </c>
      <c r="H118" s="20" t="s">
        <v>241</v>
      </c>
      <c r="I118" s="20" t="s">
        <v>242</v>
      </c>
      <c r="J118" s="20" t="s">
        <v>239</v>
      </c>
      <c r="K118" s="20">
        <v>43.469451999999997</v>
      </c>
      <c r="L118" s="20">
        <v>-98.025881999999996</v>
      </c>
      <c r="M118" s="20" t="s">
        <v>64</v>
      </c>
      <c r="N118" s="4">
        <v>2021014</v>
      </c>
      <c r="O118" t="s">
        <v>54</v>
      </c>
      <c r="P118" t="s">
        <v>55</v>
      </c>
      <c r="Q118" s="5">
        <v>329</v>
      </c>
      <c r="R118" s="1">
        <v>44317</v>
      </c>
      <c r="S118" s="1">
        <v>45160</v>
      </c>
      <c r="T118">
        <v>100</v>
      </c>
      <c r="U118"/>
      <c r="V118">
        <v>140</v>
      </c>
      <c r="W118">
        <v>29</v>
      </c>
      <c r="X118">
        <v>19</v>
      </c>
      <c r="Y118" s="132"/>
      <c r="Z118" s="14">
        <v>2</v>
      </c>
      <c r="AA118" s="133">
        <v>396.17874972779072</v>
      </c>
      <c r="AB118" s="133">
        <v>124.6041367544474</v>
      </c>
      <c r="AC118" s="133">
        <v>86.965751300342916</v>
      </c>
      <c r="AD118" s="29"/>
      <c r="AE118" s="29"/>
      <c r="AF118" s="29"/>
    </row>
    <row r="119" spans="1:32" s="28" customFormat="1" x14ac:dyDescent="0.25">
      <c r="A119"/>
      <c r="B119" s="1">
        <v>44417</v>
      </c>
      <c r="C119" s="31">
        <v>0</v>
      </c>
      <c r="D119" s="31">
        <v>1060</v>
      </c>
      <c r="E119" s="31">
        <v>1060</v>
      </c>
      <c r="F119" s="31">
        <v>2120</v>
      </c>
      <c r="G119" s="6" t="s">
        <v>237</v>
      </c>
      <c r="H119" s="6" t="s">
        <v>241</v>
      </c>
      <c r="I119" s="6" t="s">
        <v>242</v>
      </c>
      <c r="J119" s="6" t="s">
        <v>239</v>
      </c>
      <c r="K119" s="6">
        <v>43.469451999999997</v>
      </c>
      <c r="L119" s="6">
        <v>-98.025881999999996</v>
      </c>
      <c r="M119" s="6" t="s">
        <v>64</v>
      </c>
      <c r="N119" s="4">
        <v>2021014</v>
      </c>
      <c r="O119" t="s">
        <v>56</v>
      </c>
      <c r="P119" t="s">
        <v>57</v>
      </c>
      <c r="Q119" s="5">
        <v>340</v>
      </c>
      <c r="R119" s="1">
        <v>44417</v>
      </c>
      <c r="S119" s="1">
        <v>44550</v>
      </c>
      <c r="T119">
        <v>100</v>
      </c>
      <c r="U119"/>
      <c r="V119">
        <v>323</v>
      </c>
      <c r="W119">
        <v>107</v>
      </c>
      <c r="X119">
        <v>74</v>
      </c>
      <c r="Z119">
        <v>2</v>
      </c>
      <c r="AA119" s="124">
        <f t="shared" si="7"/>
        <v>396.17874972779072</v>
      </c>
      <c r="AB119" s="124">
        <f t="shared" si="8"/>
        <v>124.6041367544474</v>
      </c>
      <c r="AC119" s="124">
        <f t="shared" si="9"/>
        <v>86.965751300342916</v>
      </c>
      <c r="AD119" s="29"/>
      <c r="AE119" s="29"/>
      <c r="AF119" s="29"/>
    </row>
    <row r="120" spans="1:32" s="28" customFormat="1" x14ac:dyDescent="0.25">
      <c r="A120"/>
      <c r="B120"/>
      <c r="C120" s="31"/>
      <c r="D120" s="31"/>
      <c r="E120" s="31"/>
      <c r="F120" s="31"/>
      <c r="G120" s="6" t="s">
        <v>237</v>
      </c>
      <c r="H120" s="6" t="s">
        <v>241</v>
      </c>
      <c r="I120" s="6" t="s">
        <v>242</v>
      </c>
      <c r="J120" s="6" t="s">
        <v>239</v>
      </c>
      <c r="K120" s="6">
        <v>43.469451999999997</v>
      </c>
      <c r="L120" s="6">
        <v>-98.025881999999996</v>
      </c>
      <c r="M120" s="6" t="s">
        <v>64</v>
      </c>
      <c r="N120" s="4">
        <v>202201</v>
      </c>
      <c r="O120" t="s">
        <v>54</v>
      </c>
      <c r="P120" t="s">
        <v>55</v>
      </c>
      <c r="Q120" s="5">
        <v>329</v>
      </c>
      <c r="R120" s="1">
        <v>44774</v>
      </c>
      <c r="S120" s="1">
        <v>44845</v>
      </c>
      <c r="T120">
        <v>100</v>
      </c>
      <c r="U120"/>
      <c r="V120">
        <v>196</v>
      </c>
      <c r="W120">
        <v>39</v>
      </c>
      <c r="X120">
        <v>26</v>
      </c>
      <c r="Z120">
        <v>2</v>
      </c>
      <c r="AA120" s="123">
        <v>547.04558011948814</v>
      </c>
      <c r="AB120" s="123">
        <v>171.18512245704454</v>
      </c>
      <c r="AC120" s="123">
        <v>118.69649839641397</v>
      </c>
      <c r="AD120" s="29"/>
      <c r="AE120" s="29"/>
      <c r="AF120" s="29"/>
    </row>
    <row r="121" spans="1:32" s="28" customFormat="1" x14ac:dyDescent="0.25">
      <c r="A121"/>
      <c r="B121" s="13">
        <v>44706</v>
      </c>
      <c r="C121" s="32">
        <v>1751.2</v>
      </c>
      <c r="D121" s="32">
        <v>0</v>
      </c>
      <c r="E121" s="32">
        <v>1751.2</v>
      </c>
      <c r="F121" s="32">
        <v>3502.4</v>
      </c>
      <c r="G121" s="8" t="s">
        <v>237</v>
      </c>
      <c r="H121" s="8" t="s">
        <v>241</v>
      </c>
      <c r="I121" s="8" t="s">
        <v>242</v>
      </c>
      <c r="J121" s="8" t="s">
        <v>239</v>
      </c>
      <c r="K121" s="8">
        <v>43.469451999999997</v>
      </c>
      <c r="L121" s="8">
        <v>-98.025881999999996</v>
      </c>
      <c r="M121" s="8" t="s">
        <v>64</v>
      </c>
      <c r="N121" s="10">
        <v>202201</v>
      </c>
      <c r="O121" s="11" t="s">
        <v>56</v>
      </c>
      <c r="P121" s="11" t="s">
        <v>57</v>
      </c>
      <c r="Q121" s="12">
        <v>340</v>
      </c>
      <c r="R121" s="13">
        <v>44774</v>
      </c>
      <c r="S121" s="13">
        <v>44805</v>
      </c>
      <c r="T121" s="11">
        <v>100</v>
      </c>
      <c r="U121" s="11"/>
      <c r="V121" s="11">
        <v>446</v>
      </c>
      <c r="W121" s="11">
        <v>147</v>
      </c>
      <c r="X121" s="11">
        <v>101</v>
      </c>
      <c r="Y121" s="36"/>
      <c r="Z121" s="11">
        <v>2</v>
      </c>
      <c r="AA121" s="135">
        <f t="shared" si="7"/>
        <v>547.04558011948814</v>
      </c>
      <c r="AB121" s="135">
        <f t="shared" si="8"/>
        <v>171.18512245704454</v>
      </c>
      <c r="AC121" s="135">
        <f t="shared" si="9"/>
        <v>118.69649839641397</v>
      </c>
      <c r="AD121" s="29"/>
      <c r="AE121" s="29"/>
      <c r="AF121" s="29"/>
    </row>
    <row r="122" spans="1:32" s="28" customFormat="1" x14ac:dyDescent="0.25">
      <c r="A122"/>
      <c r="B122"/>
      <c r="C122" s="31"/>
      <c r="D122" s="31"/>
      <c r="E122" s="31"/>
      <c r="F122" s="31"/>
      <c r="G122" s="20" t="s">
        <v>243</v>
      </c>
      <c r="H122" s="20" t="s">
        <v>244</v>
      </c>
      <c r="I122" s="20" t="s">
        <v>245</v>
      </c>
      <c r="J122" s="20" t="s">
        <v>52</v>
      </c>
      <c r="K122" s="20">
        <v>44.482517999999999</v>
      </c>
      <c r="L122" s="20">
        <v>-97.967359000000002</v>
      </c>
      <c r="M122" s="20" t="s">
        <v>246</v>
      </c>
      <c r="N122" s="4" t="s">
        <v>247</v>
      </c>
      <c r="O122" t="s">
        <v>83</v>
      </c>
      <c r="P122" t="s">
        <v>84</v>
      </c>
      <c r="Q122" s="5">
        <v>328</v>
      </c>
      <c r="R122" s="1">
        <v>44703</v>
      </c>
      <c r="S122" s="1">
        <v>44879</v>
      </c>
      <c r="T122">
        <v>202</v>
      </c>
      <c r="U122"/>
      <c r="V122"/>
      <c r="W122"/>
      <c r="X122"/>
      <c r="Z122">
        <v>2</v>
      </c>
      <c r="AA122" s="123">
        <v>608.3735599535114</v>
      </c>
      <c r="AB122" s="123">
        <v>160.70440067396018</v>
      </c>
      <c r="AC122" s="123">
        <v>92.841815577393106</v>
      </c>
      <c r="AD122" s="29"/>
      <c r="AE122" s="29"/>
      <c r="AF122" s="29"/>
    </row>
    <row r="123" spans="1:32" s="28" customFormat="1" x14ac:dyDescent="0.25">
      <c r="A123"/>
      <c r="B123"/>
      <c r="C123" s="31"/>
      <c r="D123" s="31"/>
      <c r="E123" s="31"/>
      <c r="F123" s="31"/>
      <c r="G123" s="6" t="s">
        <v>243</v>
      </c>
      <c r="H123" s="6" t="s">
        <v>244</v>
      </c>
      <c r="I123" s="6" t="s">
        <v>245</v>
      </c>
      <c r="J123" s="6" t="s">
        <v>52</v>
      </c>
      <c r="K123" s="6">
        <v>44.482517999999999</v>
      </c>
      <c r="L123" s="6">
        <v>-97.967359000000002</v>
      </c>
      <c r="M123" s="6" t="s">
        <v>246</v>
      </c>
      <c r="N123" s="4" t="s">
        <v>247</v>
      </c>
      <c r="O123" t="s">
        <v>54</v>
      </c>
      <c r="P123" t="s">
        <v>55</v>
      </c>
      <c r="Q123" s="5">
        <v>329</v>
      </c>
      <c r="R123" s="1">
        <v>44703</v>
      </c>
      <c r="S123" s="1">
        <v>44879</v>
      </c>
      <c r="T123">
        <v>202</v>
      </c>
      <c r="U123"/>
      <c r="V123">
        <v>303</v>
      </c>
      <c r="W123">
        <v>43</v>
      </c>
      <c r="X123">
        <v>23</v>
      </c>
      <c r="Z123">
        <v>2</v>
      </c>
      <c r="AA123" s="124">
        <v>608.3735599535114</v>
      </c>
      <c r="AB123" s="124">
        <v>160.70440067396018</v>
      </c>
      <c r="AC123" s="124">
        <v>92.841815577393106</v>
      </c>
      <c r="AD123" s="29"/>
      <c r="AE123" s="29"/>
      <c r="AF123" s="29"/>
    </row>
    <row r="124" spans="1:32" s="28" customFormat="1" x14ac:dyDescent="0.25">
      <c r="A124"/>
      <c r="B124" s="1">
        <v>44850</v>
      </c>
      <c r="C124" s="31">
        <v>1939.2</v>
      </c>
      <c r="D124" s="31">
        <v>0</v>
      </c>
      <c r="E124" s="31">
        <v>3181.2</v>
      </c>
      <c r="F124" s="31">
        <v>5120.3999999999996</v>
      </c>
      <c r="G124" s="6" t="s">
        <v>243</v>
      </c>
      <c r="H124" s="6" t="s">
        <v>244</v>
      </c>
      <c r="I124" s="6" t="s">
        <v>245</v>
      </c>
      <c r="J124" s="6" t="s">
        <v>52</v>
      </c>
      <c r="K124" s="6">
        <v>44.482517999999999</v>
      </c>
      <c r="L124" s="6">
        <v>-97.967359000000002</v>
      </c>
      <c r="M124" s="6" t="s">
        <v>246</v>
      </c>
      <c r="N124" s="4" t="s">
        <v>247</v>
      </c>
      <c r="O124" t="s">
        <v>56</v>
      </c>
      <c r="P124" t="s">
        <v>57</v>
      </c>
      <c r="Q124" s="5">
        <v>340</v>
      </c>
      <c r="R124" s="1">
        <v>44760</v>
      </c>
      <c r="S124" s="1">
        <v>44879</v>
      </c>
      <c r="T124">
        <v>202</v>
      </c>
      <c r="U124"/>
      <c r="V124">
        <v>496</v>
      </c>
      <c r="W124">
        <v>138</v>
      </c>
      <c r="X124">
        <v>79</v>
      </c>
      <c r="Z124">
        <v>2</v>
      </c>
      <c r="AA124" s="124">
        <f t="shared" si="7"/>
        <v>608.3735599535114</v>
      </c>
      <c r="AB124" s="124">
        <f t="shared" si="8"/>
        <v>160.70440067396018</v>
      </c>
      <c r="AC124" s="124">
        <f t="shared" si="9"/>
        <v>92.841815577393106</v>
      </c>
      <c r="AD124" s="29"/>
      <c r="AE124" s="29"/>
      <c r="AF124" s="29"/>
    </row>
    <row r="125" spans="1:32" s="28" customFormat="1" x14ac:dyDescent="0.25">
      <c r="A125"/>
      <c r="B125"/>
      <c r="C125" s="31"/>
      <c r="D125" s="31"/>
      <c r="E125" s="31"/>
      <c r="F125" s="31"/>
      <c r="G125" s="6" t="s">
        <v>243</v>
      </c>
      <c r="H125" s="6" t="s">
        <v>244</v>
      </c>
      <c r="I125" s="6" t="s">
        <v>245</v>
      </c>
      <c r="J125" s="6" t="s">
        <v>52</v>
      </c>
      <c r="K125" s="6">
        <v>44.482517999999999</v>
      </c>
      <c r="L125" s="6">
        <v>-97.967359000000002</v>
      </c>
      <c r="M125" s="6" t="s">
        <v>246</v>
      </c>
      <c r="N125" s="4" t="s">
        <v>247</v>
      </c>
      <c r="O125" t="s">
        <v>105</v>
      </c>
      <c r="P125" s="11" t="s">
        <v>741</v>
      </c>
      <c r="Q125" s="12">
        <v>528</v>
      </c>
      <c r="R125" s="1">
        <v>44703</v>
      </c>
      <c r="S125" s="1">
        <v>44879</v>
      </c>
      <c r="T125">
        <v>202</v>
      </c>
      <c r="U125"/>
      <c r="V125"/>
      <c r="W125"/>
      <c r="X125"/>
      <c r="Z125">
        <v>2</v>
      </c>
      <c r="AA125" s="124">
        <v>608.3735599535114</v>
      </c>
      <c r="AB125" s="124">
        <v>160.70440067396018</v>
      </c>
      <c r="AC125" s="124">
        <v>92.841815577393106</v>
      </c>
      <c r="AD125" s="29"/>
      <c r="AE125" s="29"/>
      <c r="AF125" s="29"/>
    </row>
    <row r="126" spans="1:32" s="28" customFormat="1" x14ac:dyDescent="0.25">
      <c r="A126"/>
      <c r="B126"/>
      <c r="C126" s="31"/>
      <c r="D126" s="31"/>
      <c r="E126" s="31"/>
      <c r="F126" s="31"/>
      <c r="G126" s="6" t="s">
        <v>243</v>
      </c>
      <c r="H126" s="6" t="s">
        <v>244</v>
      </c>
      <c r="I126" s="6" t="s">
        <v>245</v>
      </c>
      <c r="J126" s="6" t="s">
        <v>52</v>
      </c>
      <c r="K126" s="6">
        <v>44.482517999999999</v>
      </c>
      <c r="L126" s="6">
        <v>-97.967359000000002</v>
      </c>
      <c r="M126" s="6" t="s">
        <v>246</v>
      </c>
      <c r="N126" s="4" t="s">
        <v>162</v>
      </c>
      <c r="O126" t="s">
        <v>83</v>
      </c>
      <c r="P126" t="s">
        <v>84</v>
      </c>
      <c r="Q126" s="5">
        <v>328</v>
      </c>
      <c r="R126" s="1">
        <v>45082</v>
      </c>
      <c r="S126" s="1">
        <v>45154</v>
      </c>
      <c r="T126">
        <v>202</v>
      </c>
      <c r="U126"/>
      <c r="V126"/>
      <c r="W126"/>
      <c r="X126"/>
      <c r="Z126">
        <v>2</v>
      </c>
      <c r="AA126" s="123">
        <v>661.11562261077142</v>
      </c>
      <c r="AB126" s="123">
        <v>172.34964709960948</v>
      </c>
      <c r="AC126" s="123">
        <v>90.49138986657303</v>
      </c>
      <c r="AD126" s="29"/>
      <c r="AE126" s="29"/>
      <c r="AF126" s="29"/>
    </row>
    <row r="127" spans="1:32" s="28" customFormat="1" x14ac:dyDescent="0.25">
      <c r="A127"/>
      <c r="B127"/>
      <c r="C127" s="31"/>
      <c r="D127" s="31"/>
      <c r="E127" s="31"/>
      <c r="F127" s="31"/>
      <c r="G127" s="6" t="s">
        <v>243</v>
      </c>
      <c r="H127" s="6" t="s">
        <v>244</v>
      </c>
      <c r="I127" s="6" t="s">
        <v>245</v>
      </c>
      <c r="J127" s="6" t="s">
        <v>52</v>
      </c>
      <c r="K127" s="6">
        <v>44.482517999999999</v>
      </c>
      <c r="L127" s="6">
        <v>-97.967359000000002</v>
      </c>
      <c r="M127" s="6" t="s">
        <v>246</v>
      </c>
      <c r="N127" s="4" t="s">
        <v>162</v>
      </c>
      <c r="O127" t="s">
        <v>54</v>
      </c>
      <c r="P127" t="s">
        <v>55</v>
      </c>
      <c r="Q127" s="5">
        <v>329</v>
      </c>
      <c r="R127" s="1">
        <v>45082</v>
      </c>
      <c r="S127" s="1">
        <v>45148</v>
      </c>
      <c r="T127">
        <v>202</v>
      </c>
      <c r="U127"/>
      <c r="V127">
        <v>473</v>
      </c>
      <c r="W127">
        <v>100</v>
      </c>
      <c r="X127">
        <v>51</v>
      </c>
      <c r="Z127">
        <v>2</v>
      </c>
      <c r="AA127" s="124">
        <v>661.11562261077142</v>
      </c>
      <c r="AB127" s="124">
        <v>172.34964709960948</v>
      </c>
      <c r="AC127" s="124">
        <v>90.49138986657303</v>
      </c>
      <c r="AD127" s="29"/>
      <c r="AE127" s="29"/>
      <c r="AF127" s="29"/>
    </row>
    <row r="128" spans="1:32" s="28" customFormat="1" x14ac:dyDescent="0.25">
      <c r="A128"/>
      <c r="B128" s="13">
        <v>45089</v>
      </c>
      <c r="C128" s="32">
        <v>4000</v>
      </c>
      <c r="D128" s="32">
        <v>0</v>
      </c>
      <c r="E128" s="32">
        <v>7219.08</v>
      </c>
      <c r="F128" s="32">
        <v>11219.08</v>
      </c>
      <c r="G128" s="8" t="s">
        <v>243</v>
      </c>
      <c r="H128" s="8" t="s">
        <v>244</v>
      </c>
      <c r="I128" s="8" t="s">
        <v>245</v>
      </c>
      <c r="J128" s="8" t="s">
        <v>52</v>
      </c>
      <c r="K128" s="8">
        <v>44.482517999999999</v>
      </c>
      <c r="L128" s="8">
        <v>-97.967359000000002</v>
      </c>
      <c r="M128" s="8" t="s">
        <v>246</v>
      </c>
      <c r="N128" s="10" t="s">
        <v>162</v>
      </c>
      <c r="O128" s="66" t="s">
        <v>56</v>
      </c>
      <c r="P128" s="66" t="s">
        <v>57</v>
      </c>
      <c r="Q128" s="12">
        <v>329</v>
      </c>
      <c r="R128" s="13">
        <v>45124</v>
      </c>
      <c r="S128" s="13">
        <v>45143</v>
      </c>
      <c r="T128" s="11">
        <v>202</v>
      </c>
      <c r="U128" s="11"/>
      <c r="V128" s="11">
        <v>539</v>
      </c>
      <c r="W128" s="11">
        <v>148</v>
      </c>
      <c r="X128" s="11">
        <v>77</v>
      </c>
      <c r="Z128">
        <v>2</v>
      </c>
      <c r="AA128" s="124">
        <f t="shared" si="7"/>
        <v>661.11562261077142</v>
      </c>
      <c r="AB128" s="124">
        <f t="shared" si="8"/>
        <v>172.34964709960948</v>
      </c>
      <c r="AC128" s="124">
        <f t="shared" si="9"/>
        <v>90.49138986657303</v>
      </c>
      <c r="AD128" s="29"/>
      <c r="AE128" s="29"/>
      <c r="AF128" s="29"/>
    </row>
    <row r="129" spans="1:32" s="28" customFormat="1" x14ac:dyDescent="0.25">
      <c r="A129"/>
      <c r="B129"/>
      <c r="C129" s="31"/>
      <c r="D129" s="31"/>
      <c r="E129" s="31"/>
      <c r="F129" s="31"/>
      <c r="G129" s="20" t="s">
        <v>248</v>
      </c>
      <c r="H129" s="20" t="s">
        <v>50</v>
      </c>
      <c r="I129" s="20" t="s">
        <v>249</v>
      </c>
      <c r="J129" s="20" t="s">
        <v>250</v>
      </c>
      <c r="K129" s="20">
        <v>43.163657999999998</v>
      </c>
      <c r="L129" s="20">
        <v>-97.874202999999994</v>
      </c>
      <c r="M129" s="20" t="s">
        <v>64</v>
      </c>
      <c r="N129" s="4" t="s">
        <v>251</v>
      </c>
      <c r="O129" t="s">
        <v>54</v>
      </c>
      <c r="P129" t="s">
        <v>55</v>
      </c>
      <c r="Q129" s="5">
        <v>329</v>
      </c>
      <c r="R129" s="1">
        <v>44682</v>
      </c>
      <c r="S129" s="1">
        <v>44844</v>
      </c>
      <c r="T129">
        <v>15</v>
      </c>
      <c r="U129"/>
      <c r="V129">
        <v>66</v>
      </c>
      <c r="W129">
        <v>16</v>
      </c>
      <c r="X129">
        <v>11</v>
      </c>
      <c r="Y129" s="132"/>
      <c r="Z129" s="14">
        <v>2</v>
      </c>
      <c r="AA129" s="133">
        <v>199.92921425891603</v>
      </c>
      <c r="AB129" s="133">
        <v>65.213379983636017</v>
      </c>
      <c r="AC129" s="133">
        <v>48.183727071811617</v>
      </c>
      <c r="AD129" s="29"/>
      <c r="AE129" s="29"/>
      <c r="AF129" s="29"/>
    </row>
    <row r="130" spans="1:32" s="28" customFormat="1" x14ac:dyDescent="0.25">
      <c r="A130"/>
      <c r="B130" s="1">
        <v>44764</v>
      </c>
      <c r="C130" s="31">
        <v>0</v>
      </c>
      <c r="D130" s="31">
        <v>331</v>
      </c>
      <c r="E130" s="31">
        <v>268.2</v>
      </c>
      <c r="F130" s="31">
        <v>599.20000000000005</v>
      </c>
      <c r="G130" s="6" t="s">
        <v>248</v>
      </c>
      <c r="H130" s="6" t="s">
        <v>50</v>
      </c>
      <c r="I130" s="6" t="s">
        <v>249</v>
      </c>
      <c r="J130" s="6" t="s">
        <v>250</v>
      </c>
      <c r="K130" s="6">
        <v>43.163657999999998</v>
      </c>
      <c r="L130" s="6">
        <v>-97.874202999999994</v>
      </c>
      <c r="M130" s="6" t="s">
        <v>64</v>
      </c>
      <c r="N130" s="4" t="s">
        <v>251</v>
      </c>
      <c r="O130" t="s">
        <v>56</v>
      </c>
      <c r="P130" t="s">
        <v>57</v>
      </c>
      <c r="Q130" s="5">
        <v>340</v>
      </c>
      <c r="R130" s="1">
        <v>44655</v>
      </c>
      <c r="S130" s="1">
        <v>44795</v>
      </c>
      <c r="T130">
        <v>15</v>
      </c>
      <c r="U130"/>
      <c r="V130">
        <v>163</v>
      </c>
      <c r="W130">
        <v>56</v>
      </c>
      <c r="X130">
        <v>41</v>
      </c>
      <c r="Z130">
        <v>2</v>
      </c>
      <c r="AA130" s="124">
        <f t="shared" si="7"/>
        <v>199.92921425891603</v>
      </c>
      <c r="AB130" s="124">
        <f t="shared" si="8"/>
        <v>65.213379983636017</v>
      </c>
      <c r="AC130" s="124">
        <f t="shared" si="9"/>
        <v>48.183727071811617</v>
      </c>
      <c r="AD130" s="29"/>
      <c r="AE130" s="29"/>
      <c r="AF130" s="29"/>
    </row>
    <row r="131" spans="1:32" s="28" customFormat="1" x14ac:dyDescent="0.25">
      <c r="A131"/>
      <c r="B131" s="1">
        <v>44687</v>
      </c>
      <c r="C131" s="31">
        <v>0</v>
      </c>
      <c r="D131" s="31">
        <v>134</v>
      </c>
      <c r="E131" s="31">
        <v>259</v>
      </c>
      <c r="F131" s="31">
        <v>393</v>
      </c>
      <c r="G131" s="6" t="s">
        <v>248</v>
      </c>
      <c r="H131" s="6" t="s">
        <v>50</v>
      </c>
      <c r="I131" s="6" t="s">
        <v>249</v>
      </c>
      <c r="J131" s="6" t="s">
        <v>250</v>
      </c>
      <c r="K131" s="6">
        <v>43.163657999999998</v>
      </c>
      <c r="L131" s="6">
        <v>-97.874202999999994</v>
      </c>
      <c r="M131" s="6" t="s">
        <v>64</v>
      </c>
      <c r="N131" s="4" t="s">
        <v>251</v>
      </c>
      <c r="O131" t="s">
        <v>132</v>
      </c>
      <c r="P131" t="s">
        <v>133</v>
      </c>
      <c r="Q131" s="5"/>
      <c r="R131" s="1">
        <v>44655</v>
      </c>
      <c r="S131" s="1">
        <v>44713</v>
      </c>
      <c r="T131">
        <v>5</v>
      </c>
      <c r="U131"/>
      <c r="V131"/>
      <c r="W131"/>
      <c r="X131"/>
      <c r="Z131">
        <v>2</v>
      </c>
      <c r="AA131" s="124">
        <v>199.92921425891603</v>
      </c>
      <c r="AB131" s="124">
        <v>65.213379983636017</v>
      </c>
      <c r="AC131" s="124">
        <v>48.183727071811617</v>
      </c>
      <c r="AD131" s="29"/>
      <c r="AE131" s="29"/>
      <c r="AF131" s="29"/>
    </row>
    <row r="132" spans="1:32" s="28" customFormat="1" x14ac:dyDescent="0.25">
      <c r="A132"/>
      <c r="B132"/>
      <c r="C132" s="31"/>
      <c r="D132" s="31"/>
      <c r="E132" s="31"/>
      <c r="F132" s="31"/>
      <c r="G132" s="6" t="s">
        <v>248</v>
      </c>
      <c r="H132" s="6" t="s">
        <v>50</v>
      </c>
      <c r="I132" s="6" t="s">
        <v>249</v>
      </c>
      <c r="J132" s="6" t="s">
        <v>250</v>
      </c>
      <c r="K132" s="6">
        <v>43.163657999999998</v>
      </c>
      <c r="L132" s="6">
        <v>-97.874202999999994</v>
      </c>
      <c r="M132" s="6" t="s">
        <v>64</v>
      </c>
      <c r="N132" s="4" t="s">
        <v>252</v>
      </c>
      <c r="O132" t="s">
        <v>54</v>
      </c>
      <c r="P132" t="s">
        <v>55</v>
      </c>
      <c r="Q132" s="5">
        <v>329</v>
      </c>
      <c r="R132" s="1">
        <v>45017</v>
      </c>
      <c r="S132" s="1">
        <v>45083</v>
      </c>
      <c r="T132">
        <v>40</v>
      </c>
      <c r="U132"/>
      <c r="V132">
        <v>100</v>
      </c>
      <c r="W132">
        <v>35</v>
      </c>
      <c r="X132">
        <v>24</v>
      </c>
      <c r="Z132">
        <v>2</v>
      </c>
      <c r="AA132" s="123">
        <v>275.97590925310499</v>
      </c>
      <c r="AB132" s="123">
        <v>89.668397477499525</v>
      </c>
      <c r="AC132" s="123">
        <v>65.811919902962202</v>
      </c>
      <c r="AD132" s="29"/>
      <c r="AE132" s="29"/>
      <c r="AF132" s="29"/>
    </row>
    <row r="133" spans="1:32" s="28" customFormat="1" x14ac:dyDescent="0.25">
      <c r="A133"/>
      <c r="B133" s="1">
        <v>45061</v>
      </c>
      <c r="C133" s="31">
        <v>2985.58</v>
      </c>
      <c r="D133" s="31">
        <v>0</v>
      </c>
      <c r="E133" s="31">
        <v>1990.38</v>
      </c>
      <c r="F133" s="31">
        <v>4975.96</v>
      </c>
      <c r="G133" s="6" t="s">
        <v>248</v>
      </c>
      <c r="H133" s="6" t="s">
        <v>50</v>
      </c>
      <c r="I133" s="6" t="s">
        <v>249</v>
      </c>
      <c r="J133" s="6" t="s">
        <v>250</v>
      </c>
      <c r="K133" s="6">
        <v>43.163657999999998</v>
      </c>
      <c r="L133" s="6">
        <v>-97.874202999999994</v>
      </c>
      <c r="M133" s="6" t="s">
        <v>64</v>
      </c>
      <c r="N133" s="4" t="s">
        <v>252</v>
      </c>
      <c r="O133" t="s">
        <v>132</v>
      </c>
      <c r="P133" t="s">
        <v>133</v>
      </c>
      <c r="Q133" s="5"/>
      <c r="R133" s="1">
        <v>45017</v>
      </c>
      <c r="S133" s="1">
        <v>45077</v>
      </c>
      <c r="T133">
        <v>40</v>
      </c>
      <c r="U133"/>
      <c r="V133">
        <v>225</v>
      </c>
      <c r="W133">
        <v>77</v>
      </c>
      <c r="X133">
        <v>56</v>
      </c>
      <c r="Z133">
        <v>2</v>
      </c>
      <c r="AA133" s="124">
        <f t="shared" si="7"/>
        <v>275.97590925310499</v>
      </c>
      <c r="AB133" s="124">
        <f t="shared" si="8"/>
        <v>89.668397477499525</v>
      </c>
      <c r="AC133" s="124">
        <f t="shared" si="9"/>
        <v>65.811919902962202</v>
      </c>
      <c r="AD133" s="29"/>
      <c r="AE133" s="29"/>
      <c r="AF133" s="29"/>
    </row>
    <row r="134" spans="1:32" s="28" customFormat="1" x14ac:dyDescent="0.25">
      <c r="A134"/>
      <c r="B134"/>
      <c r="C134" s="31"/>
      <c r="D134" s="31"/>
      <c r="E134" s="31"/>
      <c r="F134" s="31"/>
      <c r="G134" s="6" t="s">
        <v>248</v>
      </c>
      <c r="H134" s="6" t="s">
        <v>50</v>
      </c>
      <c r="I134" s="6" t="s">
        <v>249</v>
      </c>
      <c r="J134" s="6" t="s">
        <v>250</v>
      </c>
      <c r="K134" s="6">
        <v>43.157899</v>
      </c>
      <c r="L134" s="6">
        <v>-97.895435000000006</v>
      </c>
      <c r="M134" s="6" t="s">
        <v>64</v>
      </c>
      <c r="N134" s="4" t="s">
        <v>253</v>
      </c>
      <c r="O134" t="s">
        <v>83</v>
      </c>
      <c r="P134" t="s">
        <v>84</v>
      </c>
      <c r="Q134" s="5">
        <v>328</v>
      </c>
      <c r="R134" s="1">
        <v>45413</v>
      </c>
      <c r="S134" s="1">
        <v>45600</v>
      </c>
      <c r="T134">
        <v>84</v>
      </c>
      <c r="U134"/>
      <c r="V134"/>
      <c r="W134"/>
      <c r="X134"/>
      <c r="Z134">
        <v>3</v>
      </c>
      <c r="AA134" s="123">
        <v>927.27905509043273</v>
      </c>
      <c r="AB134" s="123">
        <v>302.77640706688152</v>
      </c>
      <c r="AC134" s="123">
        <v>222.11522967249743</v>
      </c>
      <c r="AD134" s="29"/>
      <c r="AE134" s="29"/>
      <c r="AF134" s="29"/>
    </row>
    <row r="135" spans="1:32" s="28" customFormat="1" x14ac:dyDescent="0.25">
      <c r="A135"/>
      <c r="B135"/>
      <c r="C135" s="31"/>
      <c r="D135" s="31"/>
      <c r="E135" s="31"/>
      <c r="F135" s="31"/>
      <c r="G135" s="6" t="s">
        <v>248</v>
      </c>
      <c r="H135" s="6" t="s">
        <v>50</v>
      </c>
      <c r="I135" s="6" t="s">
        <v>249</v>
      </c>
      <c r="J135" s="6" t="s">
        <v>250</v>
      </c>
      <c r="K135" s="6">
        <v>43.157899</v>
      </c>
      <c r="L135" s="6">
        <v>-97.895435000000006</v>
      </c>
      <c r="M135" s="6" t="s">
        <v>64</v>
      </c>
      <c r="N135" s="4" t="s">
        <v>253</v>
      </c>
      <c r="O135" t="s">
        <v>54</v>
      </c>
      <c r="P135" t="s">
        <v>55</v>
      </c>
      <c r="Q135" s="5">
        <v>329</v>
      </c>
      <c r="R135" s="1">
        <v>45433</v>
      </c>
      <c r="S135" s="1">
        <v>45600</v>
      </c>
      <c r="T135">
        <v>84</v>
      </c>
      <c r="U135"/>
      <c r="V135">
        <v>296</v>
      </c>
      <c r="W135">
        <v>69</v>
      </c>
      <c r="X135">
        <v>48</v>
      </c>
      <c r="Z135">
        <v>3</v>
      </c>
      <c r="AA135" s="124">
        <v>927.27905509043273</v>
      </c>
      <c r="AB135" s="124">
        <v>302.77640706688152</v>
      </c>
      <c r="AC135" s="124">
        <v>222.11522967249743</v>
      </c>
      <c r="AD135" s="29"/>
      <c r="AE135" s="29"/>
      <c r="AF135" s="29"/>
    </row>
    <row r="136" spans="1:32" s="28" customFormat="1" x14ac:dyDescent="0.25">
      <c r="A136"/>
      <c r="B136" s="13">
        <v>45519</v>
      </c>
      <c r="C136" s="32">
        <v>2100</v>
      </c>
      <c r="D136" s="32"/>
      <c r="E136" s="32">
        <v>2567.88</v>
      </c>
      <c r="F136" s="32">
        <v>4667.88</v>
      </c>
      <c r="G136" s="8" t="s">
        <v>248</v>
      </c>
      <c r="H136" s="8" t="s">
        <v>50</v>
      </c>
      <c r="I136" s="8" t="s">
        <v>249</v>
      </c>
      <c r="J136" s="8" t="s">
        <v>250</v>
      </c>
      <c r="K136" s="8">
        <v>43.157899</v>
      </c>
      <c r="L136" s="8">
        <v>-97.895435000000006</v>
      </c>
      <c r="M136" s="8" t="s">
        <v>64</v>
      </c>
      <c r="N136" s="10" t="s">
        <v>253</v>
      </c>
      <c r="O136" s="11" t="s">
        <v>56</v>
      </c>
      <c r="P136" s="11" t="s">
        <v>57</v>
      </c>
      <c r="Q136" s="12">
        <v>340</v>
      </c>
      <c r="R136" s="13">
        <v>45433</v>
      </c>
      <c r="S136" s="13">
        <v>45600</v>
      </c>
      <c r="T136">
        <v>84</v>
      </c>
      <c r="U136" s="11"/>
      <c r="V136" s="11">
        <v>756</v>
      </c>
      <c r="W136" s="11">
        <v>260</v>
      </c>
      <c r="X136" s="11">
        <v>189</v>
      </c>
      <c r="Y136" s="36"/>
      <c r="Z136" s="11">
        <v>3</v>
      </c>
      <c r="AA136" s="135">
        <f t="shared" si="7"/>
        <v>927.27905509043273</v>
      </c>
      <c r="AB136" s="135">
        <f t="shared" si="8"/>
        <v>302.77640706688152</v>
      </c>
      <c r="AC136" s="135">
        <f t="shared" si="9"/>
        <v>222.11522967249743</v>
      </c>
      <c r="AD136" s="29"/>
      <c r="AE136" s="29"/>
      <c r="AF136" s="29"/>
    </row>
    <row r="137" spans="1:32" s="28" customFormat="1" x14ac:dyDescent="0.25">
      <c r="A137"/>
      <c r="B137"/>
      <c r="C137" s="31"/>
      <c r="D137" s="31"/>
      <c r="E137" s="31"/>
      <c r="F137" s="31"/>
      <c r="G137" s="20" t="s">
        <v>254</v>
      </c>
      <c r="H137" s="20" t="s">
        <v>255</v>
      </c>
      <c r="I137" s="20" t="s">
        <v>256</v>
      </c>
      <c r="J137" s="20" t="s">
        <v>257</v>
      </c>
      <c r="K137" s="20">
        <v>43.980998999999997</v>
      </c>
      <c r="L137" s="20">
        <v>-96.686104999999998</v>
      </c>
      <c r="M137" s="20" t="s">
        <v>258</v>
      </c>
      <c r="N137" s="4" t="s">
        <v>259</v>
      </c>
      <c r="O137" t="s">
        <v>54</v>
      </c>
      <c r="P137" t="s">
        <v>55</v>
      </c>
      <c r="Q137" s="5">
        <v>329</v>
      </c>
      <c r="R137" s="1">
        <v>44682</v>
      </c>
      <c r="S137" s="1">
        <v>44875</v>
      </c>
      <c r="T137" s="83">
        <v>15</v>
      </c>
      <c r="U137"/>
      <c r="V137">
        <v>83</v>
      </c>
      <c r="W137">
        <v>16</v>
      </c>
      <c r="X137">
        <v>11</v>
      </c>
      <c r="Z137">
        <v>2</v>
      </c>
      <c r="AA137" s="123">
        <v>208.51513143567931</v>
      </c>
      <c r="AB137" s="123">
        <v>62.884330698506162</v>
      </c>
      <c r="AC137" s="123">
        <v>43.482875650171458</v>
      </c>
      <c r="AD137" s="29"/>
      <c r="AE137" s="29"/>
      <c r="AF137" s="29"/>
    </row>
    <row r="138" spans="1:32" s="28" customFormat="1" x14ac:dyDescent="0.25">
      <c r="A138"/>
      <c r="B138" s="13">
        <v>44743</v>
      </c>
      <c r="C138" s="32">
        <v>421.04</v>
      </c>
      <c r="D138" s="32">
        <v>0</v>
      </c>
      <c r="E138" s="32">
        <v>421.04</v>
      </c>
      <c r="F138" s="32">
        <v>842.08</v>
      </c>
      <c r="G138" s="8" t="s">
        <v>254</v>
      </c>
      <c r="H138" s="8" t="s">
        <v>255</v>
      </c>
      <c r="I138" s="8" t="s">
        <v>256</v>
      </c>
      <c r="J138" s="8" t="s">
        <v>257</v>
      </c>
      <c r="K138" s="8">
        <v>43.980998999999997</v>
      </c>
      <c r="L138" s="8">
        <v>-96.686104999999998</v>
      </c>
      <c r="M138" s="8" t="s">
        <v>258</v>
      </c>
      <c r="N138" s="10" t="s">
        <v>259</v>
      </c>
      <c r="O138" s="11" t="s">
        <v>56</v>
      </c>
      <c r="P138" s="11" t="s">
        <v>57</v>
      </c>
      <c r="Q138" s="12">
        <v>340</v>
      </c>
      <c r="R138" s="13">
        <v>44713</v>
      </c>
      <c r="S138" s="13">
        <v>44858</v>
      </c>
      <c r="T138">
        <v>15</v>
      </c>
      <c r="U138" s="11"/>
      <c r="V138" s="11">
        <v>170</v>
      </c>
      <c r="W138" s="11">
        <v>54</v>
      </c>
      <c r="X138" s="11">
        <v>37</v>
      </c>
      <c r="Z138">
        <v>2</v>
      </c>
      <c r="AA138" s="124">
        <f t="shared" ref="AA138:AA146" si="10">V138*$AD$1</f>
        <v>208.51513143567931</v>
      </c>
      <c r="AB138" s="124">
        <f t="shared" ref="AB138:AB146" si="11">W138*$AE$1</f>
        <v>62.884330698506162</v>
      </c>
      <c r="AC138" s="124">
        <f t="shared" ref="AC138:AC146" si="12">X138*$AF$1</f>
        <v>43.482875650171458</v>
      </c>
      <c r="AD138" s="29"/>
      <c r="AE138" s="29"/>
      <c r="AF138" s="29"/>
    </row>
    <row r="139" spans="1:32" s="28" customFormat="1" x14ac:dyDescent="0.25">
      <c r="A139"/>
      <c r="B139"/>
      <c r="C139" s="31"/>
      <c r="D139" s="31"/>
      <c r="E139" s="31"/>
      <c r="F139" s="31"/>
      <c r="G139" s="20" t="s">
        <v>260</v>
      </c>
      <c r="H139" s="20" t="s">
        <v>261</v>
      </c>
      <c r="I139" s="20" t="s">
        <v>262</v>
      </c>
      <c r="J139" s="20" t="s">
        <v>263</v>
      </c>
      <c r="K139" s="20">
        <v>44.042935</v>
      </c>
      <c r="L139" s="20">
        <v>-97.576173999999995</v>
      </c>
      <c r="M139" s="20" t="s">
        <v>189</v>
      </c>
      <c r="N139" s="4" t="s">
        <v>264</v>
      </c>
      <c r="O139" t="s">
        <v>54</v>
      </c>
      <c r="P139" t="s">
        <v>55</v>
      </c>
      <c r="Q139" s="5">
        <v>329</v>
      </c>
      <c r="R139" s="1">
        <v>44682</v>
      </c>
      <c r="S139" s="1">
        <v>44875</v>
      </c>
      <c r="T139" s="83">
        <v>160</v>
      </c>
      <c r="U139"/>
      <c r="V139">
        <v>317</v>
      </c>
      <c r="W139">
        <v>46</v>
      </c>
      <c r="X139">
        <v>24</v>
      </c>
      <c r="Y139" s="132"/>
      <c r="Z139" s="14">
        <v>2</v>
      </c>
      <c r="AA139" s="133">
        <v>642.7172286605645</v>
      </c>
      <c r="AB139" s="133">
        <v>171.18512245704454</v>
      </c>
      <c r="AC139" s="133">
        <v>99.893092709853349</v>
      </c>
      <c r="AD139" s="29"/>
      <c r="AE139" s="29"/>
      <c r="AF139" s="29"/>
    </row>
    <row r="140" spans="1:32" s="28" customFormat="1" x14ac:dyDescent="0.25">
      <c r="A140"/>
      <c r="B140" s="13">
        <v>44814</v>
      </c>
      <c r="C140" s="32">
        <v>1700</v>
      </c>
      <c r="D140" s="32">
        <v>0</v>
      </c>
      <c r="E140" s="32">
        <v>2880</v>
      </c>
      <c r="F140" s="32">
        <v>4580</v>
      </c>
      <c r="G140" s="8" t="s">
        <v>260</v>
      </c>
      <c r="H140" s="8" t="s">
        <v>261</v>
      </c>
      <c r="I140" s="8" t="s">
        <v>262</v>
      </c>
      <c r="J140" s="8" t="s">
        <v>263</v>
      </c>
      <c r="K140" s="8">
        <v>44.042935</v>
      </c>
      <c r="L140" s="8">
        <v>-97.576173999999995</v>
      </c>
      <c r="M140" s="8" t="s">
        <v>189</v>
      </c>
      <c r="N140" s="10" t="s">
        <v>264</v>
      </c>
      <c r="O140" s="11" t="s">
        <v>56</v>
      </c>
      <c r="P140" s="11" t="s">
        <v>57</v>
      </c>
      <c r="Q140" s="12">
        <v>340</v>
      </c>
      <c r="R140" s="13">
        <v>44759</v>
      </c>
      <c r="S140" s="13">
        <v>44867</v>
      </c>
      <c r="T140" s="11">
        <v>160</v>
      </c>
      <c r="U140" s="11"/>
      <c r="V140" s="11">
        <v>524</v>
      </c>
      <c r="W140" s="11">
        <v>147</v>
      </c>
      <c r="X140" s="11">
        <v>85</v>
      </c>
      <c r="Y140" s="36"/>
      <c r="Z140" s="11">
        <v>2</v>
      </c>
      <c r="AA140" s="135">
        <f t="shared" si="10"/>
        <v>642.7172286605645</v>
      </c>
      <c r="AB140" s="135">
        <f t="shared" si="11"/>
        <v>171.18512245704454</v>
      </c>
      <c r="AC140" s="135">
        <f t="shared" si="12"/>
        <v>99.893092709853349</v>
      </c>
      <c r="AD140" s="29"/>
      <c r="AE140" s="29"/>
      <c r="AF140" s="29"/>
    </row>
    <row r="141" spans="1:32" s="28" customFormat="1" x14ac:dyDescent="0.25">
      <c r="A141"/>
      <c r="B141"/>
      <c r="C141" s="31"/>
      <c r="D141" s="31"/>
      <c r="E141" s="31"/>
      <c r="F141" s="31"/>
      <c r="G141" s="20" t="s">
        <v>265</v>
      </c>
      <c r="H141" s="20" t="s">
        <v>266</v>
      </c>
      <c r="I141" s="20" t="s">
        <v>267</v>
      </c>
      <c r="J141" s="20" t="s">
        <v>268</v>
      </c>
      <c r="K141" s="20">
        <v>43.289501999999999</v>
      </c>
      <c r="L141" s="20">
        <v>-98.992805000000004</v>
      </c>
      <c r="M141" s="20" t="s">
        <v>269</v>
      </c>
      <c r="N141" s="4" t="s">
        <v>270</v>
      </c>
      <c r="O141" t="s">
        <v>54</v>
      </c>
      <c r="P141" t="s">
        <v>55</v>
      </c>
      <c r="Q141" s="5">
        <v>329</v>
      </c>
      <c r="R141" s="1">
        <v>44682</v>
      </c>
      <c r="S141" s="1">
        <v>44875</v>
      </c>
      <c r="T141">
        <v>160</v>
      </c>
      <c r="U141"/>
      <c r="V141">
        <v>596</v>
      </c>
      <c r="W141">
        <v>124</v>
      </c>
      <c r="X141">
        <v>83</v>
      </c>
      <c r="Z141">
        <v>2</v>
      </c>
      <c r="AA141" s="123">
        <v>1557.7306877841925</v>
      </c>
      <c r="AB141" s="123">
        <v>480.94867737931565</v>
      </c>
      <c r="AC141" s="123">
        <v>337.28608950268131</v>
      </c>
      <c r="AD141" s="29"/>
      <c r="AE141" s="29"/>
      <c r="AF141" s="29"/>
    </row>
    <row r="142" spans="1:32" s="28" customFormat="1" x14ac:dyDescent="0.25">
      <c r="A142"/>
      <c r="B142" s="1">
        <v>44777</v>
      </c>
      <c r="C142" s="31">
        <v>3080</v>
      </c>
      <c r="D142" s="31">
        <v>0</v>
      </c>
      <c r="E142" s="31">
        <v>3080</v>
      </c>
      <c r="F142" s="31">
        <v>6160</v>
      </c>
      <c r="G142" s="6" t="s">
        <v>265</v>
      </c>
      <c r="H142" s="6" t="s">
        <v>266</v>
      </c>
      <c r="I142" s="6" t="s">
        <v>267</v>
      </c>
      <c r="J142" s="6" t="s">
        <v>268</v>
      </c>
      <c r="K142" s="6">
        <v>43.289501999999999</v>
      </c>
      <c r="L142" s="6">
        <v>-98.992805000000004</v>
      </c>
      <c r="M142" s="6" t="s">
        <v>269</v>
      </c>
      <c r="N142" s="4" t="s">
        <v>270</v>
      </c>
      <c r="O142" t="s">
        <v>56</v>
      </c>
      <c r="P142" t="s">
        <v>57</v>
      </c>
      <c r="Q142" s="5">
        <v>340</v>
      </c>
      <c r="R142" s="1">
        <v>44753</v>
      </c>
      <c r="S142" s="1">
        <v>44928</v>
      </c>
      <c r="T142">
        <v>160</v>
      </c>
      <c r="U142"/>
      <c r="V142">
        <v>1270</v>
      </c>
      <c r="W142">
        <v>413</v>
      </c>
      <c r="X142">
        <v>287</v>
      </c>
      <c r="Z142">
        <v>2</v>
      </c>
      <c r="AA142" s="124">
        <f t="shared" si="10"/>
        <v>1557.7306877841925</v>
      </c>
      <c r="AB142" s="124">
        <f t="shared" si="11"/>
        <v>480.94867737931565</v>
      </c>
      <c r="AC142" s="124">
        <f t="shared" si="12"/>
        <v>337.28608950268131</v>
      </c>
      <c r="AD142" s="29"/>
      <c r="AE142" s="29"/>
      <c r="AF142" s="29"/>
    </row>
    <row r="143" spans="1:32" s="28" customFormat="1" x14ac:dyDescent="0.25">
      <c r="A143"/>
      <c r="B143" s="11"/>
      <c r="C143" s="32"/>
      <c r="D143" s="32"/>
      <c r="E143" s="32"/>
      <c r="F143" s="32"/>
      <c r="G143" s="8" t="s">
        <v>265</v>
      </c>
      <c r="H143" s="8" t="s">
        <v>266</v>
      </c>
      <c r="I143" s="8" t="s">
        <v>267</v>
      </c>
      <c r="J143" s="8" t="s">
        <v>268</v>
      </c>
      <c r="K143" s="8">
        <v>43.289501999999999</v>
      </c>
      <c r="L143" s="8">
        <v>-98.992805000000004</v>
      </c>
      <c r="M143" s="8" t="s">
        <v>269</v>
      </c>
      <c r="N143" s="10" t="s">
        <v>270</v>
      </c>
      <c r="O143" s="11" t="s">
        <v>105</v>
      </c>
      <c r="P143" s="11" t="s">
        <v>741</v>
      </c>
      <c r="Q143" s="12">
        <v>528</v>
      </c>
      <c r="R143" s="13">
        <v>44682</v>
      </c>
      <c r="S143" s="13">
        <v>44875</v>
      </c>
      <c r="T143" s="11">
        <v>160</v>
      </c>
      <c r="U143" s="11"/>
      <c r="V143" s="11"/>
      <c r="W143" s="11"/>
      <c r="X143" s="11"/>
      <c r="Z143">
        <v>2</v>
      </c>
      <c r="AA143" s="124">
        <v>1557.7306877841925</v>
      </c>
      <c r="AB143" s="124">
        <v>480.94867737931565</v>
      </c>
      <c r="AC143" s="124">
        <v>337.28608950268131</v>
      </c>
      <c r="AD143" s="29"/>
      <c r="AE143" s="29"/>
      <c r="AF143" s="29"/>
    </row>
    <row r="144" spans="1:32" s="28" customFormat="1" x14ac:dyDescent="0.25">
      <c r="A144"/>
      <c r="B144"/>
      <c r="C144" s="31"/>
      <c r="D144" s="31"/>
      <c r="E144" s="31"/>
      <c r="F144" s="31"/>
      <c r="G144" s="20" t="s">
        <v>271</v>
      </c>
      <c r="H144" s="20" t="s">
        <v>272</v>
      </c>
      <c r="I144" s="20" t="s">
        <v>273</v>
      </c>
      <c r="J144" s="20" t="s">
        <v>274</v>
      </c>
      <c r="K144" s="20">
        <v>45.244373000000003</v>
      </c>
      <c r="L144" s="20">
        <v>-96.858258000000006</v>
      </c>
      <c r="M144" s="20" t="s">
        <v>275</v>
      </c>
      <c r="N144" s="4">
        <v>2021003</v>
      </c>
      <c r="O144" t="s">
        <v>54</v>
      </c>
      <c r="P144" t="s">
        <v>55</v>
      </c>
      <c r="Q144" s="5">
        <v>329</v>
      </c>
      <c r="R144" s="1">
        <v>44409</v>
      </c>
      <c r="S144" s="1">
        <v>44454</v>
      </c>
      <c r="T144">
        <v>120</v>
      </c>
      <c r="U144"/>
      <c r="V144">
        <v>221</v>
      </c>
      <c r="W144">
        <v>44</v>
      </c>
      <c r="X144">
        <v>29</v>
      </c>
      <c r="Y144" s="132"/>
      <c r="Z144" s="14">
        <v>2</v>
      </c>
      <c r="AA144" s="133">
        <v>1184.8565703933307</v>
      </c>
      <c r="AB144" s="133">
        <v>328.39594920330995</v>
      </c>
      <c r="AC144" s="133">
        <v>247.9699124915183</v>
      </c>
      <c r="AD144" s="29"/>
      <c r="AE144" s="29"/>
      <c r="AF144" s="29"/>
    </row>
    <row r="145" spans="1:32" s="28" customFormat="1" x14ac:dyDescent="0.25">
      <c r="A145"/>
      <c r="B145"/>
      <c r="C145" s="31"/>
      <c r="D145" s="31"/>
      <c r="E145" s="31"/>
      <c r="F145" s="31"/>
      <c r="G145" s="6" t="s">
        <v>271</v>
      </c>
      <c r="H145" s="6" t="s">
        <v>272</v>
      </c>
      <c r="I145" s="6" t="s">
        <v>273</v>
      </c>
      <c r="J145" s="6" t="s">
        <v>274</v>
      </c>
      <c r="K145" s="6">
        <v>45.271711000000003</v>
      </c>
      <c r="L145" s="6">
        <v>-96.847289000000004</v>
      </c>
      <c r="M145" s="6" t="s">
        <v>275</v>
      </c>
      <c r="N145" s="4">
        <v>2021003</v>
      </c>
      <c r="O145" t="s">
        <v>54</v>
      </c>
      <c r="P145" t="s">
        <v>55</v>
      </c>
      <c r="Q145" s="5">
        <v>329</v>
      </c>
      <c r="R145" s="1">
        <v>44409</v>
      </c>
      <c r="S145" s="1">
        <v>44423</v>
      </c>
      <c r="T145">
        <v>135</v>
      </c>
      <c r="U145"/>
      <c r="V145">
        <v>247</v>
      </c>
      <c r="W145">
        <v>49</v>
      </c>
      <c r="X145">
        <v>32</v>
      </c>
      <c r="Z145">
        <v>2</v>
      </c>
      <c r="AA145" s="124">
        <v>1184.8565703933307</v>
      </c>
      <c r="AB145" s="124">
        <v>328.39594920330995</v>
      </c>
      <c r="AC145" s="124">
        <v>247.9699124915183</v>
      </c>
      <c r="AD145" s="29"/>
      <c r="AE145" s="29"/>
      <c r="AF145" s="29"/>
    </row>
    <row r="146" spans="1:32" s="28" customFormat="1" x14ac:dyDescent="0.25">
      <c r="A146"/>
      <c r="B146" s="1">
        <v>44397</v>
      </c>
      <c r="C146" s="31">
        <v>0</v>
      </c>
      <c r="D146" s="31">
        <v>3060</v>
      </c>
      <c r="E146" s="31">
        <v>13132.12</v>
      </c>
      <c r="F146" s="31">
        <v>16192.12</v>
      </c>
      <c r="G146" s="6" t="s">
        <v>271</v>
      </c>
      <c r="H146" s="6" t="s">
        <v>272</v>
      </c>
      <c r="I146" s="6" t="s">
        <v>273</v>
      </c>
      <c r="J146" s="6" t="s">
        <v>274</v>
      </c>
      <c r="K146" s="6">
        <v>45.244373000000003</v>
      </c>
      <c r="L146" s="6">
        <v>-96.858258000000006</v>
      </c>
      <c r="M146" s="6" t="s">
        <v>275</v>
      </c>
      <c r="N146" s="4">
        <v>2021003</v>
      </c>
      <c r="O146" t="s">
        <v>56</v>
      </c>
      <c r="P146" t="s">
        <v>57</v>
      </c>
      <c r="Q146" s="5">
        <v>340</v>
      </c>
      <c r="R146" s="1">
        <v>44378</v>
      </c>
      <c r="S146" s="1">
        <v>44392</v>
      </c>
      <c r="T146">
        <v>255</v>
      </c>
      <c r="U146"/>
      <c r="V146">
        <v>966</v>
      </c>
      <c r="W146">
        <v>282</v>
      </c>
      <c r="X146">
        <v>211</v>
      </c>
      <c r="Z146">
        <v>2</v>
      </c>
      <c r="AA146" s="124">
        <f t="shared" si="10"/>
        <v>1184.8565703933307</v>
      </c>
      <c r="AB146" s="124">
        <f t="shared" si="11"/>
        <v>328.39594920330995</v>
      </c>
      <c r="AC146" s="124">
        <f t="shared" si="12"/>
        <v>247.9699124915183</v>
      </c>
      <c r="AD146" s="29"/>
      <c r="AE146" s="29"/>
      <c r="AF146" s="29"/>
    </row>
    <row r="147" spans="1:32" s="28" customFormat="1" x14ac:dyDescent="0.25">
      <c r="A147"/>
      <c r="B147"/>
      <c r="C147" s="31"/>
      <c r="D147" s="31"/>
      <c r="E147" s="31"/>
      <c r="F147" s="31"/>
      <c r="G147" s="6" t="s">
        <v>271</v>
      </c>
      <c r="H147" s="6" t="s">
        <v>272</v>
      </c>
      <c r="I147" s="6" t="s">
        <v>273</v>
      </c>
      <c r="J147" s="6" t="s">
        <v>274</v>
      </c>
      <c r="K147" s="6">
        <v>45.244373000000003</v>
      </c>
      <c r="L147" s="6">
        <v>-96.858258000000006</v>
      </c>
      <c r="M147" s="6" t="s">
        <v>275</v>
      </c>
      <c r="N147" s="4">
        <v>2021003</v>
      </c>
      <c r="O147" t="s">
        <v>105</v>
      </c>
      <c r="P147" s="11" t="s">
        <v>741</v>
      </c>
      <c r="Q147" s="12">
        <v>528</v>
      </c>
      <c r="R147" s="1">
        <v>44440</v>
      </c>
      <c r="S147" s="1">
        <v>44470</v>
      </c>
      <c r="T147">
        <v>120</v>
      </c>
      <c r="U147"/>
      <c r="V147"/>
      <c r="W147"/>
      <c r="X147"/>
      <c r="Z147">
        <v>2</v>
      </c>
      <c r="AA147" s="124">
        <v>1184.8565703933307</v>
      </c>
      <c r="AB147" s="124">
        <v>328.39594920330995</v>
      </c>
      <c r="AC147" s="124">
        <v>247.9699124915183</v>
      </c>
      <c r="AD147" s="29"/>
      <c r="AE147" s="29"/>
      <c r="AF147" s="29"/>
    </row>
    <row r="148" spans="1:32" s="28" customFormat="1" x14ac:dyDescent="0.25">
      <c r="A148"/>
      <c r="B148"/>
      <c r="C148" s="31"/>
      <c r="D148" s="31"/>
      <c r="E148" s="31"/>
      <c r="F148" s="31"/>
      <c r="G148" s="6" t="s">
        <v>271</v>
      </c>
      <c r="H148" s="6" t="s">
        <v>272</v>
      </c>
      <c r="I148" s="6" t="s">
        <v>273</v>
      </c>
      <c r="J148" s="6" t="s">
        <v>274</v>
      </c>
      <c r="K148" s="6">
        <v>45.242403000000003</v>
      </c>
      <c r="L148" s="6">
        <v>-96.899850999999998</v>
      </c>
      <c r="M148" s="6" t="s">
        <v>275</v>
      </c>
      <c r="N148" s="4">
        <v>202401</v>
      </c>
      <c r="O148" t="s">
        <v>54</v>
      </c>
      <c r="P148" t="s">
        <v>55</v>
      </c>
      <c r="Q148" s="5">
        <v>329</v>
      </c>
      <c r="R148" s="1">
        <v>45809</v>
      </c>
      <c r="S148" s="1">
        <v>45809</v>
      </c>
      <c r="T148">
        <v>160</v>
      </c>
      <c r="U148"/>
      <c r="V148" s="41">
        <v>292</v>
      </c>
      <c r="W148" s="41">
        <v>126</v>
      </c>
      <c r="X148" s="41">
        <v>82</v>
      </c>
      <c r="Z148">
        <v>3</v>
      </c>
      <c r="AA148" s="120">
        <v>338</v>
      </c>
      <c r="AB148" s="120">
        <v>129</v>
      </c>
      <c r="AC148" s="120">
        <v>84</v>
      </c>
      <c r="AD148" s="38">
        <f>AA148/V148</f>
        <v>1.1575342465753424</v>
      </c>
      <c r="AE148" s="38">
        <f t="shared" ref="AE148:AF148" si="13">AB148/W148</f>
        <v>1.0238095238095237</v>
      </c>
      <c r="AF148" s="38">
        <f t="shared" si="13"/>
        <v>1.024390243902439</v>
      </c>
    </row>
    <row r="149" spans="1:32" s="28" customFormat="1" x14ac:dyDescent="0.25">
      <c r="A149"/>
      <c r="B149" s="13">
        <v>45689</v>
      </c>
      <c r="C149" s="32">
        <v>4800</v>
      </c>
      <c r="D149" s="32"/>
      <c r="E149" s="32">
        <v>10444.99</v>
      </c>
      <c r="F149" s="32">
        <v>15244.99</v>
      </c>
      <c r="G149" s="8" t="s">
        <v>271</v>
      </c>
      <c r="H149" s="8" t="s">
        <v>272</v>
      </c>
      <c r="I149" s="8" t="s">
        <v>273</v>
      </c>
      <c r="J149" s="8" t="s">
        <v>274</v>
      </c>
      <c r="K149" s="8">
        <v>45.242403000000003</v>
      </c>
      <c r="L149" s="8">
        <v>-96.899850999999998</v>
      </c>
      <c r="M149" s="8" t="s">
        <v>275</v>
      </c>
      <c r="N149" s="10">
        <v>202401</v>
      </c>
      <c r="O149" s="11" t="s">
        <v>56</v>
      </c>
      <c r="P149" s="11" t="s">
        <v>57</v>
      </c>
      <c r="Q149" s="12">
        <v>340</v>
      </c>
      <c r="R149" s="13">
        <v>45809</v>
      </c>
      <c r="S149" s="13">
        <v>45809</v>
      </c>
      <c r="T149" s="11">
        <v>160</v>
      </c>
      <c r="U149" s="66"/>
      <c r="V149" s="141">
        <v>79</v>
      </c>
      <c r="W149" s="141">
        <v>15</v>
      </c>
      <c r="X149" s="141">
        <v>10</v>
      </c>
      <c r="Y149" s="36"/>
      <c r="Z149" s="11">
        <v>3</v>
      </c>
      <c r="AA149" s="39">
        <v>338</v>
      </c>
      <c r="AB149" s="39">
        <v>129</v>
      </c>
      <c r="AC149" s="39">
        <v>84</v>
      </c>
      <c r="AD149" s="38"/>
      <c r="AE149" s="38"/>
      <c r="AF149" s="29"/>
    </row>
    <row r="150" spans="1:32" s="28" customFormat="1" x14ac:dyDescent="0.25">
      <c r="A150"/>
      <c r="B150"/>
      <c r="C150" s="31"/>
      <c r="D150" s="31"/>
      <c r="E150" s="31"/>
      <c r="F150" s="31"/>
      <c r="G150" s="20" t="s">
        <v>278</v>
      </c>
      <c r="H150" s="20" t="s">
        <v>279</v>
      </c>
      <c r="I150" s="20" t="s">
        <v>280</v>
      </c>
      <c r="J150" s="20" t="s">
        <v>80</v>
      </c>
      <c r="K150" s="20">
        <v>43.737093000000002</v>
      </c>
      <c r="L150" s="20">
        <v>-96.603538</v>
      </c>
      <c r="M150" s="20" t="s">
        <v>281</v>
      </c>
      <c r="N150" s="4" t="s">
        <v>282</v>
      </c>
      <c r="O150" t="s">
        <v>83</v>
      </c>
      <c r="P150" t="s">
        <v>84</v>
      </c>
      <c r="Q150" s="5">
        <v>328</v>
      </c>
      <c r="R150" s="1">
        <v>44287</v>
      </c>
      <c r="S150" s="1">
        <v>44409</v>
      </c>
      <c r="T150">
        <v>110</v>
      </c>
      <c r="U150"/>
      <c r="V150"/>
      <c r="W150"/>
      <c r="X150"/>
      <c r="Z150">
        <v>2</v>
      </c>
      <c r="AA150" s="123">
        <v>997.19295210121925</v>
      </c>
      <c r="AB150" s="123">
        <v>328.39594920330995</v>
      </c>
      <c r="AC150" s="123">
        <v>245.61948678069822</v>
      </c>
      <c r="AD150" s="29"/>
      <c r="AE150" s="29"/>
      <c r="AF150" s="29"/>
    </row>
    <row r="151" spans="1:32" s="28" customFormat="1" x14ac:dyDescent="0.25">
      <c r="A151"/>
      <c r="B151"/>
      <c r="C151" s="31"/>
      <c r="D151" s="31"/>
      <c r="E151" s="31"/>
      <c r="F151" s="31"/>
      <c r="G151" s="6" t="s">
        <v>278</v>
      </c>
      <c r="H151" s="6" t="s">
        <v>279</v>
      </c>
      <c r="I151" s="6" t="s">
        <v>280</v>
      </c>
      <c r="J151" s="6" t="s">
        <v>80</v>
      </c>
      <c r="K151" s="6">
        <v>43.737093000000002</v>
      </c>
      <c r="L151" s="6">
        <v>-96.603538</v>
      </c>
      <c r="M151" s="6" t="s">
        <v>281</v>
      </c>
      <c r="N151" s="4" t="s">
        <v>282</v>
      </c>
      <c r="O151" t="s">
        <v>54</v>
      </c>
      <c r="P151" t="s">
        <v>55</v>
      </c>
      <c r="Q151" s="5">
        <v>329</v>
      </c>
      <c r="R151" s="1">
        <v>44287</v>
      </c>
      <c r="S151" s="1">
        <v>44409</v>
      </c>
      <c r="T151">
        <v>110</v>
      </c>
      <c r="U151"/>
      <c r="V151">
        <v>726</v>
      </c>
      <c r="W151">
        <v>138</v>
      </c>
      <c r="X151">
        <v>89</v>
      </c>
      <c r="Z151">
        <v>2</v>
      </c>
      <c r="AA151" s="124">
        <v>997.19295210121925</v>
      </c>
      <c r="AB151" s="124">
        <v>328.39594920330995</v>
      </c>
      <c r="AC151" s="124">
        <v>245.61948678069822</v>
      </c>
      <c r="AD151" s="29"/>
      <c r="AE151" s="29"/>
      <c r="AF151" s="29"/>
    </row>
    <row r="152" spans="1:32" s="28" customFormat="1" x14ac:dyDescent="0.25">
      <c r="A152"/>
      <c r="B152" s="1">
        <v>44440</v>
      </c>
      <c r="C152" s="31">
        <v>2750</v>
      </c>
      <c r="D152" s="31">
        <v>0</v>
      </c>
      <c r="E152" s="31">
        <v>1980</v>
      </c>
      <c r="F152" s="31">
        <v>4730</v>
      </c>
      <c r="G152" s="6" t="s">
        <v>278</v>
      </c>
      <c r="H152" s="6" t="s">
        <v>279</v>
      </c>
      <c r="I152" s="6" t="s">
        <v>280</v>
      </c>
      <c r="J152" s="6" t="s">
        <v>80</v>
      </c>
      <c r="K152" s="6">
        <v>43.737093000000002</v>
      </c>
      <c r="L152" s="6">
        <v>-96.603538</v>
      </c>
      <c r="M152" s="6" t="s">
        <v>281</v>
      </c>
      <c r="N152" s="4" t="s">
        <v>282</v>
      </c>
      <c r="O152" t="s">
        <v>56</v>
      </c>
      <c r="P152" t="s">
        <v>57</v>
      </c>
      <c r="Q152" s="5">
        <v>340</v>
      </c>
      <c r="R152" s="1">
        <v>44291</v>
      </c>
      <c r="S152" s="1">
        <v>44493</v>
      </c>
      <c r="T152">
        <v>110</v>
      </c>
      <c r="U152"/>
      <c r="V152">
        <v>813</v>
      </c>
      <c r="W152">
        <v>282</v>
      </c>
      <c r="X152">
        <v>209</v>
      </c>
      <c r="Z152">
        <v>2</v>
      </c>
      <c r="AA152" s="124">
        <f t="shared" ref="AA152:AA211" si="14">V152*$AD$1</f>
        <v>997.19295210121925</v>
      </c>
      <c r="AB152" s="124">
        <f t="shared" ref="AB152:AB211" si="15">W152*$AE$1</f>
        <v>328.39594920330995</v>
      </c>
      <c r="AC152" s="124">
        <f t="shared" ref="AC152:AC211" si="16">X152*$AF$1</f>
        <v>245.61948678069822</v>
      </c>
      <c r="AD152" s="29"/>
      <c r="AE152" s="29"/>
      <c r="AF152" s="29"/>
    </row>
    <row r="153" spans="1:32" s="28" customFormat="1" x14ac:dyDescent="0.25">
      <c r="A153"/>
      <c r="B153"/>
      <c r="C153" s="31"/>
      <c r="D153" s="31"/>
      <c r="E153" s="31"/>
      <c r="F153" s="31"/>
      <c r="G153" s="6" t="s">
        <v>278</v>
      </c>
      <c r="H153" s="6" t="s">
        <v>279</v>
      </c>
      <c r="I153" s="6" t="s">
        <v>280</v>
      </c>
      <c r="J153" s="6" t="s">
        <v>80</v>
      </c>
      <c r="K153" s="6">
        <v>43.737093000000002</v>
      </c>
      <c r="L153" s="6">
        <v>-96.603538</v>
      </c>
      <c r="M153" s="6" t="s">
        <v>281</v>
      </c>
      <c r="N153" s="4" t="s">
        <v>283</v>
      </c>
      <c r="O153" t="s">
        <v>54</v>
      </c>
      <c r="P153" t="s">
        <v>55</v>
      </c>
      <c r="Q153" s="5">
        <v>329</v>
      </c>
      <c r="R153" s="1">
        <v>44682</v>
      </c>
      <c r="S153" s="1">
        <v>44880</v>
      </c>
      <c r="T153">
        <v>110</v>
      </c>
      <c r="U153"/>
      <c r="V153">
        <v>1090</v>
      </c>
      <c r="W153">
        <v>208</v>
      </c>
      <c r="X153">
        <v>129</v>
      </c>
      <c r="Z153">
        <v>2</v>
      </c>
      <c r="AA153" s="123">
        <f t="shared" si="14"/>
        <v>1336.9499603817085</v>
      </c>
      <c r="AB153" s="123">
        <f t="shared" si="15"/>
        <v>242.22112565350523</v>
      </c>
      <c r="AC153" s="123">
        <f t="shared" si="16"/>
        <v>151.60245834789509</v>
      </c>
      <c r="AD153" s="29"/>
      <c r="AE153" s="29"/>
      <c r="AF153" s="29"/>
    </row>
    <row r="154" spans="1:32" s="28" customFormat="1" x14ac:dyDescent="0.25">
      <c r="A154"/>
      <c r="B154"/>
      <c r="C154" s="31"/>
      <c r="D154" s="31"/>
      <c r="E154" s="31"/>
      <c r="F154" s="31"/>
      <c r="G154" s="6" t="s">
        <v>278</v>
      </c>
      <c r="H154" s="6" t="s">
        <v>279</v>
      </c>
      <c r="I154" s="6" t="s">
        <v>280</v>
      </c>
      <c r="J154" s="6" t="s">
        <v>80</v>
      </c>
      <c r="K154" s="6">
        <v>43.737093000000002</v>
      </c>
      <c r="L154" s="6">
        <v>-96.603538</v>
      </c>
      <c r="M154" s="6" t="s">
        <v>281</v>
      </c>
      <c r="N154" s="4" t="s">
        <v>283</v>
      </c>
      <c r="O154" t="s">
        <v>56</v>
      </c>
      <c r="P154" t="s">
        <v>57</v>
      </c>
      <c r="Q154" s="5">
        <v>340</v>
      </c>
      <c r="R154" s="1">
        <v>44682</v>
      </c>
      <c r="S154" s="1">
        <v>44880</v>
      </c>
      <c r="T154">
        <v>110</v>
      </c>
      <c r="U154"/>
      <c r="V154">
        <v>1005</v>
      </c>
      <c r="W154">
        <v>334</v>
      </c>
      <c r="X154">
        <v>238</v>
      </c>
      <c r="Z154">
        <v>2</v>
      </c>
      <c r="AA154" s="124">
        <v>1336.9499603817085</v>
      </c>
      <c r="AB154" s="124">
        <v>242.22112565350523</v>
      </c>
      <c r="AC154" s="124">
        <v>151.60245834789509</v>
      </c>
      <c r="AD154" s="29"/>
      <c r="AE154" s="29"/>
      <c r="AF154" s="29"/>
    </row>
    <row r="155" spans="1:32" s="28" customFormat="1" x14ac:dyDescent="0.25">
      <c r="A155"/>
      <c r="B155" s="11"/>
      <c r="C155" s="32"/>
      <c r="D155" s="32"/>
      <c r="E155" s="32"/>
      <c r="F155" s="32"/>
      <c r="G155" s="8" t="s">
        <v>278</v>
      </c>
      <c r="H155" s="8" t="s">
        <v>279</v>
      </c>
      <c r="I155" s="8" t="s">
        <v>280</v>
      </c>
      <c r="J155" s="8" t="s">
        <v>80</v>
      </c>
      <c r="K155" s="8">
        <v>43.737093000000002</v>
      </c>
      <c r="L155" s="8">
        <v>-96.603538</v>
      </c>
      <c r="M155" s="8" t="s">
        <v>281</v>
      </c>
      <c r="N155" s="10" t="s">
        <v>283</v>
      </c>
      <c r="O155" s="11" t="s">
        <v>105</v>
      </c>
      <c r="P155" s="11" t="s">
        <v>741</v>
      </c>
      <c r="Q155" s="12">
        <v>528</v>
      </c>
      <c r="R155" s="13">
        <v>44682</v>
      </c>
      <c r="S155" s="13">
        <v>44880</v>
      </c>
      <c r="T155" s="11">
        <v>110</v>
      </c>
      <c r="U155" s="11"/>
      <c r="V155" s="11"/>
      <c r="W155" s="11"/>
      <c r="X155" s="11"/>
      <c r="Z155">
        <v>2</v>
      </c>
      <c r="AA155" s="124">
        <v>1336.9499603817085</v>
      </c>
      <c r="AB155" s="124">
        <v>242.22112565350523</v>
      </c>
      <c r="AC155" s="124">
        <v>151.60245834789509</v>
      </c>
      <c r="AD155" s="29"/>
      <c r="AE155" s="29"/>
      <c r="AF155" s="29"/>
    </row>
    <row r="156" spans="1:32" s="28" customFormat="1" x14ac:dyDescent="0.25">
      <c r="A156"/>
      <c r="B156"/>
      <c r="C156" s="31"/>
      <c r="D156" s="31"/>
      <c r="E156" s="31"/>
      <c r="F156" s="31"/>
      <c r="G156" s="20" t="s">
        <v>284</v>
      </c>
      <c r="H156" s="20" t="s">
        <v>285</v>
      </c>
      <c r="I156" s="20" t="s">
        <v>286</v>
      </c>
      <c r="J156" s="20" t="s">
        <v>69</v>
      </c>
      <c r="K156" s="20">
        <v>43.903872999999997</v>
      </c>
      <c r="L156" s="20">
        <v>-97.753050999999999</v>
      </c>
      <c r="M156" s="20" t="s">
        <v>189</v>
      </c>
      <c r="N156" s="4" t="s">
        <v>287</v>
      </c>
      <c r="O156" t="s">
        <v>54</v>
      </c>
      <c r="P156" t="s">
        <v>55</v>
      </c>
      <c r="Q156" s="5">
        <v>329</v>
      </c>
      <c r="R156" s="1">
        <v>44682</v>
      </c>
      <c r="S156" s="1">
        <v>44844</v>
      </c>
      <c r="T156">
        <v>80</v>
      </c>
      <c r="U156"/>
      <c r="V156">
        <v>152</v>
      </c>
      <c r="W156">
        <v>23</v>
      </c>
      <c r="X156">
        <v>13</v>
      </c>
      <c r="Y156" s="132"/>
      <c r="Z156" s="14">
        <v>2</v>
      </c>
      <c r="AA156" s="133">
        <v>316.45237594356036</v>
      </c>
      <c r="AB156" s="133">
        <v>86.174823549804742</v>
      </c>
      <c r="AC156" s="133">
        <v>50.534152782631693</v>
      </c>
      <c r="AD156" s="29"/>
      <c r="AE156" s="29"/>
      <c r="AF156" s="29"/>
    </row>
    <row r="157" spans="1:32" s="28" customFormat="1" x14ac:dyDescent="0.25">
      <c r="A157"/>
      <c r="B157" s="13">
        <v>44802</v>
      </c>
      <c r="C157" s="32">
        <v>0</v>
      </c>
      <c r="D157" s="32">
        <v>999.38</v>
      </c>
      <c r="E157" s="32">
        <v>999.38</v>
      </c>
      <c r="F157" s="32">
        <v>1998.76</v>
      </c>
      <c r="G157" s="8" t="s">
        <v>284</v>
      </c>
      <c r="H157" s="8" t="s">
        <v>285</v>
      </c>
      <c r="I157" s="8" t="s">
        <v>286</v>
      </c>
      <c r="J157" s="8" t="s">
        <v>69</v>
      </c>
      <c r="K157" s="8">
        <v>43.903872999999997</v>
      </c>
      <c r="L157" s="8">
        <v>-97.753050999999999</v>
      </c>
      <c r="M157" s="8" t="s">
        <v>189</v>
      </c>
      <c r="N157" s="10" t="s">
        <v>287</v>
      </c>
      <c r="O157" s="11" t="s">
        <v>56</v>
      </c>
      <c r="P157" s="11" t="s">
        <v>57</v>
      </c>
      <c r="Q157" s="12">
        <v>340</v>
      </c>
      <c r="R157" s="13">
        <v>44655</v>
      </c>
      <c r="S157" s="13">
        <v>44837</v>
      </c>
      <c r="T157" s="11">
        <v>80</v>
      </c>
      <c r="U157" s="11"/>
      <c r="V157" s="11">
        <v>258</v>
      </c>
      <c r="W157" s="11">
        <v>74</v>
      </c>
      <c r="X157" s="11">
        <v>43</v>
      </c>
      <c r="Y157" s="36"/>
      <c r="Z157" s="11">
        <v>2</v>
      </c>
      <c r="AA157" s="135">
        <f t="shared" si="14"/>
        <v>316.45237594356036</v>
      </c>
      <c r="AB157" s="135">
        <f t="shared" si="15"/>
        <v>86.174823549804742</v>
      </c>
      <c r="AC157" s="135">
        <f t="shared" si="16"/>
        <v>50.534152782631693</v>
      </c>
      <c r="AD157" s="29"/>
      <c r="AE157" s="29"/>
      <c r="AF157" s="29"/>
    </row>
    <row r="158" spans="1:32" s="28" customFormat="1" x14ac:dyDescent="0.25">
      <c r="A158"/>
      <c r="B158"/>
      <c r="C158" s="31"/>
      <c r="D158" s="31"/>
      <c r="E158" s="31"/>
      <c r="F158" s="31"/>
      <c r="G158" s="20" t="s">
        <v>288</v>
      </c>
      <c r="H158" s="20" t="s">
        <v>289</v>
      </c>
      <c r="I158" s="20" t="s">
        <v>290</v>
      </c>
      <c r="J158" s="20" t="s">
        <v>291</v>
      </c>
      <c r="K158" s="20">
        <v>44.593342</v>
      </c>
      <c r="L158" s="20">
        <v>-97.234306000000004</v>
      </c>
      <c r="M158" s="20" t="s">
        <v>128</v>
      </c>
      <c r="N158" s="4" t="s">
        <v>292</v>
      </c>
      <c r="O158" t="s">
        <v>54</v>
      </c>
      <c r="P158" t="s">
        <v>55</v>
      </c>
      <c r="Q158" s="5">
        <v>329</v>
      </c>
      <c r="R158" s="1">
        <v>45047</v>
      </c>
      <c r="S158" s="1">
        <v>45168</v>
      </c>
      <c r="T158">
        <v>14</v>
      </c>
      <c r="U158"/>
      <c r="V158">
        <v>27</v>
      </c>
      <c r="W158">
        <v>6</v>
      </c>
      <c r="X158">
        <v>4</v>
      </c>
      <c r="Z158">
        <v>2</v>
      </c>
      <c r="AA158" s="123">
        <v>79.726373784230319</v>
      </c>
      <c r="AB158" s="123">
        <v>25.619542136428436</v>
      </c>
      <c r="AC158" s="123">
        <v>18.80340568656063</v>
      </c>
      <c r="AD158" s="29"/>
      <c r="AE158" s="29"/>
      <c r="AF158" s="29"/>
    </row>
    <row r="159" spans="1:32" s="28" customFormat="1" x14ac:dyDescent="0.25">
      <c r="A159"/>
      <c r="B159" s="13">
        <v>45153</v>
      </c>
      <c r="C159" s="32">
        <v>368</v>
      </c>
      <c r="D159" s="32">
        <v>0</v>
      </c>
      <c r="E159" s="32">
        <v>368</v>
      </c>
      <c r="F159" s="32">
        <v>736</v>
      </c>
      <c r="G159" s="8" t="s">
        <v>288</v>
      </c>
      <c r="H159" s="8" t="s">
        <v>289</v>
      </c>
      <c r="I159" s="8" t="s">
        <v>290</v>
      </c>
      <c r="J159" s="8" t="s">
        <v>291</v>
      </c>
      <c r="K159" s="8">
        <v>44.593342</v>
      </c>
      <c r="L159" s="8">
        <v>-97.234306000000004</v>
      </c>
      <c r="M159" s="8" t="s">
        <v>128</v>
      </c>
      <c r="N159" s="10" t="s">
        <v>292</v>
      </c>
      <c r="O159" s="11" t="s">
        <v>56</v>
      </c>
      <c r="P159" s="11" t="s">
        <v>57</v>
      </c>
      <c r="Q159" s="12">
        <v>340</v>
      </c>
      <c r="R159" s="13">
        <v>45047</v>
      </c>
      <c r="S159" s="13">
        <v>45168</v>
      </c>
      <c r="T159" s="11">
        <v>14</v>
      </c>
      <c r="U159" s="11"/>
      <c r="V159" s="11">
        <v>65</v>
      </c>
      <c r="W159" s="11">
        <v>22</v>
      </c>
      <c r="X159" s="11">
        <v>16</v>
      </c>
      <c r="Z159">
        <v>2</v>
      </c>
      <c r="AA159" s="124">
        <f t="shared" si="14"/>
        <v>79.726373784230319</v>
      </c>
      <c r="AB159" s="124">
        <f t="shared" si="15"/>
        <v>25.619542136428436</v>
      </c>
      <c r="AC159" s="124">
        <f t="shared" si="16"/>
        <v>18.80340568656063</v>
      </c>
      <c r="AD159" s="29"/>
      <c r="AE159" s="29"/>
      <c r="AF159" s="29"/>
    </row>
    <row r="160" spans="1:32" s="28" customFormat="1" x14ac:dyDescent="0.25">
      <c r="A160"/>
      <c r="B160"/>
      <c r="C160" s="31"/>
      <c r="D160" s="31"/>
      <c r="E160" s="31"/>
      <c r="F160" s="31"/>
      <c r="G160" s="20" t="s">
        <v>293</v>
      </c>
      <c r="H160" s="20" t="s">
        <v>294</v>
      </c>
      <c r="I160" s="20" t="s">
        <v>295</v>
      </c>
      <c r="J160" s="20" t="s">
        <v>222</v>
      </c>
      <c r="K160" s="20">
        <v>44.897343999999997</v>
      </c>
      <c r="L160" s="20">
        <v>-97.198954999999998</v>
      </c>
      <c r="M160" s="20" t="s">
        <v>223</v>
      </c>
      <c r="N160" s="4">
        <v>2021009</v>
      </c>
      <c r="O160" t="s">
        <v>54</v>
      </c>
      <c r="P160" t="s">
        <v>55</v>
      </c>
      <c r="Q160" s="5">
        <v>329</v>
      </c>
      <c r="R160" s="1">
        <v>44317</v>
      </c>
      <c r="S160" s="1">
        <v>44331</v>
      </c>
      <c r="T160">
        <v>24</v>
      </c>
      <c r="U160"/>
      <c r="V160">
        <v>105</v>
      </c>
      <c r="W160">
        <v>33</v>
      </c>
      <c r="X160">
        <v>24</v>
      </c>
      <c r="Y160" s="132"/>
      <c r="Z160" s="14">
        <v>2</v>
      </c>
      <c r="AA160" s="133">
        <v>158.22618797178018</v>
      </c>
      <c r="AB160" s="133">
        <v>51.239084272856871</v>
      </c>
      <c r="AC160" s="133">
        <v>37.606811373121261</v>
      </c>
      <c r="AD160" s="29"/>
      <c r="AE160" s="29"/>
      <c r="AF160" s="29"/>
    </row>
    <row r="161" spans="1:32" s="28" customFormat="1" x14ac:dyDescent="0.25">
      <c r="A161"/>
      <c r="B161" s="13">
        <v>44377</v>
      </c>
      <c r="C161" s="32">
        <v>0</v>
      </c>
      <c r="D161" s="32">
        <v>510.75</v>
      </c>
      <c r="E161" s="32">
        <v>512.58000000000004</v>
      </c>
      <c r="F161" s="32">
        <v>1023.33</v>
      </c>
      <c r="G161" s="8" t="s">
        <v>293</v>
      </c>
      <c r="H161" s="8" t="s">
        <v>294</v>
      </c>
      <c r="I161" s="8" t="s">
        <v>295</v>
      </c>
      <c r="J161" s="8" t="s">
        <v>222</v>
      </c>
      <c r="K161" s="8">
        <v>44.897343999999997</v>
      </c>
      <c r="L161" s="8">
        <v>-97.198954999999998</v>
      </c>
      <c r="M161" s="8" t="s">
        <v>223</v>
      </c>
      <c r="N161" s="10">
        <v>2021009</v>
      </c>
      <c r="O161" s="11" t="s">
        <v>56</v>
      </c>
      <c r="P161" s="11" t="s">
        <v>57</v>
      </c>
      <c r="Q161" s="12">
        <v>340</v>
      </c>
      <c r="R161" s="13">
        <v>44287</v>
      </c>
      <c r="S161" s="13">
        <v>44361</v>
      </c>
      <c r="T161" s="11">
        <v>24</v>
      </c>
      <c r="U161" s="11"/>
      <c r="V161" s="11">
        <v>129</v>
      </c>
      <c r="W161" s="11">
        <v>44</v>
      </c>
      <c r="X161" s="11">
        <v>32</v>
      </c>
      <c r="Y161" s="36"/>
      <c r="Z161" s="11">
        <v>2</v>
      </c>
      <c r="AA161" s="135">
        <f t="shared" si="14"/>
        <v>158.22618797178018</v>
      </c>
      <c r="AB161" s="135">
        <f t="shared" si="15"/>
        <v>51.239084272856871</v>
      </c>
      <c r="AC161" s="135">
        <f t="shared" si="16"/>
        <v>37.606811373121261</v>
      </c>
      <c r="AD161" s="29"/>
      <c r="AE161" s="29"/>
      <c r="AF161" s="29"/>
    </row>
    <row r="162" spans="1:32" s="28" customFormat="1" x14ac:dyDescent="0.25">
      <c r="A162"/>
      <c r="B162"/>
      <c r="C162" s="31"/>
      <c r="D162" s="31"/>
      <c r="E162" s="31"/>
      <c r="F162" s="31"/>
      <c r="G162" s="20" t="s">
        <v>296</v>
      </c>
      <c r="H162" s="20" t="s">
        <v>297</v>
      </c>
      <c r="I162" s="20" t="s">
        <v>298</v>
      </c>
      <c r="J162" s="20" t="s">
        <v>99</v>
      </c>
      <c r="K162" s="20">
        <v>43.287734999999998</v>
      </c>
      <c r="L162" s="20">
        <v>-97.55744</v>
      </c>
      <c r="M162" s="20" t="s">
        <v>64</v>
      </c>
      <c r="N162" s="4">
        <v>2006</v>
      </c>
      <c r="O162" t="s">
        <v>54</v>
      </c>
      <c r="P162" t="s">
        <v>55</v>
      </c>
      <c r="Q162" s="5">
        <v>329</v>
      </c>
      <c r="R162" s="1">
        <v>44761</v>
      </c>
      <c r="S162" s="1">
        <v>44761</v>
      </c>
      <c r="T162">
        <v>32</v>
      </c>
      <c r="U162"/>
      <c r="V162">
        <v>117</v>
      </c>
      <c r="W162">
        <v>28</v>
      </c>
      <c r="X162">
        <v>20</v>
      </c>
      <c r="Z162">
        <v>2</v>
      </c>
      <c r="AA162" s="123">
        <v>371.64755779418135</v>
      </c>
      <c r="AB162" s="123">
        <v>122.27508746931754</v>
      </c>
      <c r="AC162" s="123">
        <v>90.49138986657303</v>
      </c>
      <c r="AD162" s="29"/>
      <c r="AE162" s="29"/>
      <c r="AF162" s="29"/>
    </row>
    <row r="163" spans="1:32" s="28" customFormat="1" x14ac:dyDescent="0.25">
      <c r="A163"/>
      <c r="B163" s="13">
        <v>44779</v>
      </c>
      <c r="C163" s="32">
        <v>800</v>
      </c>
      <c r="D163" s="32">
        <v>0</v>
      </c>
      <c r="E163" s="32">
        <v>1111.3599999999999</v>
      </c>
      <c r="F163" s="32">
        <v>1911.36</v>
      </c>
      <c r="G163" s="8" t="s">
        <v>296</v>
      </c>
      <c r="H163" s="8" t="s">
        <v>297</v>
      </c>
      <c r="I163" s="8" t="s">
        <v>298</v>
      </c>
      <c r="J163" s="8" t="s">
        <v>99</v>
      </c>
      <c r="K163" s="8">
        <v>43.287734999999998</v>
      </c>
      <c r="L163" s="8">
        <v>-97.55744</v>
      </c>
      <c r="M163" s="8" t="s">
        <v>64</v>
      </c>
      <c r="N163" s="10">
        <v>2006</v>
      </c>
      <c r="O163" s="11" t="s">
        <v>56</v>
      </c>
      <c r="P163" s="11" t="s">
        <v>57</v>
      </c>
      <c r="Q163" s="12">
        <v>340</v>
      </c>
      <c r="R163" s="13">
        <v>44761</v>
      </c>
      <c r="S163" s="13">
        <v>44761</v>
      </c>
      <c r="T163" s="11">
        <v>32</v>
      </c>
      <c r="U163" s="11"/>
      <c r="V163" s="11">
        <v>303</v>
      </c>
      <c r="W163" s="11">
        <v>105</v>
      </c>
      <c r="X163" s="11">
        <v>77</v>
      </c>
      <c r="Z163">
        <v>2</v>
      </c>
      <c r="AA163" s="124">
        <f t="shared" si="14"/>
        <v>371.64755779418135</v>
      </c>
      <c r="AB163" s="124">
        <f t="shared" si="15"/>
        <v>122.27508746931754</v>
      </c>
      <c r="AC163" s="124">
        <f t="shared" si="16"/>
        <v>90.49138986657303</v>
      </c>
      <c r="AD163" s="29"/>
      <c r="AE163" s="29"/>
      <c r="AF163" s="29"/>
    </row>
    <row r="164" spans="1:32" s="28" customFormat="1" x14ac:dyDescent="0.25">
      <c r="A164"/>
      <c r="B164"/>
      <c r="C164" s="31"/>
      <c r="D164" s="31"/>
      <c r="E164" s="31"/>
      <c r="F164" s="31"/>
      <c r="G164" s="20" t="s">
        <v>299</v>
      </c>
      <c r="H164" s="20" t="s">
        <v>300</v>
      </c>
      <c r="I164" s="20" t="s">
        <v>301</v>
      </c>
      <c r="J164" s="20" t="s">
        <v>302</v>
      </c>
      <c r="K164" s="20">
        <v>45.381179000000003</v>
      </c>
      <c r="L164" s="20">
        <v>-96.785336999999998</v>
      </c>
      <c r="M164" s="20" t="s">
        <v>275</v>
      </c>
      <c r="N164" s="4">
        <v>202205</v>
      </c>
      <c r="O164" t="s">
        <v>54</v>
      </c>
      <c r="P164" t="s">
        <v>55</v>
      </c>
      <c r="Q164" s="5">
        <v>329</v>
      </c>
      <c r="R164" s="1">
        <v>44682</v>
      </c>
      <c r="S164" s="1">
        <v>44713</v>
      </c>
      <c r="T164">
        <v>45</v>
      </c>
      <c r="U164"/>
      <c r="V164">
        <v>91</v>
      </c>
      <c r="W164">
        <v>21</v>
      </c>
      <c r="X164">
        <v>14</v>
      </c>
      <c r="Y164" s="132"/>
      <c r="Z164" s="14">
        <v>2</v>
      </c>
      <c r="AA164" s="133">
        <v>255.12439610953703</v>
      </c>
      <c r="AB164" s="133">
        <v>81.516724979545032</v>
      </c>
      <c r="AC164" s="133">
        <v>58.760642770501967</v>
      </c>
      <c r="AD164" s="29"/>
      <c r="AE164" s="29"/>
      <c r="AF164" s="29"/>
    </row>
    <row r="165" spans="1:32" s="28" customFormat="1" x14ac:dyDescent="0.25">
      <c r="A165"/>
      <c r="B165" s="1">
        <v>44770</v>
      </c>
      <c r="C165" s="31">
        <v>0</v>
      </c>
      <c r="D165" s="31">
        <v>1125</v>
      </c>
      <c r="E165" s="31">
        <v>1406.25</v>
      </c>
      <c r="F165" s="31">
        <v>2531.25</v>
      </c>
      <c r="G165" s="6" t="s">
        <v>299</v>
      </c>
      <c r="H165" s="6" t="s">
        <v>300</v>
      </c>
      <c r="I165" s="6" t="s">
        <v>301</v>
      </c>
      <c r="J165" s="6" t="s">
        <v>302</v>
      </c>
      <c r="K165" s="6">
        <v>45.381179000000003</v>
      </c>
      <c r="L165" s="6">
        <v>-96.785336999999998</v>
      </c>
      <c r="M165" s="6" t="s">
        <v>275</v>
      </c>
      <c r="N165" s="4">
        <v>202205</v>
      </c>
      <c r="O165" t="s">
        <v>56</v>
      </c>
      <c r="P165" t="s">
        <v>57</v>
      </c>
      <c r="Q165" s="5">
        <v>340</v>
      </c>
      <c r="R165" s="1">
        <v>44743</v>
      </c>
      <c r="S165" s="1">
        <v>45047</v>
      </c>
      <c r="T165">
        <v>45</v>
      </c>
      <c r="U165"/>
      <c r="V165">
        <v>208</v>
      </c>
      <c r="W165">
        <v>70</v>
      </c>
      <c r="X165">
        <v>50</v>
      </c>
      <c r="Z165">
        <v>2</v>
      </c>
      <c r="AA165" s="124">
        <f t="shared" si="14"/>
        <v>255.12439610953703</v>
      </c>
      <c r="AB165" s="124">
        <f t="shared" si="15"/>
        <v>81.516724979545032</v>
      </c>
      <c r="AC165" s="124">
        <f t="shared" si="16"/>
        <v>58.760642770501967</v>
      </c>
      <c r="AD165" s="29"/>
      <c r="AE165" s="29"/>
      <c r="AF165" s="29"/>
    </row>
    <row r="166" spans="1:32" s="28" customFormat="1" x14ac:dyDescent="0.25">
      <c r="A166"/>
      <c r="B166" s="1">
        <v>45264</v>
      </c>
      <c r="C166" s="31">
        <v>5642.3</v>
      </c>
      <c r="D166" s="31"/>
      <c r="E166" s="31">
        <v>5642.3</v>
      </c>
      <c r="F166" s="31">
        <v>11284.6</v>
      </c>
      <c r="G166" s="6" t="s">
        <v>299</v>
      </c>
      <c r="H166" s="6" t="s">
        <v>300</v>
      </c>
      <c r="I166" s="6" t="s">
        <v>303</v>
      </c>
      <c r="J166" s="6" t="s">
        <v>302</v>
      </c>
      <c r="K166" s="6">
        <v>45.379987999999997</v>
      </c>
      <c r="L166" s="6">
        <v>-96.794134999999997</v>
      </c>
      <c r="M166" s="6" t="s">
        <v>275</v>
      </c>
      <c r="N166" s="4" t="s">
        <v>240</v>
      </c>
      <c r="O166" t="s">
        <v>75</v>
      </c>
      <c r="P166" t="s">
        <v>304</v>
      </c>
      <c r="Q166" s="5">
        <v>516</v>
      </c>
      <c r="R166" s="1">
        <v>45214</v>
      </c>
      <c r="S166" s="1">
        <v>45255</v>
      </c>
      <c r="T166">
        <v>250</v>
      </c>
      <c r="U166"/>
      <c r="V166">
        <v>407</v>
      </c>
      <c r="W166">
        <v>77</v>
      </c>
      <c r="X166">
        <v>41</v>
      </c>
      <c r="Z166">
        <v>3</v>
      </c>
      <c r="AA166" s="123">
        <f>V167*$AD$1</f>
        <v>750.16384932977337</v>
      </c>
      <c r="AB166" s="123">
        <f t="shared" ref="AB166:AC166" si="17">W167*$AD$1</f>
        <v>221.14869528148813</v>
      </c>
      <c r="AC166" s="123">
        <f t="shared" si="17"/>
        <v>142.64888109393826</v>
      </c>
      <c r="AD166" s="29"/>
      <c r="AE166" s="29"/>
      <c r="AF166" s="29"/>
    </row>
    <row r="167" spans="1:32" s="28" customFormat="1" x14ac:dyDescent="0.25">
      <c r="A167"/>
      <c r="B167" s="1">
        <v>45255</v>
      </c>
      <c r="C167" s="31">
        <v>5088.5200000000004</v>
      </c>
      <c r="D167" s="31"/>
      <c r="E167" s="31">
        <v>5088.53</v>
      </c>
      <c r="F167" s="31">
        <v>10177.049999999999</v>
      </c>
      <c r="G167" s="6" t="s">
        <v>299</v>
      </c>
      <c r="H167" s="6" t="s">
        <v>300</v>
      </c>
      <c r="I167" s="6" t="s">
        <v>303</v>
      </c>
      <c r="J167" s="6" t="s">
        <v>302</v>
      </c>
      <c r="K167" s="6">
        <v>45.379987999999997</v>
      </c>
      <c r="L167" s="6">
        <v>-96.794134999999997</v>
      </c>
      <c r="M167" s="6" t="s">
        <v>275</v>
      </c>
      <c r="N167" s="4" t="s">
        <v>240</v>
      </c>
      <c r="O167" t="s">
        <v>75</v>
      </c>
      <c r="P167" t="s">
        <v>305</v>
      </c>
      <c r="Q167" s="5">
        <v>382</v>
      </c>
      <c r="R167" s="1">
        <v>45214</v>
      </c>
      <c r="S167" s="1">
        <v>45255</v>
      </c>
      <c r="T167">
        <v>250</v>
      </c>
      <c r="U167"/>
      <c r="V167" s="41">
        <v>611.6</v>
      </c>
      <c r="W167" s="41">
        <v>180.3</v>
      </c>
      <c r="X167" s="41">
        <v>116.3</v>
      </c>
      <c r="Z167">
        <v>3</v>
      </c>
      <c r="AA167" s="124">
        <v>750.16384932977337</v>
      </c>
      <c r="AB167" s="124">
        <v>221.14869528148813</v>
      </c>
      <c r="AC167" s="124">
        <v>142.64888109393826</v>
      </c>
      <c r="AD167" s="29"/>
      <c r="AE167" s="29"/>
      <c r="AF167" s="29"/>
    </row>
    <row r="168" spans="1:32" s="28" customFormat="1" x14ac:dyDescent="0.25">
      <c r="A168"/>
      <c r="C168" s="31"/>
      <c r="D168" s="31"/>
      <c r="E168" s="31"/>
      <c r="F168" s="31"/>
      <c r="G168" s="6" t="s">
        <v>299</v>
      </c>
      <c r="H168" s="6" t="s">
        <v>300</v>
      </c>
      <c r="I168" s="6" t="s">
        <v>303</v>
      </c>
      <c r="J168" s="6" t="s">
        <v>302</v>
      </c>
      <c r="K168" s="6">
        <v>45.379987999999997</v>
      </c>
      <c r="L168" s="6">
        <v>-96.794134999999997</v>
      </c>
      <c r="M168" s="6" t="s">
        <v>275</v>
      </c>
      <c r="N168" s="4" t="s">
        <v>240</v>
      </c>
      <c r="O168" t="s">
        <v>75</v>
      </c>
      <c r="P168" t="s">
        <v>306</v>
      </c>
      <c r="Q168" s="5"/>
      <c r="R168" s="1">
        <v>45214</v>
      </c>
      <c r="S168" s="1">
        <v>45255</v>
      </c>
      <c r="T168"/>
      <c r="U168"/>
      <c r="V168"/>
      <c r="W168"/>
      <c r="X168"/>
      <c r="Z168">
        <v>3</v>
      </c>
      <c r="AA168" s="124">
        <v>750.16384932977337</v>
      </c>
      <c r="AB168" s="124">
        <v>221.14869528148813</v>
      </c>
      <c r="AC168" s="124">
        <v>142.64888109393826</v>
      </c>
      <c r="AD168" s="29"/>
      <c r="AE168" s="29"/>
      <c r="AF168" s="29"/>
    </row>
    <row r="169" spans="1:32" s="28" customFormat="1" x14ac:dyDescent="0.25">
      <c r="A169"/>
      <c r="B169" s="72">
        <v>45244</v>
      </c>
      <c r="C169" s="32">
        <v>833.6</v>
      </c>
      <c r="D169" s="32"/>
      <c r="E169" s="32">
        <v>0</v>
      </c>
      <c r="F169" s="32">
        <v>833.6</v>
      </c>
      <c r="G169" s="8" t="s">
        <v>299</v>
      </c>
      <c r="H169" s="8" t="s">
        <v>300</v>
      </c>
      <c r="I169" s="8" t="s">
        <v>303</v>
      </c>
      <c r="J169" s="8" t="s">
        <v>302</v>
      </c>
      <c r="K169" s="8">
        <v>45.379987999999997</v>
      </c>
      <c r="L169" s="8">
        <v>-96.794134999999997</v>
      </c>
      <c r="M169" s="8" t="s">
        <v>275</v>
      </c>
      <c r="N169" s="10" t="s">
        <v>240</v>
      </c>
      <c r="O169" s="11" t="s">
        <v>75</v>
      </c>
      <c r="P169" s="11" t="s">
        <v>307</v>
      </c>
      <c r="Q169" s="12">
        <v>614</v>
      </c>
      <c r="R169" s="13">
        <v>45214</v>
      </c>
      <c r="S169" s="13">
        <v>45255</v>
      </c>
      <c r="T169" s="11"/>
      <c r="U169" s="11"/>
      <c r="V169" s="11"/>
      <c r="W169" s="11"/>
      <c r="X169" s="11"/>
      <c r="Y169" s="36"/>
      <c r="Z169" s="11">
        <v>3</v>
      </c>
      <c r="AA169" s="135">
        <v>750.16384932977337</v>
      </c>
      <c r="AB169" s="135">
        <v>221.14869528148813</v>
      </c>
      <c r="AC169" s="135">
        <v>142.64888109393826</v>
      </c>
      <c r="AD169" s="29"/>
      <c r="AE169" s="29"/>
      <c r="AF169" s="29"/>
    </row>
    <row r="170" spans="1:32" s="28" customFormat="1" x14ac:dyDescent="0.25">
      <c r="A170"/>
      <c r="B170" s="13">
        <v>44697</v>
      </c>
      <c r="C170" s="32">
        <v>7758.36</v>
      </c>
      <c r="D170" s="32">
        <v>1692.27</v>
      </c>
      <c r="E170" s="32">
        <v>9450.6299999999992</v>
      </c>
      <c r="F170" s="32">
        <v>18901.259999999998</v>
      </c>
      <c r="G170" s="30" t="s">
        <v>308</v>
      </c>
      <c r="H170" s="30" t="s">
        <v>261</v>
      </c>
      <c r="I170" s="30" t="s">
        <v>309</v>
      </c>
      <c r="J170" s="30" t="s">
        <v>310</v>
      </c>
      <c r="K170" s="30">
        <v>44.665036999999998</v>
      </c>
      <c r="L170" s="30">
        <v>-103.573125</v>
      </c>
      <c r="M170" s="30" t="s">
        <v>311</v>
      </c>
      <c r="N170" s="25" t="s">
        <v>312</v>
      </c>
      <c r="O170" s="24" t="s">
        <v>75</v>
      </c>
      <c r="P170" s="24" t="s">
        <v>304</v>
      </c>
      <c r="Q170" s="26">
        <v>516</v>
      </c>
      <c r="R170" s="27">
        <v>44287</v>
      </c>
      <c r="S170" s="27">
        <v>45139</v>
      </c>
      <c r="T170" s="24">
        <v>310</v>
      </c>
      <c r="U170" s="24"/>
      <c r="V170" s="24">
        <v>306</v>
      </c>
      <c r="W170" s="24">
        <v>68</v>
      </c>
      <c r="X170" s="24">
        <v>42</v>
      </c>
      <c r="Z170">
        <v>2</v>
      </c>
      <c r="AA170" s="123">
        <f t="shared" si="14"/>
        <v>375.32723658422276</v>
      </c>
      <c r="AB170" s="123">
        <f t="shared" si="15"/>
        <v>79.187675694415162</v>
      </c>
      <c r="AC170" s="123">
        <f t="shared" si="16"/>
        <v>49.358939927221655</v>
      </c>
      <c r="AD170" s="29"/>
      <c r="AE170" s="29"/>
      <c r="AF170" s="29"/>
    </row>
    <row r="171" spans="1:32" s="28" customFormat="1" x14ac:dyDescent="0.25">
      <c r="A171"/>
      <c r="B171"/>
      <c r="C171" s="31"/>
      <c r="D171" s="31"/>
      <c r="E171" s="31"/>
      <c r="F171" s="31"/>
      <c r="G171" s="20" t="s">
        <v>313</v>
      </c>
      <c r="H171" s="20" t="s">
        <v>314</v>
      </c>
      <c r="I171" s="20" t="s">
        <v>315</v>
      </c>
      <c r="J171" s="20" t="s">
        <v>316</v>
      </c>
      <c r="K171" s="20">
        <v>44.672642000000003</v>
      </c>
      <c r="L171" s="20">
        <v>-103.310658</v>
      </c>
      <c r="M171" s="20" t="s">
        <v>317</v>
      </c>
      <c r="N171" s="4" t="s">
        <v>318</v>
      </c>
      <c r="O171" t="s">
        <v>54</v>
      </c>
      <c r="P171" t="s">
        <v>55</v>
      </c>
      <c r="Q171" s="5">
        <v>329</v>
      </c>
      <c r="R171" s="1">
        <v>45047</v>
      </c>
      <c r="S171" s="1">
        <v>45077</v>
      </c>
      <c r="T171">
        <v>30</v>
      </c>
      <c r="U171"/>
      <c r="V171">
        <v>57</v>
      </c>
      <c r="W171">
        <v>13</v>
      </c>
      <c r="X171">
        <v>10</v>
      </c>
      <c r="Y171" s="132"/>
      <c r="Z171" s="14">
        <v>2</v>
      </c>
      <c r="AA171" s="133">
        <v>164.3589859551825</v>
      </c>
      <c r="AB171" s="133">
        <v>52.403608915421799</v>
      </c>
      <c r="AC171" s="133">
        <v>38.782024228531299</v>
      </c>
      <c r="AD171" s="29"/>
      <c r="AE171" s="29"/>
      <c r="AF171" s="29"/>
    </row>
    <row r="172" spans="1:32" s="28" customFormat="1" x14ac:dyDescent="0.25">
      <c r="A172"/>
      <c r="B172" s="13">
        <v>45077</v>
      </c>
      <c r="C172" s="32">
        <v>0</v>
      </c>
      <c r="D172" s="32">
        <v>2740.5</v>
      </c>
      <c r="E172" s="32">
        <v>1827</v>
      </c>
      <c r="F172" s="32">
        <v>4567.5</v>
      </c>
      <c r="G172" s="8" t="s">
        <v>313</v>
      </c>
      <c r="H172" s="8" t="s">
        <v>314</v>
      </c>
      <c r="I172" s="8" t="s">
        <v>315</v>
      </c>
      <c r="J172" s="8" t="s">
        <v>316</v>
      </c>
      <c r="K172" s="8">
        <v>44.672642000000003</v>
      </c>
      <c r="L172" s="8">
        <v>-103.310658</v>
      </c>
      <c r="M172" s="8" t="s">
        <v>317</v>
      </c>
      <c r="N172" s="10" t="s">
        <v>318</v>
      </c>
      <c r="O172" s="11" t="s">
        <v>132</v>
      </c>
      <c r="P172" s="11" t="s">
        <v>133</v>
      </c>
      <c r="Q172" s="12"/>
      <c r="R172" s="13">
        <v>45078</v>
      </c>
      <c r="S172" s="13">
        <v>45107</v>
      </c>
      <c r="T172" s="11">
        <v>30</v>
      </c>
      <c r="U172" s="11"/>
      <c r="V172" s="11">
        <v>134</v>
      </c>
      <c r="W172" s="11">
        <v>45</v>
      </c>
      <c r="X172" s="11">
        <v>33</v>
      </c>
      <c r="Y172" s="36"/>
      <c r="Z172" s="11">
        <v>2</v>
      </c>
      <c r="AA172" s="135">
        <f t="shared" si="14"/>
        <v>164.3589859551825</v>
      </c>
      <c r="AB172" s="135">
        <f t="shared" si="15"/>
        <v>52.403608915421799</v>
      </c>
      <c r="AC172" s="135">
        <f t="shared" si="16"/>
        <v>38.782024228531299</v>
      </c>
      <c r="AD172" s="29"/>
      <c r="AE172" s="29"/>
      <c r="AF172" s="29"/>
    </row>
    <row r="173" spans="1:32" s="28" customFormat="1" x14ac:dyDescent="0.25">
      <c r="A173"/>
      <c r="B173"/>
      <c r="C173" s="31"/>
      <c r="D173" s="31"/>
      <c r="E173" s="31"/>
      <c r="F173" s="31"/>
      <c r="G173" s="20" t="s">
        <v>319</v>
      </c>
      <c r="H173" s="20" t="s">
        <v>320</v>
      </c>
      <c r="I173" s="20" t="s">
        <v>321</v>
      </c>
      <c r="J173" s="20" t="s">
        <v>99</v>
      </c>
      <c r="K173" s="20">
        <v>43.312444999999997</v>
      </c>
      <c r="L173" s="20">
        <v>-97.384052999999994</v>
      </c>
      <c r="M173" s="20" t="s">
        <v>100</v>
      </c>
      <c r="N173" s="4">
        <v>2010</v>
      </c>
      <c r="O173" t="s">
        <v>54</v>
      </c>
      <c r="P173" t="s">
        <v>55</v>
      </c>
      <c r="Q173" s="5">
        <v>329</v>
      </c>
      <c r="R173" s="1">
        <v>44808</v>
      </c>
      <c r="S173" s="1">
        <v>44814</v>
      </c>
      <c r="T173">
        <v>60</v>
      </c>
      <c r="U173"/>
      <c r="V173">
        <v>220</v>
      </c>
      <c r="W173">
        <v>53</v>
      </c>
      <c r="X173">
        <v>37</v>
      </c>
      <c r="Z173">
        <v>2</v>
      </c>
      <c r="AA173" s="123">
        <v>700.36552970454636</v>
      </c>
      <c r="AB173" s="123">
        <v>230.57587922785592</v>
      </c>
      <c r="AC173" s="123">
        <v>170.4058640344557</v>
      </c>
      <c r="AD173" s="29"/>
      <c r="AE173" s="29"/>
      <c r="AF173" s="29"/>
    </row>
    <row r="174" spans="1:32" s="28" customFormat="1" x14ac:dyDescent="0.25">
      <c r="A174"/>
      <c r="B174" s="13">
        <v>44819</v>
      </c>
      <c r="C174" s="32">
        <v>845.62</v>
      </c>
      <c r="D174" s="32">
        <v>0</v>
      </c>
      <c r="E174" s="32">
        <v>845.63</v>
      </c>
      <c r="F174" s="32">
        <v>1961.25</v>
      </c>
      <c r="G174" s="8" t="s">
        <v>319</v>
      </c>
      <c r="H174" s="8" t="s">
        <v>320</v>
      </c>
      <c r="I174" s="8" t="s">
        <v>321</v>
      </c>
      <c r="J174" s="8" t="s">
        <v>99</v>
      </c>
      <c r="K174" s="8">
        <v>43.312444999999997</v>
      </c>
      <c r="L174" s="8">
        <v>-97.384052999999994</v>
      </c>
      <c r="M174" s="8" t="s">
        <v>100</v>
      </c>
      <c r="N174" s="10">
        <v>2010</v>
      </c>
      <c r="O174" s="11" t="s">
        <v>56</v>
      </c>
      <c r="P174" s="11" t="s">
        <v>57</v>
      </c>
      <c r="Q174" s="12">
        <v>340</v>
      </c>
      <c r="R174" s="13">
        <v>44808</v>
      </c>
      <c r="S174" s="13">
        <v>44814</v>
      </c>
      <c r="T174" s="11">
        <v>60</v>
      </c>
      <c r="U174" s="11"/>
      <c r="V174" s="11">
        <v>571</v>
      </c>
      <c r="W174" s="11">
        <v>198</v>
      </c>
      <c r="X174" s="11">
        <v>145</v>
      </c>
      <c r="Z174">
        <v>2</v>
      </c>
      <c r="AA174" s="124">
        <f t="shared" si="14"/>
        <v>700.36552970454636</v>
      </c>
      <c r="AB174" s="124">
        <f t="shared" si="15"/>
        <v>230.57587922785592</v>
      </c>
      <c r="AC174" s="124">
        <f t="shared" si="16"/>
        <v>170.4058640344557</v>
      </c>
      <c r="AD174" s="29"/>
      <c r="AE174" s="29"/>
      <c r="AF174" s="29"/>
    </row>
    <row r="175" spans="1:32" s="28" customFormat="1" x14ac:dyDescent="0.25">
      <c r="A175"/>
      <c r="B175"/>
      <c r="C175" s="31"/>
      <c r="D175" s="31"/>
      <c r="E175" s="31"/>
      <c r="F175" s="31"/>
      <c r="G175" s="20" t="s">
        <v>322</v>
      </c>
      <c r="H175" s="20" t="s">
        <v>323</v>
      </c>
      <c r="I175" s="20" t="s">
        <v>324</v>
      </c>
      <c r="J175" s="20" t="s">
        <v>325</v>
      </c>
      <c r="K175" s="20">
        <v>45.397055000000002</v>
      </c>
      <c r="L175" s="20">
        <v>-97.127134999999996</v>
      </c>
      <c r="M175" s="20" t="s">
        <v>223</v>
      </c>
      <c r="N175" s="4">
        <v>202207</v>
      </c>
      <c r="O175" t="s">
        <v>54</v>
      </c>
      <c r="P175" t="s">
        <v>55</v>
      </c>
      <c r="Q175" s="5">
        <v>329</v>
      </c>
      <c r="R175" s="1">
        <v>45078</v>
      </c>
      <c r="S175" s="1">
        <v>45108</v>
      </c>
      <c r="T175">
        <v>18</v>
      </c>
      <c r="U175"/>
      <c r="V175">
        <v>39</v>
      </c>
      <c r="W175">
        <v>9</v>
      </c>
      <c r="X175">
        <v>6</v>
      </c>
      <c r="Y175" s="132"/>
      <c r="Z175" s="14">
        <v>2</v>
      </c>
      <c r="AA175" s="133">
        <v>122.65595966804665</v>
      </c>
      <c r="AB175" s="133">
        <v>39.593837847207581</v>
      </c>
      <c r="AC175" s="133">
        <v>29.380321385250983</v>
      </c>
      <c r="AD175" s="29"/>
      <c r="AE175" s="29"/>
      <c r="AF175" s="29"/>
    </row>
    <row r="176" spans="1:32" s="28" customFormat="1" x14ac:dyDescent="0.25">
      <c r="A176"/>
      <c r="B176" s="13">
        <v>44770</v>
      </c>
      <c r="C176" s="32">
        <v>0</v>
      </c>
      <c r="D176" s="32">
        <v>405</v>
      </c>
      <c r="E176" s="32">
        <v>405</v>
      </c>
      <c r="F176" s="32">
        <v>810</v>
      </c>
      <c r="G176" s="8" t="s">
        <v>322</v>
      </c>
      <c r="H176" s="8" t="s">
        <v>323</v>
      </c>
      <c r="I176" s="8" t="s">
        <v>324</v>
      </c>
      <c r="J176" s="8" t="s">
        <v>325</v>
      </c>
      <c r="K176" s="8">
        <v>45.397055000000002</v>
      </c>
      <c r="L176" s="8">
        <v>-97.127134999999996</v>
      </c>
      <c r="M176" s="8" t="s">
        <v>223</v>
      </c>
      <c r="N176" s="10">
        <v>202207</v>
      </c>
      <c r="O176" s="11" t="s">
        <v>56</v>
      </c>
      <c r="P176" s="11" t="s">
        <v>57</v>
      </c>
      <c r="Q176" s="12">
        <v>340</v>
      </c>
      <c r="R176" s="13">
        <v>44682</v>
      </c>
      <c r="S176" s="13">
        <v>45078</v>
      </c>
      <c r="T176" s="11">
        <v>18</v>
      </c>
      <c r="U176" s="11"/>
      <c r="V176" s="11">
        <v>100</v>
      </c>
      <c r="W176" s="11">
        <v>34</v>
      </c>
      <c r="X176" s="11">
        <v>25</v>
      </c>
      <c r="Y176" s="36"/>
      <c r="Z176" s="11">
        <v>2</v>
      </c>
      <c r="AA176" s="135">
        <f t="shared" si="14"/>
        <v>122.65595966804665</v>
      </c>
      <c r="AB176" s="135">
        <f t="shared" si="15"/>
        <v>39.593837847207581</v>
      </c>
      <c r="AC176" s="135">
        <f t="shared" si="16"/>
        <v>29.380321385250983</v>
      </c>
      <c r="AD176" s="29"/>
      <c r="AE176" s="29"/>
      <c r="AF176" s="29"/>
    </row>
    <row r="177" spans="1:32" s="28" customFormat="1" x14ac:dyDescent="0.25">
      <c r="A177"/>
      <c r="B177"/>
      <c r="C177" s="31"/>
      <c r="D177" s="31"/>
      <c r="E177" s="31"/>
      <c r="F177" s="31"/>
      <c r="G177" s="20" t="s">
        <v>326</v>
      </c>
      <c r="H177" s="20" t="s">
        <v>327</v>
      </c>
      <c r="I177" s="20" t="s">
        <v>328</v>
      </c>
      <c r="J177" s="20" t="s">
        <v>178</v>
      </c>
      <c r="K177" s="20">
        <v>42.942016000000002</v>
      </c>
      <c r="L177" s="20">
        <v>-98.084417000000002</v>
      </c>
      <c r="M177" s="20" t="s">
        <v>113</v>
      </c>
      <c r="N177" s="4">
        <v>20211917</v>
      </c>
      <c r="O177" t="s">
        <v>54</v>
      </c>
      <c r="P177" t="s">
        <v>55</v>
      </c>
      <c r="Q177" s="5">
        <v>329</v>
      </c>
      <c r="R177" s="1">
        <v>44317</v>
      </c>
      <c r="S177" s="1">
        <v>44484</v>
      </c>
      <c r="T177">
        <v>222</v>
      </c>
      <c r="U177"/>
      <c r="V177">
        <v>501</v>
      </c>
      <c r="W177">
        <v>213</v>
      </c>
      <c r="X177">
        <v>142</v>
      </c>
      <c r="Z177">
        <v>2</v>
      </c>
      <c r="AA177" s="123">
        <v>1478.0043139999623</v>
      </c>
      <c r="AB177" s="123">
        <v>471.63248023879623</v>
      </c>
      <c r="AC177" s="123">
        <v>341.98694092432146</v>
      </c>
      <c r="AD177" s="29"/>
      <c r="AE177" s="29"/>
      <c r="AF177" s="29"/>
    </row>
    <row r="178" spans="1:32" s="28" customFormat="1" x14ac:dyDescent="0.25">
      <c r="A178"/>
      <c r="B178" s="1">
        <v>44470</v>
      </c>
      <c r="C178" s="31">
        <v>4664</v>
      </c>
      <c r="D178" s="31">
        <v>0</v>
      </c>
      <c r="E178" s="31">
        <v>4884</v>
      </c>
      <c r="F178" s="31">
        <v>9548</v>
      </c>
      <c r="G178" s="6" t="s">
        <v>326</v>
      </c>
      <c r="H178" s="6" t="s">
        <v>327</v>
      </c>
      <c r="I178" s="6" t="s">
        <v>328</v>
      </c>
      <c r="J178" s="6" t="s">
        <v>178</v>
      </c>
      <c r="K178" s="6">
        <v>42.942016000000002</v>
      </c>
      <c r="L178" s="6">
        <v>-98.084417000000002</v>
      </c>
      <c r="M178" s="6" t="s">
        <v>113</v>
      </c>
      <c r="N178" s="4">
        <v>20211917</v>
      </c>
      <c r="O178" t="s">
        <v>56</v>
      </c>
      <c r="P178" t="s">
        <v>57</v>
      </c>
      <c r="Q178" s="5">
        <v>340</v>
      </c>
      <c r="R178" s="1">
        <v>44378</v>
      </c>
      <c r="S178" s="1">
        <v>44489</v>
      </c>
      <c r="T178">
        <v>222</v>
      </c>
      <c r="U178"/>
      <c r="V178">
        <v>1205</v>
      </c>
      <c r="W178">
        <v>405</v>
      </c>
      <c r="X178">
        <v>291</v>
      </c>
      <c r="Z178">
        <v>2</v>
      </c>
      <c r="AA178" s="124">
        <f t="shared" si="14"/>
        <v>1478.0043139999623</v>
      </c>
      <c r="AB178" s="124">
        <f t="shared" si="15"/>
        <v>471.63248023879623</v>
      </c>
      <c r="AC178" s="124">
        <f t="shared" si="16"/>
        <v>341.98694092432146</v>
      </c>
      <c r="AD178" s="29"/>
      <c r="AE178" s="29"/>
      <c r="AF178" s="29"/>
    </row>
    <row r="179" spans="1:32" s="28" customFormat="1" x14ac:dyDescent="0.25">
      <c r="A179"/>
      <c r="B179" s="11"/>
      <c r="C179" s="32"/>
      <c r="D179" s="32"/>
      <c r="E179" s="32"/>
      <c r="F179" s="32"/>
      <c r="G179" s="8" t="s">
        <v>326</v>
      </c>
      <c r="H179" s="8" t="s">
        <v>329</v>
      </c>
      <c r="I179" s="8" t="s">
        <v>328</v>
      </c>
      <c r="J179" s="8" t="s">
        <v>178</v>
      </c>
      <c r="K179" s="8">
        <v>42.941783999999998</v>
      </c>
      <c r="L179" s="8">
        <v>-98.080903000000006</v>
      </c>
      <c r="M179" s="8" t="s">
        <v>113</v>
      </c>
      <c r="N179" s="10">
        <v>20211916</v>
      </c>
      <c r="O179" s="11" t="s">
        <v>54</v>
      </c>
      <c r="P179" s="11" t="s">
        <v>55</v>
      </c>
      <c r="Q179" s="12">
        <v>329</v>
      </c>
      <c r="R179" s="13">
        <v>44317</v>
      </c>
      <c r="S179" s="13">
        <v>44409</v>
      </c>
      <c r="T179" s="11">
        <v>112</v>
      </c>
      <c r="U179" s="11"/>
      <c r="V179">
        <v>250</v>
      </c>
      <c r="W179">
        <v>107</v>
      </c>
      <c r="X179">
        <v>41</v>
      </c>
      <c r="Z179">
        <v>2</v>
      </c>
      <c r="AA179" s="124">
        <v>1478.0043139999623</v>
      </c>
      <c r="AB179" s="124">
        <v>471.63248023879623</v>
      </c>
      <c r="AC179" s="124">
        <v>341.98694092432146</v>
      </c>
      <c r="AD179" s="29"/>
      <c r="AE179" s="29"/>
      <c r="AF179" s="29"/>
    </row>
    <row r="180" spans="1:32" s="28" customFormat="1" x14ac:dyDescent="0.25">
      <c r="A180"/>
      <c r="B180" s="27">
        <v>44476</v>
      </c>
      <c r="C180" s="33">
        <v>2800</v>
      </c>
      <c r="D180" s="33">
        <v>0</v>
      </c>
      <c r="E180" s="33">
        <v>2016</v>
      </c>
      <c r="F180" s="33">
        <v>4816</v>
      </c>
      <c r="G180" s="30" t="s">
        <v>326</v>
      </c>
      <c r="H180" s="30" t="s">
        <v>329</v>
      </c>
      <c r="I180" s="30" t="s">
        <v>328</v>
      </c>
      <c r="J180" s="30" t="s">
        <v>178</v>
      </c>
      <c r="K180" s="30">
        <v>42.941783999999998</v>
      </c>
      <c r="L180" s="30">
        <v>-98.080903000000006</v>
      </c>
      <c r="M180" s="30" t="s">
        <v>113</v>
      </c>
      <c r="N180" s="25">
        <v>20211916</v>
      </c>
      <c r="O180" s="24" t="s">
        <v>56</v>
      </c>
      <c r="P180" s="24" t="s">
        <v>57</v>
      </c>
      <c r="Q180" s="26">
        <v>340</v>
      </c>
      <c r="R180" s="27">
        <v>44431</v>
      </c>
      <c r="S180" s="27">
        <v>44479</v>
      </c>
      <c r="T180" s="24">
        <v>112</v>
      </c>
      <c r="U180" s="24"/>
      <c r="V180" s="24">
        <v>829</v>
      </c>
      <c r="W180" s="24">
        <v>289</v>
      </c>
      <c r="X180" s="24">
        <v>216</v>
      </c>
      <c r="Y180" s="129"/>
      <c r="Z180" s="24">
        <v>2</v>
      </c>
      <c r="AA180" s="130">
        <f t="shared" si="14"/>
        <v>1016.8179056481067</v>
      </c>
      <c r="AB180" s="130">
        <f t="shared" si="15"/>
        <v>336.54762170126446</v>
      </c>
      <c r="AC180" s="130">
        <f t="shared" si="16"/>
        <v>253.84597676856851</v>
      </c>
      <c r="AD180" s="29"/>
      <c r="AE180" s="29"/>
      <c r="AF180" s="29"/>
    </row>
    <row r="181" spans="1:32" s="28" customFormat="1" x14ac:dyDescent="0.25">
      <c r="A181"/>
      <c r="B181"/>
      <c r="C181" s="31"/>
      <c r="D181" s="31"/>
      <c r="E181" s="31"/>
      <c r="F181" s="31"/>
      <c r="G181" s="20" t="s">
        <v>330</v>
      </c>
      <c r="H181" s="20" t="s">
        <v>331</v>
      </c>
      <c r="I181" s="20" t="s">
        <v>332</v>
      </c>
      <c r="J181" s="20" t="s">
        <v>333</v>
      </c>
      <c r="K181" s="20">
        <v>45.250387000000003</v>
      </c>
      <c r="L181" s="20">
        <v>-99.839172000000005</v>
      </c>
      <c r="M181" s="20" t="s">
        <v>334</v>
      </c>
      <c r="N181" s="4">
        <v>2011</v>
      </c>
      <c r="O181" t="s">
        <v>54</v>
      </c>
      <c r="P181" t="s">
        <v>55</v>
      </c>
      <c r="Q181" s="5">
        <v>329</v>
      </c>
      <c r="R181" s="1">
        <v>44774</v>
      </c>
      <c r="S181" s="1">
        <v>44803</v>
      </c>
      <c r="T181">
        <v>308</v>
      </c>
      <c r="U181"/>
      <c r="V181">
        <v>295</v>
      </c>
      <c r="W181">
        <v>65</v>
      </c>
      <c r="X181">
        <v>44</v>
      </c>
      <c r="Z181">
        <v>2</v>
      </c>
      <c r="AA181" s="123">
        <v>879.56588677956256</v>
      </c>
      <c r="AB181" s="123">
        <v>282.63013075050821</v>
      </c>
      <c r="AC181" s="123">
        <v>202.84173884377279</v>
      </c>
      <c r="AD181" s="29"/>
      <c r="AE181" s="29"/>
      <c r="AF181" s="29"/>
    </row>
    <row r="182" spans="1:32" s="28" customFormat="1" x14ac:dyDescent="0.25">
      <c r="A182"/>
      <c r="B182" s="72">
        <v>44925</v>
      </c>
      <c r="C182" s="67">
        <v>4000</v>
      </c>
      <c r="D182" s="67">
        <v>0</v>
      </c>
      <c r="E182" s="67">
        <v>7806.87</v>
      </c>
      <c r="F182" s="67">
        <v>11806.87</v>
      </c>
      <c r="G182" s="68" t="s">
        <v>330</v>
      </c>
      <c r="H182" s="68" t="s">
        <v>331</v>
      </c>
      <c r="I182" s="68" t="s">
        <v>332</v>
      </c>
      <c r="J182" s="68" t="s">
        <v>333</v>
      </c>
      <c r="K182" s="68">
        <v>45.250387000000003</v>
      </c>
      <c r="L182" s="68">
        <v>-99.839172000000005</v>
      </c>
      <c r="M182" s="68" t="s">
        <v>334</v>
      </c>
      <c r="N182" s="70">
        <v>2011</v>
      </c>
      <c r="O182" s="66" t="s">
        <v>56</v>
      </c>
      <c r="P182" s="66" t="s">
        <v>57</v>
      </c>
      <c r="Q182" s="71">
        <v>340</v>
      </c>
      <c r="R182" s="72">
        <v>44774</v>
      </c>
      <c r="S182" s="72">
        <v>44798</v>
      </c>
      <c r="T182" s="66">
        <v>308</v>
      </c>
      <c r="U182" s="66"/>
      <c r="V182" s="66">
        <v>717.1</v>
      </c>
      <c r="W182" s="66">
        <v>242.7</v>
      </c>
      <c r="X182" s="66">
        <v>172.6</v>
      </c>
      <c r="Z182">
        <v>2</v>
      </c>
      <c r="AA182" s="124">
        <f t="shared" si="14"/>
        <v>879.56588677956256</v>
      </c>
      <c r="AB182" s="124">
        <f t="shared" si="15"/>
        <v>282.63013075050821</v>
      </c>
      <c r="AC182" s="124">
        <f t="shared" si="16"/>
        <v>202.84173884377279</v>
      </c>
      <c r="AD182" s="29"/>
      <c r="AE182" s="29"/>
      <c r="AF182" s="29"/>
    </row>
    <row r="183" spans="1:32" s="28" customFormat="1" x14ac:dyDescent="0.25">
      <c r="A183"/>
      <c r="B183"/>
      <c r="C183" s="31"/>
      <c r="D183" s="31"/>
      <c r="E183" s="31"/>
      <c r="F183" s="31"/>
      <c r="G183" s="20" t="s">
        <v>330</v>
      </c>
      <c r="H183" s="20" t="s">
        <v>335</v>
      </c>
      <c r="I183" s="20" t="s">
        <v>336</v>
      </c>
      <c r="J183" s="20" t="s">
        <v>333</v>
      </c>
      <c r="K183" s="20">
        <v>45.257340999999997</v>
      </c>
      <c r="L183" s="20">
        <v>-99.838065</v>
      </c>
      <c r="M183" s="20" t="s">
        <v>334</v>
      </c>
      <c r="N183" s="4" t="s">
        <v>337</v>
      </c>
      <c r="O183" t="s">
        <v>54</v>
      </c>
      <c r="P183" t="s">
        <v>55</v>
      </c>
      <c r="Q183" s="5">
        <v>329</v>
      </c>
      <c r="R183" s="1">
        <v>45078</v>
      </c>
      <c r="S183" s="1">
        <v>45131</v>
      </c>
      <c r="T183">
        <v>155</v>
      </c>
      <c r="U183"/>
      <c r="V183">
        <v>607.70000000000005</v>
      </c>
      <c r="W183">
        <v>182.4</v>
      </c>
      <c r="X183">
        <v>129.1</v>
      </c>
      <c r="Y183" s="132"/>
      <c r="Z183" s="14">
        <v>2</v>
      </c>
      <c r="AA183" s="133">
        <v>989.83359452113655</v>
      </c>
      <c r="AB183" s="133">
        <v>318.49748974150805</v>
      </c>
      <c r="AC183" s="133">
        <v>228.81394294833467</v>
      </c>
      <c r="AD183" s="29"/>
      <c r="AE183" s="29"/>
      <c r="AF183" s="29"/>
    </row>
    <row r="184" spans="1:32" s="28" customFormat="1" x14ac:dyDescent="0.25">
      <c r="A184"/>
      <c r="B184" s="11">
        <v>1575</v>
      </c>
      <c r="C184" s="32">
        <v>0</v>
      </c>
      <c r="D184" s="32">
        <v>3896.25</v>
      </c>
      <c r="E184" s="32">
        <v>5471.25</v>
      </c>
      <c r="F184" s="32"/>
      <c r="G184" s="8" t="s">
        <v>330</v>
      </c>
      <c r="H184" s="8" t="s">
        <v>335</v>
      </c>
      <c r="I184" s="8" t="s">
        <v>336</v>
      </c>
      <c r="J184" s="8" t="s">
        <v>333</v>
      </c>
      <c r="K184" s="8">
        <v>45.257340999999997</v>
      </c>
      <c r="L184" s="8">
        <v>-99.838065</v>
      </c>
      <c r="M184" s="8" t="s">
        <v>334</v>
      </c>
      <c r="N184" s="10" t="s">
        <v>337</v>
      </c>
      <c r="O184" s="11" t="s">
        <v>56</v>
      </c>
      <c r="P184" s="11" t="s">
        <v>57</v>
      </c>
      <c r="Q184" s="12">
        <v>340</v>
      </c>
      <c r="R184" s="13">
        <v>45131</v>
      </c>
      <c r="S184" s="13">
        <v>45133</v>
      </c>
      <c r="T184" s="11">
        <v>155</v>
      </c>
      <c r="U184" s="11"/>
      <c r="V184" s="11">
        <v>807</v>
      </c>
      <c r="W184" s="11">
        <v>273.5</v>
      </c>
      <c r="X184" s="11">
        <v>194.7</v>
      </c>
      <c r="Y184" s="36"/>
      <c r="Z184" s="11">
        <v>2</v>
      </c>
      <c r="AA184" s="135">
        <f t="shared" si="14"/>
        <v>989.83359452113655</v>
      </c>
      <c r="AB184" s="135">
        <f t="shared" si="15"/>
        <v>318.49748974150805</v>
      </c>
      <c r="AC184" s="135">
        <f t="shared" si="16"/>
        <v>228.81394294833467</v>
      </c>
      <c r="AD184" s="29"/>
      <c r="AE184" s="29"/>
      <c r="AF184" s="29"/>
    </row>
    <row r="185" spans="1:32" s="28" customFormat="1" x14ac:dyDescent="0.25">
      <c r="A185"/>
      <c r="B185"/>
      <c r="C185" s="31"/>
      <c r="D185" s="31"/>
      <c r="E185" s="31"/>
      <c r="F185" s="31"/>
      <c r="G185" s="20" t="s">
        <v>338</v>
      </c>
      <c r="H185" s="20" t="s">
        <v>339</v>
      </c>
      <c r="I185" s="20" t="s">
        <v>340</v>
      </c>
      <c r="J185" s="20" t="s">
        <v>69</v>
      </c>
      <c r="K185" s="20">
        <v>43.474753</v>
      </c>
      <c r="L185" s="20">
        <v>-98.306946999999994</v>
      </c>
      <c r="M185" s="20" t="s">
        <v>113</v>
      </c>
      <c r="N185" s="4" t="s">
        <v>341</v>
      </c>
      <c r="O185" t="s">
        <v>54</v>
      </c>
      <c r="P185" t="s">
        <v>55</v>
      </c>
      <c r="Q185" s="5">
        <v>329</v>
      </c>
      <c r="R185" s="1">
        <v>44682</v>
      </c>
      <c r="S185" s="1">
        <v>44888</v>
      </c>
      <c r="T185">
        <v>154</v>
      </c>
      <c r="U185"/>
      <c r="V185">
        <v>339</v>
      </c>
      <c r="W185">
        <v>51</v>
      </c>
      <c r="X185">
        <v>28</v>
      </c>
      <c r="Z185">
        <v>2</v>
      </c>
      <c r="AA185" s="123">
        <v>762.92006913525017</v>
      </c>
      <c r="AB185" s="123">
        <v>216.60158351707679</v>
      </c>
      <c r="AC185" s="123">
        <v>131.6238398059244</v>
      </c>
      <c r="AD185" s="29"/>
      <c r="AE185" s="29"/>
      <c r="AF185" s="29"/>
    </row>
    <row r="186" spans="1:32" s="28" customFormat="1" x14ac:dyDescent="0.25">
      <c r="A186"/>
      <c r="B186" s="13">
        <v>44852</v>
      </c>
      <c r="C186" s="32">
        <v>2205.2800000000002</v>
      </c>
      <c r="D186" s="32">
        <v>3850</v>
      </c>
      <c r="E186" s="32">
        <v>6055.28</v>
      </c>
      <c r="F186" s="32"/>
      <c r="G186" s="8" t="s">
        <v>338</v>
      </c>
      <c r="H186" s="8" t="s">
        <v>339</v>
      </c>
      <c r="I186" s="8" t="s">
        <v>340</v>
      </c>
      <c r="J186" s="8" t="s">
        <v>69</v>
      </c>
      <c r="K186" s="8">
        <v>43.474753</v>
      </c>
      <c r="L186" s="8">
        <v>-98.306946999999994</v>
      </c>
      <c r="M186" s="8" t="s">
        <v>113</v>
      </c>
      <c r="N186" s="10" t="s">
        <v>341</v>
      </c>
      <c r="O186" s="11" t="s">
        <v>56</v>
      </c>
      <c r="P186" s="11" t="s">
        <v>57</v>
      </c>
      <c r="Q186" s="12">
        <v>340</v>
      </c>
      <c r="R186" s="13">
        <v>44749</v>
      </c>
      <c r="S186" s="13">
        <v>44922</v>
      </c>
      <c r="T186" s="11">
        <v>154</v>
      </c>
      <c r="U186" s="11"/>
      <c r="V186" s="11">
        <v>622</v>
      </c>
      <c r="W186" s="11">
        <v>186</v>
      </c>
      <c r="X186" s="11">
        <v>112</v>
      </c>
      <c r="Z186">
        <v>2</v>
      </c>
      <c r="AA186" s="124">
        <f t="shared" si="14"/>
        <v>762.92006913525017</v>
      </c>
      <c r="AB186" s="124">
        <f t="shared" si="15"/>
        <v>216.60158351707679</v>
      </c>
      <c r="AC186" s="124">
        <f t="shared" si="16"/>
        <v>131.6238398059244</v>
      </c>
      <c r="AD186" s="29"/>
      <c r="AE186" s="29"/>
      <c r="AF186" s="29"/>
    </row>
    <row r="187" spans="1:32" s="28" customFormat="1" x14ac:dyDescent="0.25">
      <c r="A187"/>
      <c r="B187"/>
      <c r="C187" s="31"/>
      <c r="D187" s="31"/>
      <c r="E187" s="31"/>
      <c r="F187" s="31"/>
      <c r="G187" s="20" t="s">
        <v>338</v>
      </c>
      <c r="H187" s="20" t="s">
        <v>342</v>
      </c>
      <c r="I187" s="20" t="s">
        <v>340</v>
      </c>
      <c r="J187" s="20" t="s">
        <v>69</v>
      </c>
      <c r="K187" s="20">
        <v>43.490566999999999</v>
      </c>
      <c r="L187" s="20">
        <v>-98.267360999999994</v>
      </c>
      <c r="M187" s="20" t="s">
        <v>113</v>
      </c>
      <c r="N187" s="4" t="s">
        <v>343</v>
      </c>
      <c r="O187" t="s">
        <v>54</v>
      </c>
      <c r="P187" t="s">
        <v>55</v>
      </c>
      <c r="Q187" s="5">
        <v>329</v>
      </c>
      <c r="R187" s="1">
        <v>44682</v>
      </c>
      <c r="S187" s="1">
        <v>44890</v>
      </c>
      <c r="T187">
        <v>78</v>
      </c>
      <c r="U187"/>
      <c r="V187">
        <v>308</v>
      </c>
      <c r="W187">
        <v>90</v>
      </c>
      <c r="X187">
        <v>55</v>
      </c>
      <c r="Z187">
        <v>2</v>
      </c>
      <c r="AA187" s="123">
        <f t="shared" si="14"/>
        <v>377.78035577758368</v>
      </c>
      <c r="AB187" s="123">
        <f t="shared" si="15"/>
        <v>104.8072178308436</v>
      </c>
      <c r="AC187" s="123">
        <f t="shared" si="16"/>
        <v>64.636707047552164</v>
      </c>
      <c r="AD187" s="29"/>
      <c r="AE187" s="29"/>
      <c r="AF187" s="29"/>
    </row>
    <row r="188" spans="1:32" s="28" customFormat="1" x14ac:dyDescent="0.25">
      <c r="A188"/>
      <c r="B188" s="13">
        <v>44852</v>
      </c>
      <c r="C188" s="32">
        <v>1170</v>
      </c>
      <c r="D188" s="32">
        <v>0</v>
      </c>
      <c r="E188" s="32">
        <v>1950</v>
      </c>
      <c r="F188" s="32">
        <v>3120</v>
      </c>
      <c r="G188" s="8" t="s">
        <v>338</v>
      </c>
      <c r="H188" s="8" t="s">
        <v>342</v>
      </c>
      <c r="I188" s="8" t="s">
        <v>340</v>
      </c>
      <c r="J188" s="8" t="s">
        <v>69</v>
      </c>
      <c r="K188" s="8">
        <v>43.490566999999999</v>
      </c>
      <c r="L188" s="8">
        <v>-98.267360999999994</v>
      </c>
      <c r="M188" s="8" t="s">
        <v>113</v>
      </c>
      <c r="N188" s="10" t="s">
        <v>343</v>
      </c>
      <c r="O188" s="11" t="s">
        <v>56</v>
      </c>
      <c r="P188" s="11" t="s">
        <v>57</v>
      </c>
      <c r="Q188" s="12">
        <v>340</v>
      </c>
      <c r="R188" s="13">
        <v>44732</v>
      </c>
      <c r="S188" s="13">
        <v>44928</v>
      </c>
      <c r="T188" s="11">
        <v>78</v>
      </c>
      <c r="U188" s="11"/>
      <c r="V188" s="11">
        <v>176</v>
      </c>
      <c r="W188" s="11">
        <v>28</v>
      </c>
      <c r="X188" s="11">
        <v>16</v>
      </c>
      <c r="Z188">
        <v>2</v>
      </c>
      <c r="AA188" s="124">
        <v>377.78035577758368</v>
      </c>
      <c r="AB188" s="124">
        <v>104.8072178308436</v>
      </c>
      <c r="AC188" s="124">
        <v>64.636707047552164</v>
      </c>
      <c r="AD188" s="29"/>
      <c r="AE188" s="29"/>
      <c r="AF188" s="29"/>
    </row>
    <row r="189" spans="1:32" s="28" customFormat="1" x14ac:dyDescent="0.25">
      <c r="A189"/>
      <c r="B189"/>
      <c r="C189" s="31"/>
      <c r="D189" s="31"/>
      <c r="E189" s="31"/>
      <c r="F189" s="31"/>
      <c r="G189" s="20" t="s">
        <v>344</v>
      </c>
      <c r="H189" s="20" t="s">
        <v>345</v>
      </c>
      <c r="I189" s="20" t="s">
        <v>346</v>
      </c>
      <c r="J189" s="20" t="s">
        <v>347</v>
      </c>
      <c r="K189" s="20">
        <v>45.655549999999998</v>
      </c>
      <c r="L189" s="20">
        <v>-97.453809000000007</v>
      </c>
      <c r="M189" s="20" t="s">
        <v>169</v>
      </c>
      <c r="N189" s="4" t="s">
        <v>348</v>
      </c>
      <c r="O189" t="s">
        <v>54</v>
      </c>
      <c r="P189" t="s">
        <v>55</v>
      </c>
      <c r="Q189" s="5">
        <v>329</v>
      </c>
      <c r="R189" s="1">
        <v>45111</v>
      </c>
      <c r="S189" s="1">
        <v>45119</v>
      </c>
      <c r="T189">
        <v>77.42</v>
      </c>
      <c r="U189"/>
      <c r="V189">
        <v>296.5</v>
      </c>
      <c r="W189">
        <v>83.5</v>
      </c>
      <c r="X189">
        <v>56.5</v>
      </c>
      <c r="Y189" s="132"/>
      <c r="Z189" s="14">
        <v>2</v>
      </c>
      <c r="AA189" s="133">
        <v>537.23310334604435</v>
      </c>
      <c r="AB189" s="133">
        <v>160.93730560247317</v>
      </c>
      <c r="AC189" s="133">
        <v>111.29265740733074</v>
      </c>
      <c r="AD189" s="29"/>
      <c r="AE189" s="29"/>
      <c r="AF189" s="29"/>
    </row>
    <row r="190" spans="1:32" s="28" customFormat="1" x14ac:dyDescent="0.25">
      <c r="A190"/>
      <c r="B190" s="13">
        <v>45154</v>
      </c>
      <c r="C190" s="32">
        <v>1950.22</v>
      </c>
      <c r="D190" s="32">
        <v>0</v>
      </c>
      <c r="E190" s="32">
        <v>1950.28</v>
      </c>
      <c r="F190" s="32">
        <v>3900.5</v>
      </c>
      <c r="G190" s="8" t="s">
        <v>344</v>
      </c>
      <c r="H190" s="8" t="s">
        <v>345</v>
      </c>
      <c r="I190" s="8" t="s">
        <v>346</v>
      </c>
      <c r="J190" s="8" t="s">
        <v>347</v>
      </c>
      <c r="K190" s="8">
        <v>45.655549999999998</v>
      </c>
      <c r="L190" s="8">
        <v>-97.453809000000007</v>
      </c>
      <c r="M190" s="8" t="s">
        <v>169</v>
      </c>
      <c r="N190" s="10" t="s">
        <v>348</v>
      </c>
      <c r="O190" s="11" t="s">
        <v>56</v>
      </c>
      <c r="P190" s="11" t="s">
        <v>57</v>
      </c>
      <c r="Q190" s="12">
        <v>340</v>
      </c>
      <c r="R190" s="13">
        <v>45139</v>
      </c>
      <c r="S190" s="13">
        <v>45146</v>
      </c>
      <c r="T190" s="11">
        <v>77.42</v>
      </c>
      <c r="U190" s="11"/>
      <c r="V190" s="11">
        <v>438</v>
      </c>
      <c r="W190" s="11">
        <v>138.19999999999999</v>
      </c>
      <c r="X190" s="11">
        <v>94.7</v>
      </c>
      <c r="Y190" s="36"/>
      <c r="Z190" s="11">
        <v>2</v>
      </c>
      <c r="AA190" s="135">
        <f t="shared" si="14"/>
        <v>537.23310334604435</v>
      </c>
      <c r="AB190" s="135">
        <f t="shared" si="15"/>
        <v>160.93730560247317</v>
      </c>
      <c r="AC190" s="135">
        <f t="shared" si="16"/>
        <v>111.29265740733074</v>
      </c>
      <c r="AD190" s="29"/>
      <c r="AE190" s="29"/>
      <c r="AF190" s="29"/>
    </row>
    <row r="191" spans="1:32" s="28" customFormat="1" x14ac:dyDescent="0.25">
      <c r="A191"/>
      <c r="B191"/>
      <c r="C191" s="31"/>
      <c r="D191" s="31"/>
      <c r="E191" s="31"/>
      <c r="F191" s="31"/>
      <c r="G191" s="20" t="s">
        <v>344</v>
      </c>
      <c r="H191" s="20" t="s">
        <v>349</v>
      </c>
      <c r="I191" s="20" t="s">
        <v>346</v>
      </c>
      <c r="J191" s="20" t="s">
        <v>347</v>
      </c>
      <c r="K191" s="20">
        <v>45.613238000000003</v>
      </c>
      <c r="L191" s="20">
        <v>-97.446682999999993</v>
      </c>
      <c r="M191" s="20" t="s">
        <v>169</v>
      </c>
      <c r="N191" s="4" t="s">
        <v>350</v>
      </c>
      <c r="O191" t="s">
        <v>54</v>
      </c>
      <c r="P191" t="s">
        <v>55</v>
      </c>
      <c r="Q191" s="5">
        <v>329</v>
      </c>
      <c r="R191" s="1">
        <v>45145</v>
      </c>
      <c r="S191" s="1">
        <v>45146</v>
      </c>
      <c r="T191">
        <v>94.1</v>
      </c>
      <c r="U191"/>
      <c r="V191">
        <v>206.5</v>
      </c>
      <c r="W191">
        <v>40</v>
      </c>
      <c r="X191">
        <v>25.8</v>
      </c>
      <c r="Z191">
        <v>2</v>
      </c>
      <c r="AA191" s="123">
        <v>559.80179992496494</v>
      </c>
      <c r="AB191" s="123">
        <v>173.28126681366143</v>
      </c>
      <c r="AC191" s="123">
        <v>118.81401968195497</v>
      </c>
      <c r="AD191" s="29"/>
      <c r="AE191" s="29"/>
      <c r="AF191" s="29"/>
    </row>
    <row r="192" spans="1:32" s="28" customFormat="1" x14ac:dyDescent="0.25">
      <c r="A192"/>
      <c r="B192" s="13">
        <v>45154</v>
      </c>
      <c r="C192" s="32">
        <v>2352.5</v>
      </c>
      <c r="D192" s="32">
        <v>0</v>
      </c>
      <c r="E192" s="32">
        <v>3500.52</v>
      </c>
      <c r="F192" s="32">
        <v>5853.02</v>
      </c>
      <c r="G192" s="8" t="s">
        <v>344</v>
      </c>
      <c r="H192" s="8" t="s">
        <v>349</v>
      </c>
      <c r="I192" s="8" t="s">
        <v>346</v>
      </c>
      <c r="J192" s="8" t="s">
        <v>347</v>
      </c>
      <c r="K192" s="8">
        <v>45.613238000000003</v>
      </c>
      <c r="L192" s="8">
        <v>-97.446682999999993</v>
      </c>
      <c r="M192" s="8" t="s">
        <v>169</v>
      </c>
      <c r="N192" s="10" t="s">
        <v>350</v>
      </c>
      <c r="O192" s="11" t="s">
        <v>56</v>
      </c>
      <c r="P192" s="11" t="s">
        <v>57</v>
      </c>
      <c r="Q192" s="12">
        <v>340</v>
      </c>
      <c r="R192" s="13">
        <v>45145</v>
      </c>
      <c r="S192" s="13">
        <v>45148</v>
      </c>
      <c r="T192" s="11">
        <v>94.1</v>
      </c>
      <c r="U192" s="11"/>
      <c r="V192" s="11">
        <v>456.4</v>
      </c>
      <c r="W192" s="11">
        <v>148.80000000000001</v>
      </c>
      <c r="X192" s="11">
        <v>101.1</v>
      </c>
      <c r="Z192">
        <v>2</v>
      </c>
      <c r="AA192" s="124">
        <f t="shared" si="14"/>
        <v>559.80179992496494</v>
      </c>
      <c r="AB192" s="124">
        <f t="shared" si="15"/>
        <v>173.28126681366143</v>
      </c>
      <c r="AC192" s="124">
        <f t="shared" si="16"/>
        <v>118.81401968195497</v>
      </c>
      <c r="AD192" s="29"/>
      <c r="AE192" s="29"/>
      <c r="AF192" s="29"/>
    </row>
    <row r="193" spans="1:32" s="28" customFormat="1" x14ac:dyDescent="0.25">
      <c r="A193"/>
      <c r="B193"/>
      <c r="C193" s="31"/>
      <c r="D193" s="31"/>
      <c r="E193" s="31"/>
      <c r="F193" s="31"/>
      <c r="G193" s="20" t="s">
        <v>344</v>
      </c>
      <c r="H193" s="20" t="s">
        <v>69</v>
      </c>
      <c r="I193" s="20" t="s">
        <v>351</v>
      </c>
      <c r="J193" s="20" t="s">
        <v>347</v>
      </c>
      <c r="K193" s="20">
        <v>45.601360999999997</v>
      </c>
      <c r="L193" s="20">
        <v>-97.399608000000001</v>
      </c>
      <c r="M193" s="20" t="s">
        <v>169</v>
      </c>
      <c r="N193" s="4">
        <v>2002</v>
      </c>
      <c r="O193" t="s">
        <v>54</v>
      </c>
      <c r="P193" t="s">
        <v>55</v>
      </c>
      <c r="Q193" s="5">
        <v>329</v>
      </c>
      <c r="R193" s="1">
        <v>44852</v>
      </c>
      <c r="S193" s="1">
        <v>45083</v>
      </c>
      <c r="T193">
        <v>151</v>
      </c>
      <c r="U193"/>
      <c r="V193">
        <v>323.8</v>
      </c>
      <c r="W193">
        <v>61.2</v>
      </c>
      <c r="X193">
        <v>39.1</v>
      </c>
      <c r="Y193" s="132"/>
      <c r="Z193" s="14">
        <v>2</v>
      </c>
      <c r="AA193" s="133">
        <v>861.7807726276958</v>
      </c>
      <c r="AB193" s="133">
        <v>264.81290371926485</v>
      </c>
      <c r="AC193" s="133">
        <v>179.80756687773604</v>
      </c>
      <c r="AD193" s="29"/>
      <c r="AE193" s="29"/>
      <c r="AF193" s="29"/>
    </row>
    <row r="194" spans="1:32" s="28" customFormat="1" x14ac:dyDescent="0.25">
      <c r="A194"/>
      <c r="B194" s="13">
        <v>44826</v>
      </c>
      <c r="C194" s="32">
        <v>0</v>
      </c>
      <c r="D194" s="32">
        <v>0</v>
      </c>
      <c r="E194" s="32">
        <v>8395.1299999999992</v>
      </c>
      <c r="F194" s="32">
        <v>8395.1299999999992</v>
      </c>
      <c r="G194" s="8" t="s">
        <v>344</v>
      </c>
      <c r="H194" s="8" t="s">
        <v>69</v>
      </c>
      <c r="I194" s="8" t="s">
        <v>351</v>
      </c>
      <c r="J194" s="8" t="s">
        <v>347</v>
      </c>
      <c r="K194" s="8">
        <v>45.601360999999997</v>
      </c>
      <c r="L194" s="8">
        <v>-97.399608000000001</v>
      </c>
      <c r="M194" s="8" t="s">
        <v>169</v>
      </c>
      <c r="N194" s="10">
        <v>2002</v>
      </c>
      <c r="O194" s="11" t="s">
        <v>56</v>
      </c>
      <c r="P194" s="11" t="s">
        <v>57</v>
      </c>
      <c r="Q194" s="12">
        <v>340</v>
      </c>
      <c r="R194" s="13">
        <v>44852</v>
      </c>
      <c r="S194" s="13">
        <v>45082</v>
      </c>
      <c r="T194" s="11">
        <v>151</v>
      </c>
      <c r="U194" s="11"/>
      <c r="V194" s="11">
        <v>702.6</v>
      </c>
      <c r="W194" s="11">
        <v>227.4</v>
      </c>
      <c r="X194" s="11">
        <v>153</v>
      </c>
      <c r="Y194" s="36"/>
      <c r="Z194" s="11">
        <v>2</v>
      </c>
      <c r="AA194" s="135">
        <f t="shared" si="14"/>
        <v>861.7807726276958</v>
      </c>
      <c r="AB194" s="135">
        <f t="shared" si="15"/>
        <v>264.81290371926485</v>
      </c>
      <c r="AC194" s="135">
        <f t="shared" si="16"/>
        <v>179.80756687773604</v>
      </c>
      <c r="AD194" s="29"/>
      <c r="AE194" s="29"/>
      <c r="AF194" s="29"/>
    </row>
    <row r="195" spans="1:32" s="28" customFormat="1" x14ac:dyDescent="0.25">
      <c r="A195"/>
      <c r="B195"/>
      <c r="C195" s="31"/>
      <c r="D195" s="31"/>
      <c r="E195" s="31"/>
      <c r="F195" s="31"/>
      <c r="G195" s="20" t="s">
        <v>352</v>
      </c>
      <c r="H195" s="20" t="s">
        <v>353</v>
      </c>
      <c r="I195" s="20" t="s">
        <v>354</v>
      </c>
      <c r="J195" s="20" t="s">
        <v>355</v>
      </c>
      <c r="K195" s="20">
        <v>43.126795000000001</v>
      </c>
      <c r="L195" s="20">
        <v>-97.492557000000005</v>
      </c>
      <c r="M195" s="20" t="s">
        <v>137</v>
      </c>
      <c r="N195" s="4" t="s">
        <v>356</v>
      </c>
      <c r="O195" t="s">
        <v>83</v>
      </c>
      <c r="P195" t="s">
        <v>84</v>
      </c>
      <c r="Q195" s="5">
        <v>328</v>
      </c>
      <c r="R195" s="1">
        <v>44682</v>
      </c>
      <c r="S195" s="1">
        <v>44841</v>
      </c>
      <c r="T195">
        <v>20</v>
      </c>
      <c r="U195"/>
      <c r="V195"/>
      <c r="W195"/>
      <c r="X195"/>
      <c r="Z195">
        <v>2</v>
      </c>
      <c r="AA195" s="123">
        <v>269.84311126970266</v>
      </c>
      <c r="AB195" s="123">
        <v>87.33934819236967</v>
      </c>
      <c r="AC195" s="123">
        <v>64.636707047552164</v>
      </c>
      <c r="AD195" s="29"/>
      <c r="AE195" s="29"/>
      <c r="AF195" s="29"/>
    </row>
    <row r="196" spans="1:32" s="28" customFormat="1" x14ac:dyDescent="0.25">
      <c r="A196"/>
      <c r="B196"/>
      <c r="C196" s="31"/>
      <c r="D196" s="31"/>
      <c r="E196" s="31"/>
      <c r="F196" s="31"/>
      <c r="G196" s="6" t="s">
        <v>352</v>
      </c>
      <c r="H196" s="6" t="s">
        <v>353</v>
      </c>
      <c r="I196" s="6" t="s">
        <v>354</v>
      </c>
      <c r="J196" s="6" t="s">
        <v>355</v>
      </c>
      <c r="K196" s="6">
        <v>43.126795000000001</v>
      </c>
      <c r="L196" s="6">
        <v>-97.492557000000005</v>
      </c>
      <c r="M196" s="6" t="s">
        <v>137</v>
      </c>
      <c r="N196" s="4" t="s">
        <v>356</v>
      </c>
      <c r="O196" t="s">
        <v>54</v>
      </c>
      <c r="P196" t="s">
        <v>55</v>
      </c>
      <c r="Q196" s="5">
        <v>329</v>
      </c>
      <c r="R196" s="1">
        <v>44682</v>
      </c>
      <c r="S196" s="1">
        <v>44841</v>
      </c>
      <c r="T196">
        <v>20</v>
      </c>
      <c r="U196"/>
      <c r="V196">
        <v>93</v>
      </c>
      <c r="W196">
        <v>22</v>
      </c>
      <c r="X196">
        <v>16</v>
      </c>
      <c r="Z196">
        <v>2</v>
      </c>
      <c r="AA196" s="124">
        <v>269.84311126970266</v>
      </c>
      <c r="AB196" s="124">
        <v>87.33934819236967</v>
      </c>
      <c r="AC196" s="124">
        <v>64.636707047552164</v>
      </c>
      <c r="AD196" s="29"/>
      <c r="AE196" s="29"/>
      <c r="AF196" s="29"/>
    </row>
    <row r="197" spans="1:32" s="28" customFormat="1" x14ac:dyDescent="0.25">
      <c r="A197"/>
      <c r="B197" s="1">
        <v>44788</v>
      </c>
      <c r="C197" s="31">
        <v>722.61</v>
      </c>
      <c r="D197" s="31">
        <v>0</v>
      </c>
      <c r="E197" s="31">
        <v>722.61</v>
      </c>
      <c r="F197" s="31">
        <v>1445.23</v>
      </c>
      <c r="G197" s="6" t="s">
        <v>352</v>
      </c>
      <c r="H197" s="6" t="s">
        <v>353</v>
      </c>
      <c r="I197" s="6" t="s">
        <v>354</v>
      </c>
      <c r="J197" s="6" t="s">
        <v>355</v>
      </c>
      <c r="K197" s="6">
        <v>43.126795000000001</v>
      </c>
      <c r="L197" s="6">
        <v>-97.492557000000005</v>
      </c>
      <c r="M197" s="6" t="s">
        <v>137</v>
      </c>
      <c r="N197" s="4" t="s">
        <v>356</v>
      </c>
      <c r="O197" t="s">
        <v>56</v>
      </c>
      <c r="P197" t="s">
        <v>57</v>
      </c>
      <c r="Q197" s="5">
        <v>340</v>
      </c>
      <c r="R197" s="1">
        <v>44762</v>
      </c>
      <c r="S197" s="1">
        <v>44932</v>
      </c>
      <c r="T197">
        <v>20</v>
      </c>
      <c r="U197"/>
      <c r="V197">
        <v>220</v>
      </c>
      <c r="W197">
        <v>75</v>
      </c>
      <c r="X197">
        <v>55</v>
      </c>
      <c r="Z197">
        <v>2</v>
      </c>
      <c r="AA197" s="124">
        <f t="shared" si="14"/>
        <v>269.84311126970266</v>
      </c>
      <c r="AB197" s="124">
        <f t="shared" si="15"/>
        <v>87.33934819236967</v>
      </c>
      <c r="AC197" s="124">
        <f t="shared" si="16"/>
        <v>64.636707047552164</v>
      </c>
      <c r="AD197" s="29"/>
      <c r="AE197" s="29"/>
      <c r="AF197" s="29"/>
    </row>
    <row r="198" spans="1:32" s="28" customFormat="1" x14ac:dyDescent="0.25">
      <c r="A198"/>
      <c r="B198" s="11"/>
      <c r="C198" s="32"/>
      <c r="D198" s="32"/>
      <c r="E198" s="32"/>
      <c r="F198" s="32"/>
      <c r="G198" s="8" t="s">
        <v>352</v>
      </c>
      <c r="H198" s="8" t="s">
        <v>353</v>
      </c>
      <c r="I198" s="8" t="s">
        <v>354</v>
      </c>
      <c r="J198" s="8" t="s">
        <v>355</v>
      </c>
      <c r="K198" s="8">
        <v>43.126795000000001</v>
      </c>
      <c r="L198" s="8">
        <v>-97.492557000000005</v>
      </c>
      <c r="M198" s="8" t="s">
        <v>137</v>
      </c>
      <c r="N198" s="10" t="s">
        <v>356</v>
      </c>
      <c r="O198" s="11" t="s">
        <v>105</v>
      </c>
      <c r="P198" s="11" t="s">
        <v>741</v>
      </c>
      <c r="Q198" s="12">
        <v>528</v>
      </c>
      <c r="R198" s="13">
        <v>44682</v>
      </c>
      <c r="S198" s="13">
        <v>44841</v>
      </c>
      <c r="T198" s="11">
        <v>20</v>
      </c>
      <c r="U198" s="11"/>
      <c r="V198" s="11"/>
      <c r="W198" s="11"/>
      <c r="X198" s="11"/>
      <c r="Z198">
        <v>2</v>
      </c>
      <c r="AA198" s="124">
        <v>269.84311126970266</v>
      </c>
      <c r="AB198" s="124">
        <v>87.33934819236967</v>
      </c>
      <c r="AC198" s="124">
        <v>64.636707047552164</v>
      </c>
      <c r="AD198" s="29"/>
      <c r="AE198" s="29"/>
      <c r="AF198" s="29"/>
    </row>
    <row r="199" spans="1:32" s="28" customFormat="1" x14ac:dyDescent="0.25">
      <c r="A199"/>
      <c r="B199"/>
      <c r="C199" s="31"/>
      <c r="D199" s="31"/>
      <c r="E199" s="31"/>
      <c r="F199" s="31"/>
      <c r="G199" s="20" t="s">
        <v>357</v>
      </c>
      <c r="H199" s="20" t="s">
        <v>358</v>
      </c>
      <c r="I199" s="20" t="s">
        <v>359</v>
      </c>
      <c r="J199" s="20" t="s">
        <v>360</v>
      </c>
      <c r="K199" s="20">
        <v>45.700735000000002</v>
      </c>
      <c r="L199" s="20">
        <v>-97.865036000000003</v>
      </c>
      <c r="M199" s="20" t="s">
        <v>169</v>
      </c>
      <c r="N199" s="4">
        <v>2003</v>
      </c>
      <c r="O199" t="s">
        <v>54</v>
      </c>
      <c r="P199" t="s">
        <v>55</v>
      </c>
      <c r="Q199" s="5">
        <v>329</v>
      </c>
      <c r="R199" s="1">
        <v>44788</v>
      </c>
      <c r="S199" s="1">
        <v>44789</v>
      </c>
      <c r="T199">
        <v>676</v>
      </c>
      <c r="U199"/>
      <c r="V199">
        <v>1209.5</v>
      </c>
      <c r="W199">
        <v>181.8</v>
      </c>
      <c r="X199">
        <v>100</v>
      </c>
      <c r="Y199" s="132"/>
      <c r="Z199" s="14">
        <v>2</v>
      </c>
      <c r="AA199" s="133">
        <v>2706.0357821964449</v>
      </c>
      <c r="AB199" s="133">
        <v>764.39397537961929</v>
      </c>
      <c r="AC199" s="133">
        <v>460.09583289303043</v>
      </c>
      <c r="AD199" s="29"/>
      <c r="AE199" s="29"/>
      <c r="AF199" s="29"/>
    </row>
    <row r="200" spans="1:32" s="28" customFormat="1" x14ac:dyDescent="0.25">
      <c r="A200"/>
      <c r="B200" s="13">
        <v>44778</v>
      </c>
      <c r="C200" s="32">
        <v>0</v>
      </c>
      <c r="D200" s="32">
        <v>1000</v>
      </c>
      <c r="E200" s="32">
        <v>18500</v>
      </c>
      <c r="F200" s="32">
        <v>22500</v>
      </c>
      <c r="G200" s="8" t="s">
        <v>357</v>
      </c>
      <c r="H200" s="8" t="s">
        <v>358</v>
      </c>
      <c r="I200" s="8" t="s">
        <v>359</v>
      </c>
      <c r="J200" s="8" t="s">
        <v>360</v>
      </c>
      <c r="K200" s="8">
        <v>45.700735000000002</v>
      </c>
      <c r="L200" s="8">
        <v>-97.865036000000003</v>
      </c>
      <c r="M200" s="8" t="s">
        <v>169</v>
      </c>
      <c r="N200" s="10">
        <v>2003</v>
      </c>
      <c r="O200" s="11" t="s">
        <v>56</v>
      </c>
      <c r="P200" s="11" t="s">
        <v>57</v>
      </c>
      <c r="Q200" s="12">
        <v>340</v>
      </c>
      <c r="R200" s="13">
        <v>44690</v>
      </c>
      <c r="S200" s="13">
        <v>44791</v>
      </c>
      <c r="T200" s="11">
        <v>1000</v>
      </c>
      <c r="U200" s="11"/>
      <c r="V200" s="11">
        <v>2206.1999999999998</v>
      </c>
      <c r="W200" s="11">
        <v>656.4</v>
      </c>
      <c r="X200" s="11">
        <v>391.5</v>
      </c>
      <c r="Y200" s="36"/>
      <c r="Z200" s="11">
        <v>2</v>
      </c>
      <c r="AA200" s="135">
        <f t="shared" si="14"/>
        <v>2706.0357821964449</v>
      </c>
      <c r="AB200" s="135">
        <f t="shared" si="15"/>
        <v>764.39397537961929</v>
      </c>
      <c r="AC200" s="135">
        <f t="shared" si="16"/>
        <v>460.09583289303043</v>
      </c>
      <c r="AD200" s="29"/>
      <c r="AE200" s="29"/>
      <c r="AF200" s="29"/>
    </row>
    <row r="201" spans="1:32" s="28" customFormat="1" x14ac:dyDescent="0.25">
      <c r="A201"/>
      <c r="B201"/>
      <c r="C201" s="31"/>
      <c r="D201" s="31"/>
      <c r="E201" s="31"/>
      <c r="F201" s="31"/>
      <c r="G201" s="20" t="s">
        <v>361</v>
      </c>
      <c r="H201" s="20" t="s">
        <v>122</v>
      </c>
      <c r="I201" s="20" t="s">
        <v>362</v>
      </c>
      <c r="J201" s="20" t="s">
        <v>222</v>
      </c>
      <c r="K201" s="20">
        <v>44.823754000000001</v>
      </c>
      <c r="L201" s="20">
        <v>-97.206113999999999</v>
      </c>
      <c r="M201" s="20" t="s">
        <v>363</v>
      </c>
      <c r="N201" s="4" t="s">
        <v>364</v>
      </c>
      <c r="O201" t="s">
        <v>83</v>
      </c>
      <c r="P201" t="s">
        <v>84</v>
      </c>
      <c r="Q201" s="5">
        <v>328</v>
      </c>
      <c r="R201" s="1">
        <v>45108</v>
      </c>
      <c r="S201" s="1">
        <v>45146</v>
      </c>
      <c r="T201">
        <v>64</v>
      </c>
      <c r="U201"/>
      <c r="V201"/>
      <c r="W201"/>
      <c r="X201"/>
      <c r="Z201">
        <v>2</v>
      </c>
      <c r="AA201" s="123">
        <v>106.71068491120059</v>
      </c>
      <c r="AB201" s="123">
        <v>30.277640706688153</v>
      </c>
      <c r="AC201" s="123">
        <v>22.329044252790748</v>
      </c>
      <c r="AD201" s="29"/>
      <c r="AE201" s="29"/>
      <c r="AF201" s="29"/>
    </row>
    <row r="202" spans="1:32" s="28" customFormat="1" x14ac:dyDescent="0.25">
      <c r="A202"/>
      <c r="B202"/>
      <c r="C202" s="31"/>
      <c r="D202" s="31"/>
      <c r="E202" s="31"/>
      <c r="F202" s="31"/>
      <c r="G202" s="6" t="s">
        <v>361</v>
      </c>
      <c r="H202" s="6" t="s">
        <v>122</v>
      </c>
      <c r="I202" s="6" t="s">
        <v>362</v>
      </c>
      <c r="J202" s="6" t="s">
        <v>222</v>
      </c>
      <c r="K202" s="6">
        <v>44.823754000000001</v>
      </c>
      <c r="L202" s="6">
        <v>-97.206113999999999</v>
      </c>
      <c r="M202" s="6" t="s">
        <v>363</v>
      </c>
      <c r="N202" s="4" t="s">
        <v>364</v>
      </c>
      <c r="O202" t="s">
        <v>54</v>
      </c>
      <c r="P202" t="s">
        <v>55</v>
      </c>
      <c r="Q202" s="5">
        <v>329</v>
      </c>
      <c r="R202" s="1">
        <v>45108</v>
      </c>
      <c r="S202" s="1">
        <v>45146</v>
      </c>
      <c r="T202">
        <v>64</v>
      </c>
      <c r="U202"/>
      <c r="V202"/>
      <c r="W202"/>
      <c r="X202"/>
      <c r="Z202">
        <v>2</v>
      </c>
      <c r="AA202" s="124">
        <v>106.71068491120059</v>
      </c>
      <c r="AB202" s="124">
        <v>30.277640706688153</v>
      </c>
      <c r="AC202" s="124">
        <v>22.329044252790748</v>
      </c>
      <c r="AD202" s="29"/>
      <c r="AE202" s="29"/>
      <c r="AF202" s="29"/>
    </row>
    <row r="203" spans="1:32" s="28" customFormat="1" x14ac:dyDescent="0.25">
      <c r="A203"/>
      <c r="B203" s="1">
        <v>45148</v>
      </c>
      <c r="C203" s="31">
        <v>1600</v>
      </c>
      <c r="D203" s="31">
        <v>0</v>
      </c>
      <c r="E203" s="31">
        <v>1770.43</v>
      </c>
      <c r="F203" s="31">
        <v>3370.43</v>
      </c>
      <c r="G203" s="6" t="s">
        <v>361</v>
      </c>
      <c r="H203" s="6" t="s">
        <v>122</v>
      </c>
      <c r="I203" s="6" t="s">
        <v>362</v>
      </c>
      <c r="J203" s="6" t="s">
        <v>222</v>
      </c>
      <c r="K203" s="6">
        <v>44.823754000000001</v>
      </c>
      <c r="L203" s="6">
        <v>-97.206113999999999</v>
      </c>
      <c r="M203" s="6" t="s">
        <v>363</v>
      </c>
      <c r="N203" s="4" t="s">
        <v>364</v>
      </c>
      <c r="O203" t="s">
        <v>56</v>
      </c>
      <c r="P203" t="s">
        <v>57</v>
      </c>
      <c r="Q203" s="5">
        <v>340</v>
      </c>
      <c r="R203" s="1">
        <v>45135</v>
      </c>
      <c r="S203" s="1">
        <v>45148</v>
      </c>
      <c r="T203">
        <v>64</v>
      </c>
      <c r="U203"/>
      <c r="V203">
        <v>87</v>
      </c>
      <c r="W203">
        <v>26</v>
      </c>
      <c r="X203">
        <v>19</v>
      </c>
      <c r="Z203">
        <v>2</v>
      </c>
      <c r="AA203" s="124">
        <f t="shared" si="14"/>
        <v>106.71068491120059</v>
      </c>
      <c r="AB203" s="124">
        <f t="shared" si="15"/>
        <v>30.277640706688153</v>
      </c>
      <c r="AC203" s="124">
        <f t="shared" si="16"/>
        <v>22.329044252790748</v>
      </c>
      <c r="AD203" s="29"/>
      <c r="AE203" s="29"/>
      <c r="AF203" s="29"/>
    </row>
    <row r="204" spans="1:32" s="28" customFormat="1" x14ac:dyDescent="0.25">
      <c r="A204"/>
      <c r="B204"/>
      <c r="C204" s="31"/>
      <c r="D204" s="31"/>
      <c r="E204" s="31"/>
      <c r="F204" s="31"/>
      <c r="G204" s="6" t="s">
        <v>361</v>
      </c>
      <c r="H204" s="6" t="s">
        <v>122</v>
      </c>
      <c r="I204" s="6" t="s">
        <v>362</v>
      </c>
      <c r="J204" s="6" t="s">
        <v>222</v>
      </c>
      <c r="K204" s="6">
        <v>44.823754000000001</v>
      </c>
      <c r="L204" s="6">
        <v>-97.206113999999999</v>
      </c>
      <c r="M204" s="6" t="s">
        <v>363</v>
      </c>
      <c r="N204" s="4" t="s">
        <v>364</v>
      </c>
      <c r="O204" t="s">
        <v>105</v>
      </c>
      <c r="P204" s="11" t="s">
        <v>741</v>
      </c>
      <c r="Q204" s="12">
        <v>528</v>
      </c>
      <c r="R204" s="1">
        <v>45202</v>
      </c>
      <c r="S204" s="1">
        <v>45245</v>
      </c>
      <c r="T204">
        <v>64</v>
      </c>
      <c r="U204"/>
      <c r="V204"/>
      <c r="W204"/>
      <c r="X204"/>
      <c r="Z204">
        <v>3</v>
      </c>
      <c r="AA204" s="123">
        <v>145.96059200497552</v>
      </c>
      <c r="AB204" s="123">
        <v>45.416461060032226</v>
      </c>
      <c r="AC204" s="123">
        <v>32.905959951481101</v>
      </c>
      <c r="AD204" s="29"/>
      <c r="AE204" s="29"/>
      <c r="AF204" s="29"/>
    </row>
    <row r="205" spans="1:32" s="28" customFormat="1" x14ac:dyDescent="0.25">
      <c r="A205"/>
      <c r="B205"/>
      <c r="C205" s="31"/>
      <c r="D205" s="31"/>
      <c r="E205" s="31"/>
      <c r="F205" s="31"/>
      <c r="G205" s="6" t="s">
        <v>361</v>
      </c>
      <c r="H205" s="6" t="s">
        <v>122</v>
      </c>
      <c r="I205" s="6" t="s">
        <v>362</v>
      </c>
      <c r="J205" s="6" t="s">
        <v>222</v>
      </c>
      <c r="K205" s="6">
        <v>44.821370000000002</v>
      </c>
      <c r="L205" s="6">
        <v>-97.202697000000001</v>
      </c>
      <c r="M205" s="6" t="s">
        <v>363</v>
      </c>
      <c r="N205" s="4" t="s">
        <v>365</v>
      </c>
      <c r="O205" t="s">
        <v>83</v>
      </c>
      <c r="P205" t="s">
        <v>84</v>
      </c>
      <c r="Q205" s="5">
        <v>328</v>
      </c>
      <c r="R205" s="1">
        <v>45717</v>
      </c>
      <c r="S205" s="1">
        <v>45756</v>
      </c>
      <c r="T205">
        <v>20</v>
      </c>
      <c r="U205"/>
      <c r="V205"/>
      <c r="W205"/>
      <c r="X205"/>
      <c r="Z205">
        <v>3</v>
      </c>
      <c r="AA205" s="124">
        <v>145.96059200497552</v>
      </c>
      <c r="AB205" s="124">
        <v>45.416461060032226</v>
      </c>
      <c r="AC205" s="124">
        <v>32.905959951481101</v>
      </c>
      <c r="AD205" s="29"/>
      <c r="AE205" s="29"/>
      <c r="AF205" s="29"/>
    </row>
    <row r="206" spans="1:32" s="28" customFormat="1" x14ac:dyDescent="0.25">
      <c r="A206"/>
      <c r="B206"/>
      <c r="C206" s="31"/>
      <c r="D206" s="31"/>
      <c r="E206" s="31"/>
      <c r="F206" s="31"/>
      <c r="G206" s="6" t="s">
        <v>361</v>
      </c>
      <c r="H206" s="6" t="s">
        <v>122</v>
      </c>
      <c r="I206" s="6" t="s">
        <v>362</v>
      </c>
      <c r="J206" s="6" t="s">
        <v>222</v>
      </c>
      <c r="K206" s="6">
        <v>44.821370000000002</v>
      </c>
      <c r="L206" s="6">
        <v>-97.202697000000001</v>
      </c>
      <c r="M206" s="6" t="s">
        <v>363</v>
      </c>
      <c r="N206" s="4" t="s">
        <v>365</v>
      </c>
      <c r="O206" t="s">
        <v>54</v>
      </c>
      <c r="P206" t="s">
        <v>55</v>
      </c>
      <c r="Q206" s="5">
        <v>329</v>
      </c>
      <c r="R206" s="1">
        <v>45717</v>
      </c>
      <c r="S206" s="1">
        <v>45756</v>
      </c>
      <c r="T206">
        <v>20</v>
      </c>
      <c r="U206"/>
      <c r="V206">
        <v>55</v>
      </c>
      <c r="W206">
        <v>12</v>
      </c>
      <c r="X206">
        <v>8</v>
      </c>
      <c r="Z206">
        <v>3</v>
      </c>
      <c r="AA206" s="124">
        <v>145.96059200497552</v>
      </c>
      <c r="AB206" s="124">
        <v>45.416461060032226</v>
      </c>
      <c r="AC206" s="124">
        <v>32.905959951481101</v>
      </c>
      <c r="AD206" s="29"/>
      <c r="AE206" s="29"/>
      <c r="AF206" s="29"/>
    </row>
    <row r="207" spans="1:32" s="28" customFormat="1" ht="14.4" thickBot="1" x14ac:dyDescent="0.3">
      <c r="A207"/>
      <c r="B207" s="91">
        <v>45736</v>
      </c>
      <c r="C207" s="93">
        <v>1350.5</v>
      </c>
      <c r="D207" s="93"/>
      <c r="E207" s="93">
        <v>1350.25</v>
      </c>
      <c r="F207" s="93">
        <v>2700.5</v>
      </c>
      <c r="G207" s="61" t="s">
        <v>361</v>
      </c>
      <c r="H207" s="61" t="s">
        <v>122</v>
      </c>
      <c r="I207" s="61" t="s">
        <v>362</v>
      </c>
      <c r="J207" s="61" t="s">
        <v>222</v>
      </c>
      <c r="K207" s="61">
        <v>44.821370000000002</v>
      </c>
      <c r="L207" s="61">
        <v>-97.202697000000001</v>
      </c>
      <c r="M207" s="61" t="s">
        <v>363</v>
      </c>
      <c r="N207" s="95" t="s">
        <v>365</v>
      </c>
      <c r="O207" s="92" t="s">
        <v>132</v>
      </c>
      <c r="P207" s="92" t="s">
        <v>133</v>
      </c>
      <c r="Q207" s="96"/>
      <c r="R207" s="91">
        <v>45721</v>
      </c>
      <c r="S207" s="91">
        <v>45743</v>
      </c>
      <c r="T207" s="92">
        <v>20</v>
      </c>
      <c r="U207" s="92"/>
      <c r="V207" s="92">
        <v>119</v>
      </c>
      <c r="W207" s="92">
        <v>39</v>
      </c>
      <c r="X207" s="92">
        <v>28</v>
      </c>
      <c r="Z207">
        <v>3</v>
      </c>
      <c r="AA207" s="124">
        <f t="shared" si="14"/>
        <v>145.96059200497552</v>
      </c>
      <c r="AB207" s="124">
        <f t="shared" si="15"/>
        <v>45.416461060032226</v>
      </c>
      <c r="AC207" s="124">
        <f t="shared" si="16"/>
        <v>32.905959951481101</v>
      </c>
      <c r="AD207" s="29"/>
      <c r="AE207" s="29"/>
      <c r="AF207" s="29"/>
    </row>
    <row r="208" spans="1:32" s="28" customFormat="1" x14ac:dyDescent="0.25">
      <c r="A208"/>
      <c r="B208" s="58" t="s">
        <v>661</v>
      </c>
      <c r="C208" s="55"/>
      <c r="D208" s="55"/>
      <c r="E208" s="55"/>
      <c r="F208" s="55"/>
      <c r="G208" s="94" t="s">
        <v>361</v>
      </c>
      <c r="H208" s="94" t="s">
        <v>122</v>
      </c>
      <c r="I208" s="94" t="s">
        <v>362</v>
      </c>
      <c r="J208" s="94" t="s">
        <v>222</v>
      </c>
      <c r="K208" s="94">
        <v>44.823754000000001</v>
      </c>
      <c r="L208" s="94">
        <v>-97.206113999999999</v>
      </c>
      <c r="M208" s="94" t="s">
        <v>363</v>
      </c>
      <c r="N208" s="56" t="s">
        <v>662</v>
      </c>
      <c r="O208" s="54" t="s">
        <v>56</v>
      </c>
      <c r="P208" s="54" t="s">
        <v>57</v>
      </c>
      <c r="Q208" s="57">
        <v>340</v>
      </c>
      <c r="R208" s="58">
        <v>44572</v>
      </c>
      <c r="S208" s="58">
        <v>44616</v>
      </c>
      <c r="T208" s="54">
        <v>50</v>
      </c>
      <c r="U208" s="54"/>
      <c r="V208" s="142">
        <v>32</v>
      </c>
      <c r="W208" s="142">
        <v>7.36</v>
      </c>
      <c r="X208" s="142">
        <v>5.32</v>
      </c>
      <c r="Z208" s="46">
        <v>2</v>
      </c>
      <c r="AA208" s="123">
        <f t="shared" si="14"/>
        <v>39.249907093774929</v>
      </c>
      <c r="AB208" s="123">
        <f t="shared" si="15"/>
        <v>8.5709013692778768</v>
      </c>
      <c r="AC208" s="123">
        <f t="shared" si="16"/>
        <v>6.2521323907814095</v>
      </c>
      <c r="AD208" s="29"/>
      <c r="AE208" s="29"/>
      <c r="AF208" s="29"/>
    </row>
    <row r="209" spans="1:32" s="28" customFormat="1" x14ac:dyDescent="0.25">
      <c r="A209"/>
      <c r="B209"/>
      <c r="C209" s="31"/>
      <c r="D209" s="31"/>
      <c r="E209" s="31"/>
      <c r="F209" s="31"/>
      <c r="G209" s="20" t="s">
        <v>369</v>
      </c>
      <c r="H209" s="20" t="s">
        <v>370</v>
      </c>
      <c r="I209" s="20" t="s">
        <v>371</v>
      </c>
      <c r="J209" s="20" t="s">
        <v>347</v>
      </c>
      <c r="K209" s="20">
        <v>45.585132000000002</v>
      </c>
      <c r="L209" s="20">
        <v>-97.370344000000003</v>
      </c>
      <c r="M209" s="20" t="s">
        <v>169</v>
      </c>
      <c r="N209" s="4" t="s">
        <v>372</v>
      </c>
      <c r="O209" t="s">
        <v>54</v>
      </c>
      <c r="P209" t="s">
        <v>55</v>
      </c>
      <c r="Q209" s="5">
        <v>329</v>
      </c>
      <c r="R209" s="1">
        <v>45152</v>
      </c>
      <c r="S209" s="1">
        <v>45152</v>
      </c>
      <c r="T209">
        <v>183</v>
      </c>
      <c r="U209"/>
      <c r="V209">
        <v>313.5</v>
      </c>
      <c r="W209">
        <v>67.900000000000006</v>
      </c>
      <c r="X209">
        <v>46.2</v>
      </c>
      <c r="Z209">
        <v>3</v>
      </c>
      <c r="AA209" s="123">
        <v>928.26030276777703</v>
      </c>
      <c r="AB209" s="123">
        <v>297.41959371108288</v>
      </c>
      <c r="AC209" s="123">
        <v>212.71352682921713</v>
      </c>
      <c r="AD209" s="29"/>
      <c r="AE209" s="29"/>
      <c r="AF209" s="29"/>
    </row>
    <row r="210" spans="1:32" s="28" customFormat="1" x14ac:dyDescent="0.25">
      <c r="A210"/>
      <c r="B210" s="13">
        <v>45153</v>
      </c>
      <c r="C210" s="32">
        <v>2256</v>
      </c>
      <c r="D210" s="32">
        <v>0</v>
      </c>
      <c r="E210" s="32">
        <v>3294</v>
      </c>
      <c r="F210" s="32">
        <v>5550</v>
      </c>
      <c r="G210" s="8" t="s">
        <v>369</v>
      </c>
      <c r="H210" s="8" t="s">
        <v>370</v>
      </c>
      <c r="I210" s="8" t="s">
        <v>371</v>
      </c>
      <c r="J210" s="8" t="s">
        <v>347</v>
      </c>
      <c r="K210" s="8">
        <v>45.585132000000002</v>
      </c>
      <c r="L210" s="8">
        <v>-97.370344000000003</v>
      </c>
      <c r="M210" s="8" t="s">
        <v>169</v>
      </c>
      <c r="N210" s="10" t="s">
        <v>372</v>
      </c>
      <c r="O210" s="11" t="s">
        <v>56</v>
      </c>
      <c r="P210" s="11" t="s">
        <v>57</v>
      </c>
      <c r="Q210" s="12">
        <v>340</v>
      </c>
      <c r="R210" s="13">
        <v>45112</v>
      </c>
      <c r="S210" s="13">
        <v>45126</v>
      </c>
      <c r="T210" s="11">
        <v>183</v>
      </c>
      <c r="U210" s="11"/>
      <c r="V210" s="11">
        <v>756.8</v>
      </c>
      <c r="W210" s="11">
        <v>255.4</v>
      </c>
      <c r="X210" s="11">
        <v>181</v>
      </c>
      <c r="Z210">
        <v>2</v>
      </c>
      <c r="AA210" s="124">
        <f t="shared" si="14"/>
        <v>928.26030276777703</v>
      </c>
      <c r="AB210" s="124">
        <f t="shared" si="15"/>
        <v>297.41959371108288</v>
      </c>
      <c r="AC210" s="124">
        <f t="shared" si="16"/>
        <v>212.71352682921713</v>
      </c>
      <c r="AD210" s="29"/>
      <c r="AE210" s="29"/>
      <c r="AF210" s="29"/>
    </row>
    <row r="211" spans="1:32" s="53" customFormat="1" x14ac:dyDescent="0.25">
      <c r="A211" s="46"/>
      <c r="B211" s="46" t="s">
        <v>76</v>
      </c>
      <c r="C211" s="47"/>
      <c r="D211" s="47"/>
      <c r="E211" s="47"/>
      <c r="F211" s="47"/>
      <c r="G211" s="48" t="s">
        <v>373</v>
      </c>
      <c r="H211" s="48" t="s">
        <v>374</v>
      </c>
      <c r="I211" s="48" t="s">
        <v>375</v>
      </c>
      <c r="J211" s="48" t="s">
        <v>376</v>
      </c>
      <c r="K211" s="48">
        <v>43.742550000000001</v>
      </c>
      <c r="L211" s="48">
        <v>-97.307012999999998</v>
      </c>
      <c r="M211" s="48" t="s">
        <v>377</v>
      </c>
      <c r="N211" s="50" t="s">
        <v>378</v>
      </c>
      <c r="O211" s="46" t="s">
        <v>54</v>
      </c>
      <c r="P211" s="46" t="s">
        <v>55</v>
      </c>
      <c r="Q211" s="51">
        <v>329</v>
      </c>
      <c r="R211" s="52">
        <v>44287</v>
      </c>
      <c r="S211" s="52">
        <v>44409</v>
      </c>
      <c r="T211" s="46"/>
      <c r="U211" s="46" t="s">
        <v>145</v>
      </c>
      <c r="V211" s="46">
        <v>650</v>
      </c>
      <c r="W211" s="46">
        <v>93</v>
      </c>
      <c r="X211" s="46">
        <v>49</v>
      </c>
      <c r="Y211" s="137"/>
      <c r="Z211" s="76">
        <v>2</v>
      </c>
      <c r="AA211" s="133">
        <f t="shared" si="14"/>
        <v>797.26373784230327</v>
      </c>
      <c r="AB211" s="133">
        <f t="shared" si="15"/>
        <v>108.3007917585384</v>
      </c>
      <c r="AC211" s="133">
        <f t="shared" si="16"/>
        <v>57.585429915091929</v>
      </c>
      <c r="AD211" s="29"/>
      <c r="AE211" s="29"/>
      <c r="AF211" s="29"/>
    </row>
    <row r="212" spans="1:32" s="53" customFormat="1" x14ac:dyDescent="0.25">
      <c r="A212" s="46"/>
      <c r="B212" s="80" t="s">
        <v>76</v>
      </c>
      <c r="C212" s="84"/>
      <c r="D212" s="84"/>
      <c r="E212" s="84"/>
      <c r="F212" s="84"/>
      <c r="G212" s="8" t="s">
        <v>373</v>
      </c>
      <c r="H212" s="8" t="s">
        <v>374</v>
      </c>
      <c r="I212" s="8" t="s">
        <v>375</v>
      </c>
      <c r="J212" s="8" t="s">
        <v>376</v>
      </c>
      <c r="K212" s="8">
        <v>43.742550000000001</v>
      </c>
      <c r="L212" s="8">
        <v>-97.307012999999998</v>
      </c>
      <c r="M212" s="8" t="s">
        <v>377</v>
      </c>
      <c r="N212" s="56" t="s">
        <v>378</v>
      </c>
      <c r="O212" s="54" t="s">
        <v>56</v>
      </c>
      <c r="P212" s="54" t="s">
        <v>57</v>
      </c>
      <c r="Q212" s="57">
        <v>340</v>
      </c>
      <c r="R212" s="58">
        <v>44287</v>
      </c>
      <c r="S212" s="58">
        <v>44385</v>
      </c>
      <c r="T212" s="54"/>
      <c r="U212" s="54" t="s">
        <v>145</v>
      </c>
      <c r="V212" s="54">
        <v>501</v>
      </c>
      <c r="W212" s="54">
        <v>157</v>
      </c>
      <c r="X212" s="54">
        <v>101</v>
      </c>
      <c r="Y212" s="136"/>
      <c r="Z212" s="54">
        <v>2</v>
      </c>
      <c r="AA212" s="135">
        <v>797.26373784230327</v>
      </c>
      <c r="AB212" s="135">
        <v>108.3007917585384</v>
      </c>
      <c r="AC212" s="135">
        <v>57.585429915091929</v>
      </c>
      <c r="AD212" s="29"/>
      <c r="AE212" s="29"/>
      <c r="AF212" s="29"/>
    </row>
    <row r="213" spans="1:32" s="28" customFormat="1" x14ac:dyDescent="0.25">
      <c r="A213"/>
      <c r="B213" s="1">
        <v>44440</v>
      </c>
      <c r="C213" s="31">
        <v>0</v>
      </c>
      <c r="D213" s="31">
        <v>1991.71</v>
      </c>
      <c r="E213" s="31">
        <v>2754</v>
      </c>
      <c r="F213" s="31">
        <v>4745.7</v>
      </c>
      <c r="G213" s="20" t="s">
        <v>379</v>
      </c>
      <c r="H213" s="20" t="s">
        <v>380</v>
      </c>
      <c r="I213" s="20" t="s">
        <v>381</v>
      </c>
      <c r="J213" s="20" t="s">
        <v>382</v>
      </c>
      <c r="K213" s="20">
        <v>43.604491000000003</v>
      </c>
      <c r="L213" s="20">
        <v>-98.774021000000005</v>
      </c>
      <c r="M213" s="20" t="s">
        <v>383</v>
      </c>
      <c r="N213" s="4">
        <v>20211012</v>
      </c>
      <c r="O213" t="s">
        <v>56</v>
      </c>
      <c r="P213" t="s">
        <v>57</v>
      </c>
      <c r="Q213" s="5">
        <v>340</v>
      </c>
      <c r="R213" s="1">
        <v>44317</v>
      </c>
      <c r="S213" s="1">
        <v>44502</v>
      </c>
      <c r="T213"/>
      <c r="U213" t="s">
        <v>145</v>
      </c>
      <c r="V213">
        <v>88</v>
      </c>
      <c r="W213">
        <v>27</v>
      </c>
      <c r="X213">
        <v>16</v>
      </c>
      <c r="Z213">
        <v>2</v>
      </c>
      <c r="AA213" s="123">
        <v>239.17912135269097</v>
      </c>
      <c r="AB213" s="123">
        <v>67.542429268765872</v>
      </c>
      <c r="AC213" s="123">
        <v>41.132449939351382</v>
      </c>
      <c r="AD213" s="29"/>
      <c r="AE213" s="29"/>
      <c r="AF213" s="29"/>
    </row>
    <row r="214" spans="1:32" s="28" customFormat="1" x14ac:dyDescent="0.25">
      <c r="A214"/>
      <c r="B214" s="11"/>
      <c r="C214" s="32"/>
      <c r="D214" s="32"/>
      <c r="E214" s="32"/>
      <c r="F214" s="32"/>
      <c r="G214" s="8" t="s">
        <v>379</v>
      </c>
      <c r="H214" s="8" t="s">
        <v>380</v>
      </c>
      <c r="I214" s="8" t="s">
        <v>381</v>
      </c>
      <c r="J214" s="8" t="s">
        <v>382</v>
      </c>
      <c r="K214" s="8">
        <v>43.597665999999997</v>
      </c>
      <c r="L214" s="8">
        <v>-98.764962999999995</v>
      </c>
      <c r="M214" s="8" t="s">
        <v>383</v>
      </c>
      <c r="N214" s="10">
        <v>20211012</v>
      </c>
      <c r="O214" s="11" t="s">
        <v>56</v>
      </c>
      <c r="P214" s="11" t="s">
        <v>57</v>
      </c>
      <c r="Q214" s="12">
        <v>340</v>
      </c>
      <c r="R214" s="13">
        <v>44424</v>
      </c>
      <c r="S214" s="13">
        <v>44494</v>
      </c>
      <c r="T214" s="11"/>
      <c r="U214" s="11" t="s">
        <v>145</v>
      </c>
      <c r="V214" s="11">
        <v>195</v>
      </c>
      <c r="W214" s="11">
        <v>58</v>
      </c>
      <c r="X214" s="11">
        <v>35</v>
      </c>
      <c r="Z214">
        <v>2</v>
      </c>
      <c r="AA214" s="124">
        <f t="shared" ref="AA214:AA259" si="18">V214*$AD$1</f>
        <v>239.17912135269097</v>
      </c>
      <c r="AB214" s="124">
        <f t="shared" ref="AB214:AB259" si="19">W214*$AE$1</f>
        <v>67.542429268765872</v>
      </c>
      <c r="AC214" s="124">
        <f t="shared" ref="AC214:AC259" si="20">X214*$AF$1</f>
        <v>41.132449939351382</v>
      </c>
      <c r="AD214" s="29"/>
      <c r="AE214" s="29"/>
      <c r="AF214" s="29"/>
    </row>
    <row r="215" spans="1:32" x14ac:dyDescent="0.25">
      <c r="B215" s="13">
        <v>44767</v>
      </c>
      <c r="C215" s="32">
        <v>0</v>
      </c>
      <c r="D215" s="32">
        <v>8307.73</v>
      </c>
      <c r="E215" s="32">
        <v>8307.73</v>
      </c>
      <c r="F215" s="32">
        <v>16615.46</v>
      </c>
      <c r="G215" s="30" t="s">
        <v>379</v>
      </c>
      <c r="H215" s="30" t="s">
        <v>126</v>
      </c>
      <c r="I215" s="30" t="s">
        <v>381</v>
      </c>
      <c r="J215" s="30" t="s">
        <v>69</v>
      </c>
      <c r="K215" s="30">
        <v>43.748218999999999</v>
      </c>
      <c r="L215" s="30">
        <v>-97.990437</v>
      </c>
      <c r="M215" s="30" t="s">
        <v>189</v>
      </c>
      <c r="N215" s="25" t="s">
        <v>384</v>
      </c>
      <c r="O215" s="24" t="s">
        <v>75</v>
      </c>
      <c r="P215" s="24" t="s">
        <v>304</v>
      </c>
      <c r="Q215" s="26">
        <v>516</v>
      </c>
      <c r="R215" s="27">
        <v>44502</v>
      </c>
      <c r="S215" s="27">
        <v>44793</v>
      </c>
      <c r="T215" s="24">
        <v>301</v>
      </c>
      <c r="U215" s="24"/>
      <c r="V215" s="24">
        <v>483.3</v>
      </c>
      <c r="W215" s="24">
        <v>67.7</v>
      </c>
      <c r="X215" s="24">
        <v>23.4</v>
      </c>
      <c r="Y215" s="129" t="s">
        <v>385</v>
      </c>
      <c r="Z215" s="24">
        <v>2</v>
      </c>
      <c r="AA215" s="130">
        <f t="shared" si="18"/>
        <v>592.79625307566948</v>
      </c>
      <c r="AB215" s="130">
        <f t="shared" si="19"/>
        <v>78.838318301645685</v>
      </c>
      <c r="AC215" s="130">
        <f t="shared" si="20"/>
        <v>27.49998081659492</v>
      </c>
    </row>
    <row r="216" spans="1:32" s="46" customFormat="1" x14ac:dyDescent="0.25">
      <c r="B216" s="46" t="s">
        <v>76</v>
      </c>
      <c r="C216" s="47"/>
      <c r="D216" s="47"/>
      <c r="E216" s="47"/>
      <c r="F216" s="47"/>
      <c r="G216" s="48" t="s">
        <v>386</v>
      </c>
      <c r="H216" s="48" t="s">
        <v>387</v>
      </c>
      <c r="I216" s="48" t="s">
        <v>388</v>
      </c>
      <c r="J216" s="48" t="s">
        <v>291</v>
      </c>
      <c r="K216" s="48">
        <v>44.599328999999997</v>
      </c>
      <c r="L216" s="48">
        <v>-97.118268999999998</v>
      </c>
      <c r="M216" s="48" t="s">
        <v>128</v>
      </c>
      <c r="N216" s="50" t="s">
        <v>378</v>
      </c>
      <c r="O216" s="46" t="s">
        <v>83</v>
      </c>
      <c r="P216" s="46" t="s">
        <v>84</v>
      </c>
      <c r="Q216" s="51">
        <v>328</v>
      </c>
      <c r="R216" s="52">
        <v>44287</v>
      </c>
      <c r="S216" s="52">
        <v>44409</v>
      </c>
      <c r="U216" s="46" t="s">
        <v>145</v>
      </c>
      <c r="Y216" s="53"/>
      <c r="Z216" s="46">
        <v>2</v>
      </c>
      <c r="AA216" s="123">
        <v>445.24113359500933</v>
      </c>
      <c r="AB216" s="123">
        <v>71.036003196460669</v>
      </c>
      <c r="AC216" s="123">
        <v>42.30766279476142</v>
      </c>
      <c r="AD216" s="38"/>
      <c r="AE216" s="38"/>
      <c r="AF216" s="38"/>
    </row>
    <row r="217" spans="1:32" s="46" customFormat="1" x14ac:dyDescent="0.25">
      <c r="B217" s="38" t="s">
        <v>76</v>
      </c>
      <c r="C217" s="82"/>
      <c r="D217" s="82"/>
      <c r="E217" s="82"/>
      <c r="F217" s="82"/>
      <c r="G217" s="6" t="s">
        <v>386</v>
      </c>
      <c r="H217" s="6" t="s">
        <v>387</v>
      </c>
      <c r="I217" s="6" t="s">
        <v>388</v>
      </c>
      <c r="J217" s="6" t="s">
        <v>291</v>
      </c>
      <c r="K217" s="6">
        <v>44.599328999999997</v>
      </c>
      <c r="L217" s="6">
        <v>-97.118268999999998</v>
      </c>
      <c r="M217" s="6" t="s">
        <v>128</v>
      </c>
      <c r="N217" s="50" t="s">
        <v>378</v>
      </c>
      <c r="O217" s="46" t="s">
        <v>54</v>
      </c>
      <c r="P217" s="46" t="s">
        <v>55</v>
      </c>
      <c r="Q217" s="51">
        <v>329</v>
      </c>
      <c r="R217" s="52">
        <v>44287</v>
      </c>
      <c r="S217" s="52">
        <v>44409</v>
      </c>
      <c r="U217" s="46" t="s">
        <v>145</v>
      </c>
      <c r="V217" s="46">
        <v>363</v>
      </c>
      <c r="W217" s="46">
        <v>61</v>
      </c>
      <c r="X217" s="46">
        <v>36</v>
      </c>
      <c r="Y217" s="53"/>
      <c r="Z217" s="46">
        <v>2</v>
      </c>
      <c r="AA217" s="124">
        <f t="shared" si="18"/>
        <v>445.24113359500933</v>
      </c>
      <c r="AB217" s="124">
        <f t="shared" si="19"/>
        <v>71.036003196460669</v>
      </c>
      <c r="AC217" s="124">
        <f t="shared" si="20"/>
        <v>42.30766279476142</v>
      </c>
      <c r="AD217" s="38"/>
      <c r="AE217" s="38"/>
      <c r="AF217" s="38"/>
    </row>
    <row r="218" spans="1:32" s="46" customFormat="1" x14ac:dyDescent="0.25">
      <c r="B218" s="39" t="s">
        <v>76</v>
      </c>
      <c r="C218" s="84"/>
      <c r="D218" s="84"/>
      <c r="E218" s="84"/>
      <c r="F218" s="84"/>
      <c r="G218" s="8" t="s">
        <v>386</v>
      </c>
      <c r="H218" s="8" t="s">
        <v>387</v>
      </c>
      <c r="I218" s="8" t="s">
        <v>388</v>
      </c>
      <c r="J218" s="8" t="s">
        <v>291</v>
      </c>
      <c r="K218" s="8">
        <v>44.599328999999997</v>
      </c>
      <c r="L218" s="8">
        <v>-97.118268999999998</v>
      </c>
      <c r="M218" s="8" t="s">
        <v>128</v>
      </c>
      <c r="N218" s="56" t="s">
        <v>378</v>
      </c>
      <c r="O218" s="54" t="s">
        <v>56</v>
      </c>
      <c r="P218" s="54" t="s">
        <v>57</v>
      </c>
      <c r="Q218" s="57">
        <v>340</v>
      </c>
      <c r="R218" s="58">
        <v>44287</v>
      </c>
      <c r="S218" s="58">
        <v>44409</v>
      </c>
      <c r="T218" s="54"/>
      <c r="U218" s="54" t="s">
        <v>145</v>
      </c>
      <c r="V218" s="54">
        <v>154</v>
      </c>
      <c r="W218" s="54">
        <v>49</v>
      </c>
      <c r="X218" s="54">
        <v>33</v>
      </c>
      <c r="Y218" s="53"/>
      <c r="Z218" s="46">
        <v>2</v>
      </c>
      <c r="AA218" s="124">
        <v>445.24113359500933</v>
      </c>
      <c r="AB218" s="124">
        <v>71.036003196460669</v>
      </c>
      <c r="AC218" s="124">
        <v>42.30766279476142</v>
      </c>
      <c r="AD218" s="38"/>
      <c r="AE218" s="38"/>
      <c r="AF218" s="38"/>
    </row>
    <row r="219" spans="1:32" x14ac:dyDescent="0.25">
      <c r="G219" s="20" t="s">
        <v>389</v>
      </c>
      <c r="H219" s="20" t="s">
        <v>390</v>
      </c>
      <c r="I219" s="20" t="s">
        <v>391</v>
      </c>
      <c r="J219" s="20" t="s">
        <v>257</v>
      </c>
      <c r="K219" s="20">
        <v>44.031689</v>
      </c>
      <c r="L219" s="20">
        <v>-96.724134000000006</v>
      </c>
      <c r="M219" s="20" t="s">
        <v>258</v>
      </c>
      <c r="N219" s="4" t="s">
        <v>392</v>
      </c>
      <c r="O219" t="s">
        <v>54</v>
      </c>
      <c r="P219" t="s">
        <v>55</v>
      </c>
      <c r="Q219" s="5">
        <v>329</v>
      </c>
      <c r="R219" s="1">
        <v>44682</v>
      </c>
      <c r="S219" s="1">
        <v>44875</v>
      </c>
      <c r="T219">
        <v>184</v>
      </c>
      <c r="V219">
        <v>472</v>
      </c>
      <c r="W219">
        <v>84</v>
      </c>
      <c r="X219">
        <v>52</v>
      </c>
      <c r="Y219" s="132"/>
      <c r="Z219" s="14">
        <v>2</v>
      </c>
      <c r="AA219" s="133">
        <v>1103.9036370124199</v>
      </c>
      <c r="AB219" s="133">
        <v>321.40880134792036</v>
      </c>
      <c r="AC219" s="133">
        <v>211.53831397380708</v>
      </c>
    </row>
    <row r="220" spans="1:32" x14ac:dyDescent="0.25">
      <c r="B220" s="1">
        <v>44854</v>
      </c>
      <c r="C220" s="31">
        <v>2281</v>
      </c>
      <c r="D220" s="31">
        <v>0</v>
      </c>
      <c r="E220" s="31">
        <v>2930.2</v>
      </c>
      <c r="F220" s="31">
        <v>5211.2</v>
      </c>
      <c r="G220" s="6" t="s">
        <v>389</v>
      </c>
      <c r="H220" s="6" t="s">
        <v>390</v>
      </c>
      <c r="I220" s="6" t="s">
        <v>391</v>
      </c>
      <c r="J220" s="6" t="s">
        <v>257</v>
      </c>
      <c r="K220" s="6">
        <v>44.031689</v>
      </c>
      <c r="L220" s="6">
        <v>-96.724134000000006</v>
      </c>
      <c r="M220" s="6" t="s">
        <v>258</v>
      </c>
      <c r="N220" s="4" t="s">
        <v>392</v>
      </c>
      <c r="O220" t="s">
        <v>56</v>
      </c>
      <c r="P220" t="s">
        <v>57</v>
      </c>
      <c r="Q220" s="5">
        <v>340</v>
      </c>
      <c r="R220" s="1">
        <v>44743</v>
      </c>
      <c r="S220" s="1">
        <v>44887</v>
      </c>
      <c r="T220">
        <v>184</v>
      </c>
      <c r="V220">
        <v>900</v>
      </c>
      <c r="W220">
        <v>276</v>
      </c>
      <c r="X220">
        <v>180</v>
      </c>
      <c r="Z220">
        <v>2</v>
      </c>
      <c r="AA220" s="124">
        <f t="shared" si="18"/>
        <v>1103.9036370124199</v>
      </c>
      <c r="AB220" s="124">
        <f t="shared" si="19"/>
        <v>321.40880134792036</v>
      </c>
      <c r="AC220" s="124">
        <f t="shared" si="20"/>
        <v>211.53831397380708</v>
      </c>
    </row>
    <row r="221" spans="1:32" x14ac:dyDescent="0.25">
      <c r="B221" s="11"/>
      <c r="C221" s="32"/>
      <c r="D221" s="32"/>
      <c r="E221" s="32"/>
      <c r="F221" s="32"/>
      <c r="G221" s="8" t="s">
        <v>389</v>
      </c>
      <c r="H221" s="8" t="s">
        <v>390</v>
      </c>
      <c r="I221" s="8" t="s">
        <v>391</v>
      </c>
      <c r="J221" s="8" t="s">
        <v>257</v>
      </c>
      <c r="K221" s="8">
        <v>44.031689</v>
      </c>
      <c r="L221" s="8">
        <v>-96.724134000000006</v>
      </c>
      <c r="M221" s="8" t="s">
        <v>258</v>
      </c>
      <c r="N221" s="10" t="s">
        <v>392</v>
      </c>
      <c r="O221" s="11" t="s">
        <v>105</v>
      </c>
      <c r="P221" s="11" t="s">
        <v>741</v>
      </c>
      <c r="Q221" s="12">
        <v>528</v>
      </c>
      <c r="R221" s="13">
        <v>44682</v>
      </c>
      <c r="S221" s="13">
        <v>44875</v>
      </c>
      <c r="T221" s="11">
        <v>184</v>
      </c>
      <c r="U221" s="11"/>
      <c r="V221" s="11"/>
      <c r="W221" s="11"/>
      <c r="X221" s="11"/>
      <c r="Y221" s="36"/>
      <c r="Z221" s="11">
        <v>2</v>
      </c>
      <c r="AA221" s="135">
        <v>1103.9036370124199</v>
      </c>
      <c r="AB221" s="135">
        <v>321.40880134792036</v>
      </c>
      <c r="AC221" s="135">
        <v>211.53831397380708</v>
      </c>
    </row>
    <row r="222" spans="1:32" x14ac:dyDescent="0.25">
      <c r="G222" s="20" t="s">
        <v>393</v>
      </c>
      <c r="H222" s="20" t="s">
        <v>195</v>
      </c>
      <c r="I222" s="20" t="s">
        <v>394</v>
      </c>
      <c r="J222" s="20" t="s">
        <v>395</v>
      </c>
      <c r="K222" s="20">
        <v>45.548445999999998</v>
      </c>
      <c r="L222" s="20">
        <v>-97.105709000000004</v>
      </c>
      <c r="M222" s="20" t="s">
        <v>396</v>
      </c>
      <c r="N222" s="4">
        <v>202210</v>
      </c>
      <c r="O222" t="s">
        <v>54</v>
      </c>
      <c r="P222" t="s">
        <v>55</v>
      </c>
      <c r="Q222" s="5">
        <v>329</v>
      </c>
      <c r="R222" s="1">
        <v>44682</v>
      </c>
      <c r="S222" s="1">
        <v>44845</v>
      </c>
      <c r="T222">
        <v>160</v>
      </c>
      <c r="V222">
        <v>301</v>
      </c>
      <c r="W222">
        <v>65</v>
      </c>
      <c r="X222">
        <v>44</v>
      </c>
      <c r="Z222">
        <v>2</v>
      </c>
      <c r="AA222" s="123">
        <v>883.12290960993596</v>
      </c>
      <c r="AB222" s="123">
        <v>281.81496350071279</v>
      </c>
      <c r="AC222" s="123">
        <v>200.96139827511675</v>
      </c>
    </row>
    <row r="223" spans="1:32" x14ac:dyDescent="0.25">
      <c r="B223" s="13">
        <v>44805</v>
      </c>
      <c r="C223" s="32">
        <v>4000</v>
      </c>
      <c r="D223" s="32">
        <v>0</v>
      </c>
      <c r="E223" s="32">
        <v>4109.88</v>
      </c>
      <c r="F223" s="32">
        <v>8106.88</v>
      </c>
      <c r="G223" s="8" t="s">
        <v>393</v>
      </c>
      <c r="H223" s="8" t="s">
        <v>195</v>
      </c>
      <c r="I223" s="8" t="s">
        <v>394</v>
      </c>
      <c r="J223" s="8" t="s">
        <v>395</v>
      </c>
      <c r="K223" s="8">
        <v>45.548445999999998</v>
      </c>
      <c r="L223" s="8">
        <v>-97.105709000000004</v>
      </c>
      <c r="M223" s="8" t="s">
        <v>396</v>
      </c>
      <c r="N223" s="10">
        <v>202210</v>
      </c>
      <c r="O223" s="11" t="s">
        <v>56</v>
      </c>
      <c r="P223" s="11" t="s">
        <v>57</v>
      </c>
      <c r="Q223" s="12">
        <v>340</v>
      </c>
      <c r="R223" s="13">
        <v>44652</v>
      </c>
      <c r="S223" s="13">
        <v>44823</v>
      </c>
      <c r="T223" s="11">
        <v>160</v>
      </c>
      <c r="U223" s="11"/>
      <c r="V223" s="11">
        <v>720</v>
      </c>
      <c r="W223" s="11">
        <v>242</v>
      </c>
      <c r="X223" s="11">
        <v>171</v>
      </c>
      <c r="Z223">
        <v>2</v>
      </c>
      <c r="AA223" s="124">
        <f t="shared" si="18"/>
        <v>883.12290960993596</v>
      </c>
      <c r="AB223" s="124">
        <f t="shared" si="19"/>
        <v>281.81496350071279</v>
      </c>
      <c r="AC223" s="124">
        <f t="shared" si="20"/>
        <v>200.96139827511675</v>
      </c>
    </row>
    <row r="224" spans="1:32" x14ac:dyDescent="0.25">
      <c r="G224" s="20" t="s">
        <v>397</v>
      </c>
      <c r="H224" s="20" t="s">
        <v>398</v>
      </c>
      <c r="I224" s="20" t="s">
        <v>399</v>
      </c>
      <c r="J224" s="20" t="s">
        <v>302</v>
      </c>
      <c r="K224" s="20">
        <v>45.206733</v>
      </c>
      <c r="L224" s="20">
        <v>-96.834397999999993</v>
      </c>
      <c r="M224" s="20" t="s">
        <v>400</v>
      </c>
      <c r="N224" s="4">
        <v>202205</v>
      </c>
      <c r="O224" t="s">
        <v>54</v>
      </c>
      <c r="P224" t="s">
        <v>55</v>
      </c>
      <c r="Q224" s="5">
        <v>329</v>
      </c>
      <c r="R224" s="1">
        <v>44774</v>
      </c>
      <c r="S224" s="1">
        <v>45139</v>
      </c>
      <c r="T224">
        <v>27</v>
      </c>
      <c r="V224">
        <v>118</v>
      </c>
      <c r="W224">
        <v>39</v>
      </c>
      <c r="X224">
        <v>27</v>
      </c>
      <c r="Y224" s="132"/>
      <c r="Z224" s="14">
        <v>2</v>
      </c>
      <c r="AA224" s="133">
        <f t="shared" si="18"/>
        <v>144.73403240829506</v>
      </c>
      <c r="AB224" s="133">
        <f t="shared" si="19"/>
        <v>45.416461060032226</v>
      </c>
      <c r="AC224" s="133">
        <f t="shared" si="20"/>
        <v>31.730747096071063</v>
      </c>
    </row>
    <row r="225" spans="1:32" x14ac:dyDescent="0.25">
      <c r="B225" s="13">
        <v>44865</v>
      </c>
      <c r="C225" s="32">
        <v>545.4</v>
      </c>
      <c r="D225" s="32">
        <v>0</v>
      </c>
      <c r="E225" s="32">
        <v>545.4</v>
      </c>
      <c r="F225" s="32">
        <v>1090.8</v>
      </c>
      <c r="G225" s="8" t="s">
        <v>397</v>
      </c>
      <c r="H225" s="8" t="s">
        <v>398</v>
      </c>
      <c r="I225" s="8" t="s">
        <v>399</v>
      </c>
      <c r="J225" s="8" t="s">
        <v>302</v>
      </c>
      <c r="K225" s="8">
        <v>45.206733</v>
      </c>
      <c r="L225" s="8">
        <v>-96.834397999999993</v>
      </c>
      <c r="M225" s="8" t="s">
        <v>400</v>
      </c>
      <c r="N225" s="10">
        <v>202205</v>
      </c>
      <c r="O225" s="11" t="s">
        <v>56</v>
      </c>
      <c r="P225" s="11" t="s">
        <v>57</v>
      </c>
      <c r="Q225" s="12">
        <v>340</v>
      </c>
      <c r="R225" s="13">
        <v>44718</v>
      </c>
      <c r="S225" s="13">
        <v>44885</v>
      </c>
      <c r="T225" s="11">
        <v>27</v>
      </c>
      <c r="U225" s="11"/>
      <c r="V225" s="11">
        <v>54</v>
      </c>
      <c r="W225" s="11">
        <v>12</v>
      </c>
      <c r="X225" s="11">
        <v>8</v>
      </c>
      <c r="Y225" s="36"/>
      <c r="Z225" s="11">
        <v>2</v>
      </c>
      <c r="AA225" s="135">
        <v>144.73403240829506</v>
      </c>
      <c r="AB225" s="135">
        <v>45.416461060032226</v>
      </c>
      <c r="AC225" s="135">
        <v>31.730747096071063</v>
      </c>
    </row>
    <row r="226" spans="1:32" x14ac:dyDescent="0.25">
      <c r="G226" s="20" t="s">
        <v>397</v>
      </c>
      <c r="H226" s="20" t="s">
        <v>401</v>
      </c>
      <c r="I226" s="20" t="s">
        <v>402</v>
      </c>
      <c r="J226" s="20" t="s">
        <v>302</v>
      </c>
      <c r="K226" s="20">
        <v>45.192798000000003</v>
      </c>
      <c r="L226" s="20">
        <v>-96.825912000000002</v>
      </c>
      <c r="M226" s="20" t="s">
        <v>400</v>
      </c>
      <c r="N226" s="4">
        <v>2021200</v>
      </c>
      <c r="O226" t="s">
        <v>54</v>
      </c>
      <c r="P226" t="s">
        <v>55</v>
      </c>
      <c r="Q226" s="5">
        <v>329</v>
      </c>
      <c r="R226" s="1">
        <v>44440</v>
      </c>
      <c r="S226" s="1">
        <v>44498</v>
      </c>
      <c r="T226">
        <v>210</v>
      </c>
      <c r="V226">
        <v>309</v>
      </c>
      <c r="W226">
        <v>82</v>
      </c>
      <c r="X226">
        <v>52</v>
      </c>
      <c r="Z226">
        <v>2</v>
      </c>
      <c r="AA226" s="123">
        <v>726.12328123483621</v>
      </c>
      <c r="AB226" s="123">
        <v>220.09515744477156</v>
      </c>
      <c r="AC226" s="123">
        <v>146.90160692625491</v>
      </c>
    </row>
    <row r="227" spans="1:32" x14ac:dyDescent="0.25">
      <c r="B227" s="1">
        <v>44508</v>
      </c>
      <c r="C227" s="31">
        <v>2041.21</v>
      </c>
      <c r="D227" s="31">
        <v>0</v>
      </c>
      <c r="E227" s="31">
        <v>1360.8</v>
      </c>
      <c r="F227" s="31">
        <v>3402.01</v>
      </c>
      <c r="G227" s="6" t="s">
        <v>397</v>
      </c>
      <c r="H227" s="6" t="s">
        <v>401</v>
      </c>
      <c r="I227" s="6" t="s">
        <v>402</v>
      </c>
      <c r="J227" s="6" t="s">
        <v>302</v>
      </c>
      <c r="K227" s="6">
        <v>45.210529999999999</v>
      </c>
      <c r="L227" s="6">
        <v>-96.831704000000002</v>
      </c>
      <c r="M227" s="6" t="s">
        <v>400</v>
      </c>
      <c r="N227" s="4">
        <v>2021200</v>
      </c>
      <c r="O227" t="s">
        <v>56</v>
      </c>
      <c r="P227" t="s">
        <v>57</v>
      </c>
      <c r="Q227" s="5">
        <v>340</v>
      </c>
      <c r="R227" s="1">
        <v>44470</v>
      </c>
      <c r="S227" s="1">
        <v>44487</v>
      </c>
      <c r="T227">
        <v>187</v>
      </c>
      <c r="V227">
        <v>592</v>
      </c>
      <c r="W227">
        <v>189</v>
      </c>
      <c r="X227">
        <v>125</v>
      </c>
      <c r="Z227">
        <v>2</v>
      </c>
      <c r="AA227" s="124">
        <f t="shared" si="18"/>
        <v>726.12328123483621</v>
      </c>
      <c r="AB227" s="124">
        <f t="shared" si="19"/>
        <v>220.09515744477156</v>
      </c>
      <c r="AC227" s="124">
        <f t="shared" si="20"/>
        <v>146.90160692625491</v>
      </c>
    </row>
    <row r="228" spans="1:32" s="28" customFormat="1" x14ac:dyDescent="0.25">
      <c r="A228"/>
      <c r="B228"/>
      <c r="C228" s="31"/>
      <c r="D228" s="31"/>
      <c r="E228" s="31"/>
      <c r="F228" s="31"/>
      <c r="G228" s="6" t="s">
        <v>397</v>
      </c>
      <c r="H228" s="6" t="s">
        <v>401</v>
      </c>
      <c r="I228" s="6" t="s">
        <v>402</v>
      </c>
      <c r="J228" s="6" t="s">
        <v>302</v>
      </c>
      <c r="K228" s="6">
        <v>45.192798000000003</v>
      </c>
      <c r="L228" s="6">
        <v>-96.825912000000002</v>
      </c>
      <c r="M228" s="6" t="s">
        <v>400</v>
      </c>
      <c r="N228" s="4">
        <v>2021200</v>
      </c>
      <c r="O228" t="s">
        <v>105</v>
      </c>
      <c r="P228" s="11" t="s">
        <v>741</v>
      </c>
      <c r="Q228" s="12">
        <v>528</v>
      </c>
      <c r="R228" s="1">
        <v>44287</v>
      </c>
      <c r="S228" s="1">
        <v>44348</v>
      </c>
      <c r="T228">
        <v>210</v>
      </c>
      <c r="U228"/>
      <c r="V228"/>
      <c r="W228"/>
      <c r="X228"/>
      <c r="Z228">
        <v>2</v>
      </c>
      <c r="AA228" s="124">
        <v>726.12328123483621</v>
      </c>
      <c r="AB228" s="124">
        <v>220.09515744477156</v>
      </c>
      <c r="AC228" s="124">
        <v>146.90160692625491</v>
      </c>
      <c r="AD228" s="29"/>
      <c r="AE228" s="29"/>
      <c r="AF228" s="29"/>
    </row>
    <row r="229" spans="1:32" s="28" customFormat="1" x14ac:dyDescent="0.25">
      <c r="A229"/>
      <c r="B229"/>
      <c r="C229" s="31"/>
      <c r="D229" s="31"/>
      <c r="E229" s="31"/>
      <c r="F229" s="31"/>
      <c r="G229" s="6" t="s">
        <v>397</v>
      </c>
      <c r="H229" s="6" t="s">
        <v>401</v>
      </c>
      <c r="I229" s="6" t="s">
        <v>402</v>
      </c>
      <c r="J229" s="6" t="s">
        <v>302</v>
      </c>
      <c r="K229" s="6">
        <v>45.180712</v>
      </c>
      <c r="L229" s="6">
        <v>-96.826802000000001</v>
      </c>
      <c r="M229" s="6" t="s">
        <v>400</v>
      </c>
      <c r="N229" s="4">
        <v>202201</v>
      </c>
      <c r="O229" t="s">
        <v>54</v>
      </c>
      <c r="P229" t="s">
        <v>55</v>
      </c>
      <c r="Q229" s="5">
        <v>329</v>
      </c>
      <c r="R229" s="1">
        <v>44805</v>
      </c>
      <c r="S229" s="1">
        <v>45170</v>
      </c>
      <c r="T229">
        <v>210</v>
      </c>
      <c r="U229"/>
      <c r="V229">
        <v>204</v>
      </c>
      <c r="W229">
        <v>41</v>
      </c>
      <c r="X229">
        <v>27</v>
      </c>
      <c r="Z229">
        <v>2</v>
      </c>
      <c r="AA229" s="123">
        <v>565.44397406969506</v>
      </c>
      <c r="AB229" s="123">
        <v>177.00774566986919</v>
      </c>
      <c r="AC229" s="123">
        <v>31.730747096071063</v>
      </c>
      <c r="AD229" s="29"/>
      <c r="AE229" s="29"/>
      <c r="AF229" s="29"/>
    </row>
    <row r="230" spans="1:32" s="28" customFormat="1" x14ac:dyDescent="0.25">
      <c r="A230"/>
      <c r="B230" s="13">
        <v>44865</v>
      </c>
      <c r="C230" s="32">
        <v>1918.99</v>
      </c>
      <c r="D230" s="32">
        <v>0</v>
      </c>
      <c r="E230" s="32">
        <v>1918.99</v>
      </c>
      <c r="F230" s="32">
        <v>3837.98</v>
      </c>
      <c r="G230" s="8" t="s">
        <v>397</v>
      </c>
      <c r="H230" s="8" t="s">
        <v>401</v>
      </c>
      <c r="I230" s="8" t="s">
        <v>402</v>
      </c>
      <c r="J230" s="8" t="s">
        <v>302</v>
      </c>
      <c r="K230" s="8">
        <v>45.180712</v>
      </c>
      <c r="L230" s="8">
        <v>-96.826802000000001</v>
      </c>
      <c r="M230" s="8" t="s">
        <v>400</v>
      </c>
      <c r="N230" s="10">
        <v>202201</v>
      </c>
      <c r="O230" s="11" t="s">
        <v>56</v>
      </c>
      <c r="P230" s="11" t="s">
        <v>57</v>
      </c>
      <c r="Q230" s="12">
        <v>340</v>
      </c>
      <c r="R230" s="13">
        <v>44805</v>
      </c>
      <c r="S230" s="13">
        <v>45170</v>
      </c>
      <c r="T230" s="11">
        <v>187</v>
      </c>
      <c r="U230" s="11"/>
      <c r="V230" s="11">
        <v>461</v>
      </c>
      <c r="W230" s="11">
        <v>152</v>
      </c>
      <c r="X230" s="11">
        <v>27</v>
      </c>
      <c r="Z230">
        <v>2</v>
      </c>
      <c r="AA230" s="124">
        <f t="shared" si="18"/>
        <v>565.44397406969506</v>
      </c>
      <c r="AB230" s="124">
        <f t="shared" si="19"/>
        <v>177.00774566986919</v>
      </c>
      <c r="AC230" s="124">
        <f t="shared" si="20"/>
        <v>31.730747096071063</v>
      </c>
      <c r="AD230" s="29"/>
      <c r="AE230" s="29"/>
      <c r="AF230" s="29"/>
    </row>
    <row r="231" spans="1:32" s="28" customFormat="1" x14ac:dyDescent="0.25">
      <c r="A231"/>
      <c r="B231"/>
      <c r="C231" s="31"/>
      <c r="D231" s="31"/>
      <c r="E231" s="31"/>
      <c r="F231" s="31"/>
      <c r="G231" s="20" t="s">
        <v>397</v>
      </c>
      <c r="H231" s="20" t="s">
        <v>403</v>
      </c>
      <c r="I231" s="20" t="s">
        <v>404</v>
      </c>
      <c r="J231" s="20" t="s">
        <v>274</v>
      </c>
      <c r="K231" s="20">
        <v>45.191873999999999</v>
      </c>
      <c r="L231" s="20">
        <v>-96.827167000000003</v>
      </c>
      <c r="M231" s="20" t="s">
        <v>400</v>
      </c>
      <c r="N231" s="4" t="s">
        <v>240</v>
      </c>
      <c r="O231" t="s">
        <v>54</v>
      </c>
      <c r="P231" t="s">
        <v>55</v>
      </c>
      <c r="Q231" s="5">
        <v>329</v>
      </c>
      <c r="R231" s="1">
        <v>45017</v>
      </c>
      <c r="S231" s="1">
        <v>45383</v>
      </c>
      <c r="T231">
        <v>101</v>
      </c>
      <c r="U231"/>
      <c r="V231"/>
      <c r="W231"/>
      <c r="X231"/>
      <c r="Y231" s="132"/>
      <c r="Z231" s="14">
        <v>2</v>
      </c>
      <c r="AA231" s="133"/>
      <c r="AB231" s="133"/>
      <c r="AC231" s="133"/>
      <c r="AD231" s="29"/>
      <c r="AE231" s="29"/>
      <c r="AF231" s="29"/>
    </row>
    <row r="232" spans="1:32" s="28" customFormat="1" x14ac:dyDescent="0.25">
      <c r="A232"/>
      <c r="B232" s="13">
        <v>44865</v>
      </c>
      <c r="C232" s="32">
        <v>2025.42</v>
      </c>
      <c r="D232" s="32">
        <v>0</v>
      </c>
      <c r="E232" s="32">
        <v>2025.44</v>
      </c>
      <c r="F232" s="32">
        <v>4050.86</v>
      </c>
      <c r="G232" s="8" t="s">
        <v>397</v>
      </c>
      <c r="H232" s="8" t="s">
        <v>403</v>
      </c>
      <c r="I232" s="8" t="s">
        <v>404</v>
      </c>
      <c r="J232" s="8" t="s">
        <v>274</v>
      </c>
      <c r="K232" s="8">
        <v>45.175505000000001</v>
      </c>
      <c r="L232" s="8">
        <v>-96.798634000000007</v>
      </c>
      <c r="M232" s="8" t="s">
        <v>400</v>
      </c>
      <c r="N232" s="10" t="s">
        <v>240</v>
      </c>
      <c r="O232" s="11" t="s">
        <v>56</v>
      </c>
      <c r="P232" s="11" t="s">
        <v>57</v>
      </c>
      <c r="Q232" s="12">
        <v>340</v>
      </c>
      <c r="R232" s="13">
        <v>44805</v>
      </c>
      <c r="S232" s="13">
        <v>45153</v>
      </c>
      <c r="T232" s="11">
        <v>101</v>
      </c>
      <c r="U232" s="11"/>
      <c r="V232" s="11"/>
      <c r="W232" s="11"/>
      <c r="X232" s="11"/>
      <c r="Y232" s="36"/>
      <c r="Z232" s="11">
        <v>2</v>
      </c>
      <c r="AA232" s="128"/>
      <c r="AB232" s="128"/>
      <c r="AC232" s="128"/>
      <c r="AD232" s="29"/>
      <c r="AE232" s="29"/>
      <c r="AF232" s="29"/>
    </row>
    <row r="233" spans="1:32" s="28" customFormat="1" x14ac:dyDescent="0.25">
      <c r="A233"/>
      <c r="B233"/>
      <c r="C233" s="31"/>
      <c r="D233" s="31"/>
      <c r="E233" s="31"/>
      <c r="F233" s="31"/>
      <c r="G233" s="20" t="s">
        <v>405</v>
      </c>
      <c r="H233" s="20" t="s">
        <v>406</v>
      </c>
      <c r="I233" s="20" t="s">
        <v>407</v>
      </c>
      <c r="J233" s="20" t="s">
        <v>408</v>
      </c>
      <c r="K233" s="20">
        <v>45.233482000000002</v>
      </c>
      <c r="L233" s="20">
        <v>-97.999503000000004</v>
      </c>
      <c r="M233" s="20" t="s">
        <v>409</v>
      </c>
      <c r="N233" s="4">
        <v>2022001</v>
      </c>
      <c r="O233" t="s">
        <v>54</v>
      </c>
      <c r="P233" t="s">
        <v>55</v>
      </c>
      <c r="Q233" s="5">
        <v>329</v>
      </c>
      <c r="R233" s="1">
        <v>44317</v>
      </c>
      <c r="S233" s="1">
        <v>44682</v>
      </c>
      <c r="T233">
        <v>440</v>
      </c>
      <c r="U233"/>
      <c r="V233">
        <v>675</v>
      </c>
      <c r="W233">
        <v>130</v>
      </c>
      <c r="X233">
        <v>84</v>
      </c>
      <c r="Z233">
        <v>2</v>
      </c>
      <c r="AA233" s="123">
        <v>1822.6675606671733</v>
      </c>
      <c r="AB233" s="123">
        <v>563.62992700142559</v>
      </c>
      <c r="AC233" s="123">
        <v>385.46981657449294</v>
      </c>
      <c r="AD233" s="29"/>
      <c r="AE233" s="29"/>
      <c r="AF233" s="29"/>
    </row>
    <row r="234" spans="1:32" s="28" customFormat="1" x14ac:dyDescent="0.25">
      <c r="A234"/>
      <c r="B234" s="13">
        <v>44774</v>
      </c>
      <c r="C234" s="32">
        <v>0</v>
      </c>
      <c r="D234" s="32">
        <v>4000</v>
      </c>
      <c r="E234" s="32">
        <v>14422.03</v>
      </c>
      <c r="F234" s="32">
        <v>18422.03</v>
      </c>
      <c r="G234" s="8" t="s">
        <v>405</v>
      </c>
      <c r="H234" s="8" t="s">
        <v>406</v>
      </c>
      <c r="I234" s="8" t="s">
        <v>407</v>
      </c>
      <c r="J234" s="8" t="s">
        <v>408</v>
      </c>
      <c r="K234" s="8">
        <v>45.233482000000002</v>
      </c>
      <c r="L234" s="8">
        <v>-97.999503000000004</v>
      </c>
      <c r="M234" s="8" t="s">
        <v>409</v>
      </c>
      <c r="N234" s="10">
        <v>2022001</v>
      </c>
      <c r="O234" s="11" t="s">
        <v>56</v>
      </c>
      <c r="P234" s="11" t="s">
        <v>57</v>
      </c>
      <c r="Q234" s="12">
        <v>340</v>
      </c>
      <c r="R234" s="13">
        <v>44317</v>
      </c>
      <c r="S234" s="13">
        <v>44440</v>
      </c>
      <c r="T234" s="11">
        <v>440</v>
      </c>
      <c r="U234" s="11"/>
      <c r="V234" s="11">
        <v>1486</v>
      </c>
      <c r="W234" s="11">
        <v>484</v>
      </c>
      <c r="X234" s="11">
        <v>328</v>
      </c>
      <c r="Z234">
        <v>2</v>
      </c>
      <c r="AA234" s="124">
        <f t="shared" si="18"/>
        <v>1822.6675606671733</v>
      </c>
      <c r="AB234" s="124">
        <f t="shared" si="19"/>
        <v>563.62992700142559</v>
      </c>
      <c r="AC234" s="124">
        <f t="shared" si="20"/>
        <v>385.46981657449294</v>
      </c>
      <c r="AD234" s="29"/>
      <c r="AE234" s="29"/>
      <c r="AF234" s="29"/>
    </row>
    <row r="235" spans="1:32" s="28" customFormat="1" x14ac:dyDescent="0.25">
      <c r="A235"/>
      <c r="B235"/>
      <c r="C235" s="31"/>
      <c r="D235" s="31"/>
      <c r="E235" s="31"/>
      <c r="F235" s="31"/>
      <c r="G235" s="20" t="s">
        <v>410</v>
      </c>
      <c r="H235" s="20" t="s">
        <v>331</v>
      </c>
      <c r="I235" s="20" t="s">
        <v>411</v>
      </c>
      <c r="J235" s="20" t="s">
        <v>412</v>
      </c>
      <c r="K235" s="20">
        <v>45.764279000000002</v>
      </c>
      <c r="L235" s="20">
        <v>-98.088162999999994</v>
      </c>
      <c r="M235" s="20" t="s">
        <v>169</v>
      </c>
      <c r="N235" s="4" t="s">
        <v>103</v>
      </c>
      <c r="O235" t="s">
        <v>54</v>
      </c>
      <c r="P235" t="s">
        <v>55</v>
      </c>
      <c r="Q235" s="5">
        <v>329</v>
      </c>
      <c r="R235" s="1">
        <v>45051</v>
      </c>
      <c r="S235" s="1">
        <v>45135</v>
      </c>
      <c r="T235">
        <v>170</v>
      </c>
      <c r="U235"/>
      <c r="V235"/>
      <c r="W235"/>
      <c r="X235"/>
      <c r="Y235" s="132"/>
      <c r="Z235" s="14">
        <v>2</v>
      </c>
      <c r="AA235" s="133">
        <v>528.6471861692811</v>
      </c>
      <c r="AB235" s="133">
        <v>135.08485853753174</v>
      </c>
      <c r="AC235" s="133">
        <v>74.038409890832483</v>
      </c>
      <c r="AD235" s="29"/>
      <c r="AE235" s="29"/>
      <c r="AF235" s="29"/>
    </row>
    <row r="236" spans="1:32" s="28" customFormat="1" x14ac:dyDescent="0.25">
      <c r="A236"/>
      <c r="B236" s="1">
        <v>45141</v>
      </c>
      <c r="C236" s="31">
        <v>4000</v>
      </c>
      <c r="D236" s="31">
        <v>0</v>
      </c>
      <c r="E236" s="31">
        <v>5060.79</v>
      </c>
      <c r="F236" s="31">
        <v>9060.7900000000009</v>
      </c>
      <c r="G236" s="6" t="s">
        <v>410</v>
      </c>
      <c r="H236" s="6" t="s">
        <v>331</v>
      </c>
      <c r="I236" s="6" t="s">
        <v>411</v>
      </c>
      <c r="J236" s="6" t="s">
        <v>412</v>
      </c>
      <c r="K236" s="6">
        <v>45.764279000000002</v>
      </c>
      <c r="L236" s="6">
        <v>-98.088162999999994</v>
      </c>
      <c r="M236" s="6" t="s">
        <v>169</v>
      </c>
      <c r="N236" s="4" t="s">
        <v>103</v>
      </c>
      <c r="O236" t="s">
        <v>56</v>
      </c>
      <c r="P236" t="s">
        <v>57</v>
      </c>
      <c r="Q236" s="5">
        <v>340</v>
      </c>
      <c r="R236" s="1">
        <v>45051</v>
      </c>
      <c r="S236" s="1">
        <v>45141</v>
      </c>
      <c r="T236">
        <v>170</v>
      </c>
      <c r="U236"/>
      <c r="V236">
        <v>431</v>
      </c>
      <c r="W236">
        <v>116</v>
      </c>
      <c r="X236">
        <v>63</v>
      </c>
      <c r="Z236">
        <v>2</v>
      </c>
      <c r="AA236" s="124">
        <f t="shared" si="18"/>
        <v>528.6471861692811</v>
      </c>
      <c r="AB236" s="124">
        <f t="shared" si="19"/>
        <v>135.08485853753174</v>
      </c>
      <c r="AC236" s="124">
        <f t="shared" si="20"/>
        <v>74.038409890832483</v>
      </c>
      <c r="AD236" s="29"/>
      <c r="AE236" s="29"/>
      <c r="AF236" s="29"/>
    </row>
    <row r="237" spans="1:32" s="28" customFormat="1" x14ac:dyDescent="0.25">
      <c r="A237"/>
      <c r="B237" s="11"/>
      <c r="C237" s="32"/>
      <c r="D237" s="32"/>
      <c r="E237" s="32"/>
      <c r="F237" s="32"/>
      <c r="G237" s="8" t="s">
        <v>410</v>
      </c>
      <c r="H237" s="8" t="s">
        <v>331</v>
      </c>
      <c r="I237" s="8" t="s">
        <v>411</v>
      </c>
      <c r="J237" s="8" t="s">
        <v>412</v>
      </c>
      <c r="K237" s="8">
        <v>45.764279000000002</v>
      </c>
      <c r="L237" s="8">
        <v>-98.088162999999994</v>
      </c>
      <c r="M237" s="8" t="s">
        <v>169</v>
      </c>
      <c r="N237" s="10" t="s">
        <v>103</v>
      </c>
      <c r="O237" s="11" t="s">
        <v>105</v>
      </c>
      <c r="P237" s="11" t="s">
        <v>741</v>
      </c>
      <c r="Q237" s="12">
        <v>528</v>
      </c>
      <c r="R237" s="13">
        <v>45047</v>
      </c>
      <c r="S237" s="13">
        <v>45146</v>
      </c>
      <c r="T237" s="11">
        <v>170</v>
      </c>
      <c r="U237" s="11"/>
      <c r="V237" s="11"/>
      <c r="W237" s="11"/>
      <c r="X237" s="11"/>
      <c r="Y237" s="36"/>
      <c r="Z237" s="11">
        <v>2</v>
      </c>
      <c r="AA237" s="135">
        <v>528.6471861692811</v>
      </c>
      <c r="AB237" s="135">
        <v>135.08485853753174</v>
      </c>
      <c r="AC237" s="135">
        <v>74.038409890832483</v>
      </c>
      <c r="AD237" s="29"/>
      <c r="AE237" s="29"/>
      <c r="AF237" s="29"/>
    </row>
    <row r="238" spans="1:32" s="53" customFormat="1" x14ac:dyDescent="0.25">
      <c r="A238" s="46"/>
      <c r="B238" s="46" t="s">
        <v>76</v>
      </c>
      <c r="C238" s="47"/>
      <c r="D238" s="47"/>
      <c r="E238" s="47"/>
      <c r="F238" s="47"/>
      <c r="G238" s="48" t="s">
        <v>413</v>
      </c>
      <c r="H238" s="48" t="s">
        <v>272</v>
      </c>
      <c r="I238" s="48" t="s">
        <v>414</v>
      </c>
      <c r="J238" s="48" t="s">
        <v>415</v>
      </c>
      <c r="K238" s="48">
        <v>43.195866000000002</v>
      </c>
      <c r="L238" s="48">
        <v>-96.731522999999996</v>
      </c>
      <c r="M238" s="48" t="s">
        <v>416</v>
      </c>
      <c r="N238" s="50" t="s">
        <v>417</v>
      </c>
      <c r="O238" s="46" t="s">
        <v>54</v>
      </c>
      <c r="P238" s="46" t="s">
        <v>55</v>
      </c>
      <c r="Q238" s="51">
        <v>329</v>
      </c>
      <c r="R238" s="52">
        <v>44287</v>
      </c>
      <c r="S238" s="52">
        <v>44409</v>
      </c>
      <c r="T238" s="46"/>
      <c r="U238" s="46" t="s">
        <v>145</v>
      </c>
      <c r="V238" s="46">
        <v>239</v>
      </c>
      <c r="W238" s="46">
        <v>46</v>
      </c>
      <c r="X238" s="46">
        <v>29</v>
      </c>
      <c r="Z238" s="46">
        <v>2</v>
      </c>
      <c r="AA238" s="123">
        <v>641.49066906388396</v>
      </c>
      <c r="AB238" s="123">
        <v>250.37279815145973</v>
      </c>
      <c r="AC238" s="123">
        <v>168.05543832363563</v>
      </c>
      <c r="AD238" s="29"/>
      <c r="AE238" s="29"/>
      <c r="AF238" s="29"/>
    </row>
    <row r="239" spans="1:32" s="53" customFormat="1" ht="14.4" thickBot="1" x14ac:dyDescent="0.3">
      <c r="A239" s="46"/>
      <c r="B239" s="81" t="s">
        <v>76</v>
      </c>
      <c r="C239" s="81"/>
      <c r="D239" s="81"/>
      <c r="E239" s="81"/>
      <c r="F239" s="81"/>
      <c r="G239" s="61" t="s">
        <v>413</v>
      </c>
      <c r="H239" s="61" t="s">
        <v>272</v>
      </c>
      <c r="I239" s="61" t="s">
        <v>414</v>
      </c>
      <c r="J239" s="62" t="s">
        <v>415</v>
      </c>
      <c r="K239" s="61">
        <v>43.195866000000002</v>
      </c>
      <c r="L239" s="61">
        <v>-96.731522999999996</v>
      </c>
      <c r="M239" s="61" t="s">
        <v>416</v>
      </c>
      <c r="N239" s="63" t="s">
        <v>417</v>
      </c>
      <c r="O239" s="59" t="s">
        <v>56</v>
      </c>
      <c r="P239" s="59" t="s">
        <v>57</v>
      </c>
      <c r="Q239" s="64">
        <v>340</v>
      </c>
      <c r="R239" s="65">
        <v>44287</v>
      </c>
      <c r="S239" s="65">
        <v>44409</v>
      </c>
      <c r="T239" s="59"/>
      <c r="U239" s="59" t="s">
        <v>145</v>
      </c>
      <c r="V239" s="59">
        <v>523</v>
      </c>
      <c r="W239" s="59">
        <v>215</v>
      </c>
      <c r="X239" s="59">
        <v>143</v>
      </c>
      <c r="Z239" s="46">
        <v>2</v>
      </c>
      <c r="AA239" s="124">
        <f t="shared" si="18"/>
        <v>641.49066906388396</v>
      </c>
      <c r="AB239" s="124">
        <f t="shared" si="19"/>
        <v>250.37279815145973</v>
      </c>
      <c r="AC239" s="124">
        <f t="shared" si="20"/>
        <v>168.05543832363563</v>
      </c>
      <c r="AD239" s="29"/>
      <c r="AE239" s="29"/>
      <c r="AF239" s="29"/>
    </row>
    <row r="240" spans="1:32" s="28" customFormat="1" x14ac:dyDescent="0.25">
      <c r="A240"/>
      <c r="B240"/>
      <c r="C240" s="31"/>
      <c r="D240" s="31"/>
      <c r="E240" s="31"/>
      <c r="F240" s="31"/>
      <c r="G240" s="20" t="s">
        <v>413</v>
      </c>
      <c r="H240" s="20" t="s">
        <v>272</v>
      </c>
      <c r="I240" s="20" t="s">
        <v>414</v>
      </c>
      <c r="J240" s="20" t="s">
        <v>415</v>
      </c>
      <c r="K240" s="20">
        <v>43.108694</v>
      </c>
      <c r="L240" s="20">
        <v>-96.640501999999998</v>
      </c>
      <c r="M240" s="20" t="s">
        <v>418</v>
      </c>
      <c r="N240" s="4" t="s">
        <v>419</v>
      </c>
      <c r="O240" t="s">
        <v>83</v>
      </c>
      <c r="P240" t="s">
        <v>84</v>
      </c>
      <c r="Q240" s="5">
        <v>328</v>
      </c>
      <c r="R240" s="1">
        <v>45413</v>
      </c>
      <c r="S240" s="1">
        <v>45695</v>
      </c>
      <c r="T240">
        <v>99.5</v>
      </c>
      <c r="U240"/>
      <c r="V240"/>
      <c r="W240"/>
      <c r="X240"/>
      <c r="Z240">
        <v>3</v>
      </c>
      <c r="AA240" s="123">
        <v>786.22470147217905</v>
      </c>
      <c r="AB240" s="123">
        <v>241.05660101094028</v>
      </c>
      <c r="AC240" s="123">
        <v>163.35458690199548</v>
      </c>
      <c r="AD240" s="29"/>
      <c r="AE240" s="29"/>
      <c r="AF240" s="29"/>
    </row>
    <row r="241" spans="1:32" s="28" customFormat="1" x14ac:dyDescent="0.25">
      <c r="A241"/>
      <c r="B241"/>
      <c r="C241" s="31"/>
      <c r="D241" s="31"/>
      <c r="E241" s="31"/>
      <c r="F241" s="31"/>
      <c r="G241" s="6" t="s">
        <v>413</v>
      </c>
      <c r="H241" s="6" t="s">
        <v>272</v>
      </c>
      <c r="I241" s="6" t="s">
        <v>414</v>
      </c>
      <c r="J241" s="6" t="s">
        <v>415</v>
      </c>
      <c r="K241" s="6">
        <v>43.108694</v>
      </c>
      <c r="L241" s="6">
        <v>-96.640501999999998</v>
      </c>
      <c r="M241" s="6" t="s">
        <v>418</v>
      </c>
      <c r="N241" s="4" t="s">
        <v>419</v>
      </c>
      <c r="O241" t="s">
        <v>54</v>
      </c>
      <c r="P241" t="s">
        <v>55</v>
      </c>
      <c r="Q241" s="5">
        <v>329</v>
      </c>
      <c r="R241" s="1">
        <v>45413</v>
      </c>
      <c r="S241" s="1">
        <v>45695</v>
      </c>
      <c r="T241">
        <v>99.5</v>
      </c>
      <c r="U241"/>
      <c r="V241">
        <v>296</v>
      </c>
      <c r="W241">
        <v>56</v>
      </c>
      <c r="X241">
        <v>36</v>
      </c>
      <c r="Z241">
        <v>3</v>
      </c>
      <c r="AA241" s="124">
        <v>786.22470147217905</v>
      </c>
      <c r="AB241" s="124">
        <v>241.05660101094028</v>
      </c>
      <c r="AC241" s="124">
        <v>163.35458690199548</v>
      </c>
      <c r="AD241" s="29"/>
      <c r="AE241" s="29"/>
      <c r="AF241" s="29"/>
    </row>
    <row r="242" spans="1:32" s="28" customFormat="1" x14ac:dyDescent="0.25">
      <c r="A242"/>
      <c r="B242" s="13">
        <v>45422</v>
      </c>
      <c r="C242" s="32">
        <v>7732.73</v>
      </c>
      <c r="D242" s="32"/>
      <c r="E242" s="32">
        <v>7732.73</v>
      </c>
      <c r="F242" s="32">
        <v>15465.46</v>
      </c>
      <c r="G242" s="8" t="s">
        <v>413</v>
      </c>
      <c r="H242" s="8" t="s">
        <v>272</v>
      </c>
      <c r="I242" s="8" t="s">
        <v>414</v>
      </c>
      <c r="J242" s="8" t="s">
        <v>415</v>
      </c>
      <c r="K242" s="8">
        <v>43.108694</v>
      </c>
      <c r="L242" s="8">
        <v>-96.640501999999998</v>
      </c>
      <c r="M242" s="8" t="s">
        <v>418</v>
      </c>
      <c r="N242" s="10" t="s">
        <v>419</v>
      </c>
      <c r="O242" s="11" t="s">
        <v>132</v>
      </c>
      <c r="P242" s="11" t="s">
        <v>133</v>
      </c>
      <c r="Q242" s="12"/>
      <c r="R242" s="13">
        <v>45413</v>
      </c>
      <c r="S242" s="13">
        <v>45422</v>
      </c>
      <c r="T242" s="11">
        <v>99.5</v>
      </c>
      <c r="U242" s="11"/>
      <c r="V242" s="11">
        <v>641</v>
      </c>
      <c r="W242" s="11">
        <v>207</v>
      </c>
      <c r="X242" s="11">
        <v>139</v>
      </c>
      <c r="Z242">
        <v>3</v>
      </c>
      <c r="AA242" s="124">
        <f t="shared" si="18"/>
        <v>786.22470147217905</v>
      </c>
      <c r="AB242" s="124">
        <f t="shared" si="19"/>
        <v>241.05660101094028</v>
      </c>
      <c r="AC242" s="124">
        <f t="shared" si="20"/>
        <v>163.35458690199548</v>
      </c>
      <c r="AD242" s="29"/>
      <c r="AE242" s="29"/>
      <c r="AF242" s="29"/>
    </row>
    <row r="243" spans="1:32" s="28" customFormat="1" x14ac:dyDescent="0.25">
      <c r="A243"/>
      <c r="B243" s="46" t="s">
        <v>76</v>
      </c>
      <c r="C243" s="31"/>
      <c r="D243" s="31"/>
      <c r="E243" s="31"/>
      <c r="F243" s="31"/>
      <c r="G243" s="48" t="s">
        <v>420</v>
      </c>
      <c r="H243" s="48" t="s">
        <v>421</v>
      </c>
      <c r="I243" s="48" t="s">
        <v>422</v>
      </c>
      <c r="J243" s="48" t="s">
        <v>80</v>
      </c>
      <c r="K243" s="48">
        <v>43.831767999999997</v>
      </c>
      <c r="L243" s="48">
        <v>-96.500404000000003</v>
      </c>
      <c r="M243" s="48" t="s">
        <v>423</v>
      </c>
      <c r="N243" s="50" t="s">
        <v>129</v>
      </c>
      <c r="O243" s="46" t="s">
        <v>54</v>
      </c>
      <c r="P243" s="46" t="s">
        <v>55</v>
      </c>
      <c r="Q243" s="51">
        <v>329</v>
      </c>
      <c r="R243" s="52">
        <v>44287</v>
      </c>
      <c r="S243" s="52">
        <v>44409</v>
      </c>
      <c r="T243" s="46"/>
      <c r="U243" s="46" t="s">
        <v>145</v>
      </c>
      <c r="V243" s="46">
        <v>513</v>
      </c>
      <c r="W243" s="46">
        <v>113</v>
      </c>
      <c r="X243" s="46">
        <v>78</v>
      </c>
      <c r="Y243" s="132"/>
      <c r="Z243" s="76">
        <v>2</v>
      </c>
      <c r="AA243" s="133">
        <f t="shared" si="18"/>
        <v>629.2250730970793</v>
      </c>
      <c r="AB243" s="133">
        <f t="shared" si="19"/>
        <v>131.59128460983698</v>
      </c>
      <c r="AC243" s="133">
        <f t="shared" si="20"/>
        <v>91.666602721983068</v>
      </c>
      <c r="AD243" s="29"/>
      <c r="AE243" s="29"/>
      <c r="AF243" s="29"/>
    </row>
    <row r="244" spans="1:32" s="28" customFormat="1" x14ac:dyDescent="0.25">
      <c r="A244"/>
      <c r="B244" s="90" t="s">
        <v>76</v>
      </c>
      <c r="C244" s="67"/>
      <c r="D244" s="67"/>
      <c r="E244" s="67"/>
      <c r="F244" s="67"/>
      <c r="G244" s="8" t="s">
        <v>420</v>
      </c>
      <c r="H244" s="8" t="s">
        <v>421</v>
      </c>
      <c r="I244" s="8" t="s">
        <v>422</v>
      </c>
      <c r="J244" s="8" t="s">
        <v>80</v>
      </c>
      <c r="K244" s="8">
        <v>43.831767999999997</v>
      </c>
      <c r="L244" s="8">
        <v>-96.500404000000003</v>
      </c>
      <c r="M244" s="8" t="s">
        <v>423</v>
      </c>
      <c r="N244" s="56" t="s">
        <v>129</v>
      </c>
      <c r="O244" s="54" t="s">
        <v>56</v>
      </c>
      <c r="P244" s="54" t="s">
        <v>57</v>
      </c>
      <c r="Q244" s="57">
        <v>340</v>
      </c>
      <c r="R244" s="58">
        <v>44287</v>
      </c>
      <c r="S244" s="58">
        <v>44409</v>
      </c>
      <c r="T244" s="54"/>
      <c r="U244" s="54" t="s">
        <v>145</v>
      </c>
      <c r="V244" s="54">
        <v>249</v>
      </c>
      <c r="W244" s="54">
        <v>104</v>
      </c>
      <c r="X244" s="54">
        <v>74</v>
      </c>
      <c r="Y244" s="36"/>
      <c r="Z244" s="54">
        <v>2</v>
      </c>
      <c r="AA244" s="128">
        <v>629.2250730970793</v>
      </c>
      <c r="AB244" s="128">
        <v>131.59128460983698</v>
      </c>
      <c r="AC244" s="128">
        <v>91.666602721983068</v>
      </c>
      <c r="AD244" s="29"/>
      <c r="AE244" s="29"/>
      <c r="AF244" s="29"/>
    </row>
    <row r="245" spans="1:32" s="28" customFormat="1" x14ac:dyDescent="0.25">
      <c r="A245"/>
      <c r="B245" s="1">
        <v>44493</v>
      </c>
      <c r="C245" s="31">
        <v>2179.8000000000002</v>
      </c>
      <c r="D245" s="31">
        <v>0</v>
      </c>
      <c r="E245" s="31">
        <v>3240</v>
      </c>
      <c r="F245" s="31">
        <v>5419.8</v>
      </c>
      <c r="G245" s="20" t="s">
        <v>424</v>
      </c>
      <c r="H245" s="20" t="s">
        <v>425</v>
      </c>
      <c r="I245" s="20" t="s">
        <v>426</v>
      </c>
      <c r="J245" s="20" t="s">
        <v>427</v>
      </c>
      <c r="K245" s="20">
        <v>43.821427999999997</v>
      </c>
      <c r="L245" s="20">
        <v>-97.156839000000005</v>
      </c>
      <c r="M245" s="20" t="s">
        <v>156</v>
      </c>
      <c r="N245" s="4" t="s">
        <v>428</v>
      </c>
      <c r="O245" t="s">
        <v>56</v>
      </c>
      <c r="P245" t="s">
        <v>57</v>
      </c>
      <c r="Q245" s="5">
        <v>340</v>
      </c>
      <c r="R245" s="1">
        <v>44409</v>
      </c>
      <c r="S245" s="1">
        <v>44528</v>
      </c>
      <c r="T245"/>
      <c r="U245" t="s">
        <v>145</v>
      </c>
      <c r="V245">
        <v>861</v>
      </c>
      <c r="W245">
        <v>267</v>
      </c>
      <c r="X245">
        <v>169</v>
      </c>
      <c r="Z245">
        <v>2</v>
      </c>
      <c r="AA245" s="123">
        <f t="shared" si="18"/>
        <v>1056.0678127418817</v>
      </c>
      <c r="AB245" s="123">
        <f t="shared" si="19"/>
        <v>310.92807956483603</v>
      </c>
      <c r="AC245" s="123">
        <f t="shared" si="20"/>
        <v>198.61097256429665</v>
      </c>
      <c r="AD245" s="29"/>
      <c r="AE245" s="29"/>
      <c r="AF245" s="29"/>
    </row>
    <row r="246" spans="1:32" s="28" customFormat="1" x14ac:dyDescent="0.25">
      <c r="A246"/>
      <c r="B246"/>
      <c r="C246" s="31"/>
      <c r="D246" s="31"/>
      <c r="E246" s="31"/>
      <c r="F246" s="31"/>
      <c r="G246" s="6" t="s">
        <v>424</v>
      </c>
      <c r="H246" s="6" t="s">
        <v>425</v>
      </c>
      <c r="I246" s="6" t="s">
        <v>426</v>
      </c>
      <c r="J246" s="6" t="s">
        <v>427</v>
      </c>
      <c r="K246" s="6">
        <v>43.772395000000003</v>
      </c>
      <c r="L246" s="6">
        <v>-97.474423000000002</v>
      </c>
      <c r="M246" s="6" t="s">
        <v>192</v>
      </c>
      <c r="N246" s="4" t="s">
        <v>429</v>
      </c>
      <c r="O246" t="s">
        <v>54</v>
      </c>
      <c r="P246" t="s">
        <v>55</v>
      </c>
      <c r="Q246" s="5">
        <v>329</v>
      </c>
      <c r="R246" s="1">
        <v>44682</v>
      </c>
      <c r="S246" s="1">
        <v>44872</v>
      </c>
      <c r="T246">
        <v>192</v>
      </c>
      <c r="U246" t="s">
        <v>145</v>
      </c>
      <c r="V246">
        <v>462</v>
      </c>
      <c r="W246">
        <v>77</v>
      </c>
      <c r="X246">
        <v>46</v>
      </c>
      <c r="Z246">
        <v>2</v>
      </c>
      <c r="AA246" s="123">
        <v>1119.8489117692659</v>
      </c>
      <c r="AB246" s="123">
        <v>329.56047384587487</v>
      </c>
      <c r="AC246" s="123">
        <v>211.53831397380708</v>
      </c>
      <c r="AD246" s="29"/>
      <c r="AE246" s="29"/>
      <c r="AF246" s="29"/>
    </row>
    <row r="247" spans="1:32" s="28" customFormat="1" x14ac:dyDescent="0.25">
      <c r="A247"/>
      <c r="B247" s="1">
        <v>44751</v>
      </c>
      <c r="C247" s="31">
        <v>2416</v>
      </c>
      <c r="D247" s="31">
        <v>0</v>
      </c>
      <c r="E247" s="31">
        <v>3939.2</v>
      </c>
      <c r="F247" s="31">
        <v>6355.2</v>
      </c>
      <c r="G247" s="6" t="s">
        <v>424</v>
      </c>
      <c r="H247" s="6" t="s">
        <v>425</v>
      </c>
      <c r="I247" s="6" t="s">
        <v>426</v>
      </c>
      <c r="J247" s="6" t="s">
        <v>427</v>
      </c>
      <c r="K247" s="6">
        <v>43.772395000000003</v>
      </c>
      <c r="L247" s="6">
        <v>-97.474423000000002</v>
      </c>
      <c r="M247" s="6" t="s">
        <v>192</v>
      </c>
      <c r="N247" s="4" t="s">
        <v>429</v>
      </c>
      <c r="O247" t="s">
        <v>56</v>
      </c>
      <c r="P247" t="s">
        <v>57</v>
      </c>
      <c r="Q247" s="5">
        <v>340</v>
      </c>
      <c r="R247" s="1">
        <v>44713</v>
      </c>
      <c r="S247" s="1">
        <v>44896</v>
      </c>
      <c r="T247">
        <v>192</v>
      </c>
      <c r="U247" t="s">
        <v>145</v>
      </c>
      <c r="V247">
        <v>913</v>
      </c>
      <c r="W247">
        <v>283</v>
      </c>
      <c r="X247">
        <v>180</v>
      </c>
      <c r="Z247">
        <v>2</v>
      </c>
      <c r="AA247" s="124">
        <f t="shared" si="18"/>
        <v>1119.8489117692659</v>
      </c>
      <c r="AB247" s="124">
        <f t="shared" si="19"/>
        <v>329.56047384587487</v>
      </c>
      <c r="AC247" s="124">
        <f t="shared" si="20"/>
        <v>211.53831397380708</v>
      </c>
      <c r="AD247" s="29"/>
      <c r="AE247" s="29"/>
      <c r="AF247" s="29"/>
    </row>
    <row r="248" spans="1:32" s="28" customFormat="1" x14ac:dyDescent="0.25">
      <c r="A248"/>
      <c r="B248" s="11"/>
      <c r="C248" s="32"/>
      <c r="D248" s="32"/>
      <c r="E248" s="32"/>
      <c r="F248" s="32"/>
      <c r="G248" s="8" t="s">
        <v>424</v>
      </c>
      <c r="H248" s="8" t="s">
        <v>425</v>
      </c>
      <c r="I248" s="8" t="s">
        <v>426</v>
      </c>
      <c r="J248" s="8" t="s">
        <v>427</v>
      </c>
      <c r="K248" s="8">
        <v>43.772395000000003</v>
      </c>
      <c r="L248" s="8">
        <v>-97.474423000000002</v>
      </c>
      <c r="M248" s="8" t="s">
        <v>192</v>
      </c>
      <c r="N248" s="10" t="s">
        <v>429</v>
      </c>
      <c r="O248" s="11" t="s">
        <v>105</v>
      </c>
      <c r="P248" s="11" t="s">
        <v>741</v>
      </c>
      <c r="Q248" s="12">
        <v>528</v>
      </c>
      <c r="R248" s="13">
        <v>44896</v>
      </c>
      <c r="S248" s="13">
        <v>44925</v>
      </c>
      <c r="T248" s="11">
        <v>192</v>
      </c>
      <c r="U248" s="11" t="s">
        <v>145</v>
      </c>
      <c r="V248" s="11"/>
      <c r="W248" s="11"/>
      <c r="X248" s="11"/>
      <c r="Z248">
        <v>2</v>
      </c>
      <c r="AA248" s="124">
        <v>1119.8489117692659</v>
      </c>
      <c r="AB248" s="124">
        <v>329.56047384587487</v>
      </c>
      <c r="AC248" s="124">
        <v>211.53831397380708</v>
      </c>
      <c r="AD248" s="29"/>
      <c r="AE248" s="29"/>
      <c r="AF248" s="29"/>
    </row>
    <row r="249" spans="1:32" s="28" customFormat="1" x14ac:dyDescent="0.25">
      <c r="A249"/>
      <c r="B249"/>
      <c r="C249" s="31"/>
      <c r="D249" s="31"/>
      <c r="E249" s="31"/>
      <c r="F249" s="31"/>
      <c r="G249" s="20" t="s">
        <v>424</v>
      </c>
      <c r="H249" s="20" t="s">
        <v>430</v>
      </c>
      <c r="I249" s="20" t="s">
        <v>431</v>
      </c>
      <c r="J249" s="20" t="s">
        <v>432</v>
      </c>
      <c r="K249" s="20">
        <v>42.896971000000001</v>
      </c>
      <c r="L249" s="20">
        <v>-97.708185</v>
      </c>
      <c r="M249" s="20" t="s">
        <v>433</v>
      </c>
      <c r="N249" s="4" t="s">
        <v>434</v>
      </c>
      <c r="O249" t="s">
        <v>83</v>
      </c>
      <c r="P249" t="s">
        <v>84</v>
      </c>
      <c r="Q249" s="5">
        <v>328</v>
      </c>
      <c r="R249" s="1">
        <v>44986</v>
      </c>
      <c r="S249" s="1">
        <v>45121</v>
      </c>
      <c r="T249">
        <v>252</v>
      </c>
      <c r="U249"/>
      <c r="V249"/>
      <c r="W249"/>
      <c r="X249"/>
      <c r="Y249" s="132"/>
      <c r="Z249" s="14">
        <v>2</v>
      </c>
      <c r="AA249" s="133">
        <v>1817.7613222804514</v>
      </c>
      <c r="AB249" s="133">
        <v>550.82015593321137</v>
      </c>
      <c r="AC249" s="133">
        <v>379.59375229744273</v>
      </c>
      <c r="AD249" s="29"/>
      <c r="AE249" s="29"/>
      <c r="AF249" s="29"/>
    </row>
    <row r="250" spans="1:32" s="28" customFormat="1" x14ac:dyDescent="0.25">
      <c r="A250"/>
      <c r="B250"/>
      <c r="C250" s="31"/>
      <c r="D250" s="31"/>
      <c r="E250" s="31"/>
      <c r="F250" s="31"/>
      <c r="G250" s="6" t="s">
        <v>424</v>
      </c>
      <c r="H250" s="6" t="s">
        <v>430</v>
      </c>
      <c r="I250" s="6" t="s">
        <v>431</v>
      </c>
      <c r="J250" s="6" t="s">
        <v>432</v>
      </c>
      <c r="K250" s="6">
        <v>42.896971000000001</v>
      </c>
      <c r="L250" s="6">
        <v>-97.708185</v>
      </c>
      <c r="M250" s="6" t="s">
        <v>433</v>
      </c>
      <c r="N250" s="4" t="s">
        <v>434</v>
      </c>
      <c r="O250" t="s">
        <v>54</v>
      </c>
      <c r="P250" t="s">
        <v>55</v>
      </c>
      <c r="Q250" s="5">
        <v>329</v>
      </c>
      <c r="R250" s="1">
        <v>44986</v>
      </c>
      <c r="S250" s="1">
        <v>45146</v>
      </c>
      <c r="T250">
        <v>252</v>
      </c>
      <c r="U250"/>
      <c r="V250">
        <v>720</v>
      </c>
      <c r="W250">
        <v>142</v>
      </c>
      <c r="X250">
        <v>93</v>
      </c>
      <c r="Z250">
        <v>2</v>
      </c>
      <c r="AA250" s="124">
        <v>1817.7613222804514</v>
      </c>
      <c r="AB250" s="124">
        <v>550.82015593321137</v>
      </c>
      <c r="AC250" s="124">
        <v>379.59375229744273</v>
      </c>
      <c r="AD250" s="29"/>
      <c r="AE250" s="29"/>
      <c r="AF250" s="29"/>
    </row>
    <row r="251" spans="1:32" s="28" customFormat="1" x14ac:dyDescent="0.25">
      <c r="A251"/>
      <c r="B251" s="1">
        <v>45135</v>
      </c>
      <c r="C251" s="31">
        <v>4745.6000000000004</v>
      </c>
      <c r="D251" s="31">
        <v>0</v>
      </c>
      <c r="E251" s="31">
        <v>7768.72</v>
      </c>
      <c r="F251" s="31">
        <v>12514.32</v>
      </c>
      <c r="G251" s="6" t="s">
        <v>424</v>
      </c>
      <c r="H251" s="6" t="s">
        <v>430</v>
      </c>
      <c r="I251" s="6" t="s">
        <v>431</v>
      </c>
      <c r="J251" s="6" t="s">
        <v>432</v>
      </c>
      <c r="K251" s="6">
        <v>42.896971000000001</v>
      </c>
      <c r="L251" s="6">
        <v>-97.708185</v>
      </c>
      <c r="M251" s="6" t="s">
        <v>433</v>
      </c>
      <c r="N251" s="4" t="s">
        <v>434</v>
      </c>
      <c r="O251" t="s">
        <v>56</v>
      </c>
      <c r="P251" t="s">
        <v>57</v>
      </c>
      <c r="Q251" s="5">
        <v>340</v>
      </c>
      <c r="R251" s="1">
        <v>45117</v>
      </c>
      <c r="S251" s="1">
        <v>45135</v>
      </c>
      <c r="T251">
        <v>252</v>
      </c>
      <c r="U251"/>
      <c r="V251">
        <v>1482</v>
      </c>
      <c r="W251">
        <v>473</v>
      </c>
      <c r="X251">
        <v>323</v>
      </c>
      <c r="Z251">
        <v>2</v>
      </c>
      <c r="AA251" s="124">
        <f t="shared" si="18"/>
        <v>1817.7613222804514</v>
      </c>
      <c r="AB251" s="124">
        <f t="shared" si="19"/>
        <v>550.82015593321137</v>
      </c>
      <c r="AC251" s="124">
        <f t="shared" si="20"/>
        <v>379.59375229744273</v>
      </c>
      <c r="AD251" s="29"/>
      <c r="AE251" s="29"/>
      <c r="AF251" s="29"/>
    </row>
    <row r="252" spans="1:32" s="28" customFormat="1" x14ac:dyDescent="0.25">
      <c r="A252"/>
      <c r="B252" s="1">
        <v>45063</v>
      </c>
      <c r="C252" s="31">
        <v>13473.49</v>
      </c>
      <c r="D252" s="31">
        <v>2125.5</v>
      </c>
      <c r="E252" s="31">
        <v>32809.01</v>
      </c>
      <c r="F252" s="31">
        <v>48408</v>
      </c>
      <c r="G252" s="6" t="s">
        <v>424</v>
      </c>
      <c r="H252" s="6" t="s">
        <v>430</v>
      </c>
      <c r="I252" s="6" t="s">
        <v>431</v>
      </c>
      <c r="J252" s="6" t="s">
        <v>432</v>
      </c>
      <c r="K252" s="6">
        <v>42.896971000000001</v>
      </c>
      <c r="L252" s="6">
        <v>-97.708185</v>
      </c>
      <c r="M252" s="6" t="s">
        <v>433</v>
      </c>
      <c r="N252" s="4" t="s">
        <v>434</v>
      </c>
      <c r="O252" t="s">
        <v>132</v>
      </c>
      <c r="P252" t="s">
        <v>133</v>
      </c>
      <c r="Q252" s="5"/>
      <c r="R252" s="1">
        <v>45017</v>
      </c>
      <c r="S252" s="1">
        <v>45138</v>
      </c>
      <c r="T252">
        <v>252</v>
      </c>
      <c r="U252"/>
      <c r="V252">
        <v>1320</v>
      </c>
      <c r="W252">
        <v>451</v>
      </c>
      <c r="X252">
        <v>324</v>
      </c>
      <c r="Z252">
        <v>2</v>
      </c>
      <c r="AA252" s="124">
        <v>1817.7613222804514</v>
      </c>
      <c r="AB252" s="124">
        <v>550.82015593321137</v>
      </c>
      <c r="AC252" s="124">
        <v>379.59375229744273</v>
      </c>
      <c r="AD252" s="29"/>
      <c r="AE252" s="29"/>
      <c r="AF252" s="29"/>
    </row>
    <row r="253" spans="1:32" s="28" customFormat="1" x14ac:dyDescent="0.25">
      <c r="A253"/>
      <c r="B253"/>
      <c r="C253" s="31"/>
      <c r="D253" s="31"/>
      <c r="E253" s="31"/>
      <c r="F253" s="31"/>
      <c r="G253" s="6" t="s">
        <v>424</v>
      </c>
      <c r="H253" s="6" t="s">
        <v>430</v>
      </c>
      <c r="I253" s="6" t="s">
        <v>431</v>
      </c>
      <c r="J253" s="6" t="s">
        <v>432</v>
      </c>
      <c r="K253" s="6">
        <v>42.886735999999999</v>
      </c>
      <c r="L253" s="6">
        <v>-97.712297000000007</v>
      </c>
      <c r="M253" s="6" t="s">
        <v>433</v>
      </c>
      <c r="N253" s="4" t="s">
        <v>435</v>
      </c>
      <c r="O253" t="s">
        <v>54</v>
      </c>
      <c r="P253" t="s">
        <v>55</v>
      </c>
      <c r="Q253" s="5">
        <v>329</v>
      </c>
      <c r="R253" s="1">
        <v>45474</v>
      </c>
      <c r="S253" s="1">
        <v>45736</v>
      </c>
      <c r="T253">
        <v>180</v>
      </c>
      <c r="U253"/>
      <c r="V253">
        <v>604</v>
      </c>
      <c r="W253">
        <v>136</v>
      </c>
      <c r="X253">
        <v>94</v>
      </c>
      <c r="Z253">
        <v>3</v>
      </c>
      <c r="AA253" s="123">
        <v>1842.2925142140607</v>
      </c>
      <c r="AB253" s="123">
        <v>598.56566627837344</v>
      </c>
      <c r="AC253" s="123">
        <v>432.47833079089452</v>
      </c>
      <c r="AD253" s="29"/>
      <c r="AE253" s="29"/>
      <c r="AF253" s="29"/>
    </row>
    <row r="254" spans="1:32" s="28" customFormat="1" x14ac:dyDescent="0.25">
      <c r="A254"/>
      <c r="B254" s="13">
        <v>45543</v>
      </c>
      <c r="C254" s="32">
        <v>0</v>
      </c>
      <c r="D254" s="32"/>
      <c r="E254" s="32">
        <v>7160</v>
      </c>
      <c r="F254" s="32">
        <v>7160</v>
      </c>
      <c r="G254" s="8" t="s">
        <v>424</v>
      </c>
      <c r="H254" s="8" t="s">
        <v>430</v>
      </c>
      <c r="I254" s="8" t="s">
        <v>431</v>
      </c>
      <c r="J254" s="8" t="s">
        <v>432</v>
      </c>
      <c r="K254" s="8">
        <v>42.886735999999999</v>
      </c>
      <c r="L254" s="8">
        <v>-97.712297000000007</v>
      </c>
      <c r="M254" s="8" t="s">
        <v>433</v>
      </c>
      <c r="N254" s="10" t="s">
        <v>435</v>
      </c>
      <c r="O254" s="11" t="s">
        <v>56</v>
      </c>
      <c r="P254" s="11" t="s">
        <v>57</v>
      </c>
      <c r="Q254" s="12">
        <v>340</v>
      </c>
      <c r="R254" s="13">
        <v>45488</v>
      </c>
      <c r="S254" s="13">
        <v>45543</v>
      </c>
      <c r="T254" s="11">
        <v>180</v>
      </c>
      <c r="U254" s="11"/>
      <c r="V254" s="11">
        <v>1502</v>
      </c>
      <c r="W254" s="11">
        <v>514</v>
      </c>
      <c r="X254" s="11">
        <v>368</v>
      </c>
      <c r="Y254" s="36"/>
      <c r="Z254" s="11">
        <v>3</v>
      </c>
      <c r="AA254" s="135">
        <f t="shared" si="18"/>
        <v>1842.2925142140607</v>
      </c>
      <c r="AB254" s="135">
        <f t="shared" si="19"/>
        <v>598.56566627837344</v>
      </c>
      <c r="AC254" s="135">
        <f t="shared" si="20"/>
        <v>432.47833079089452</v>
      </c>
      <c r="AD254" s="29"/>
      <c r="AE254" s="29"/>
      <c r="AF254" s="29"/>
    </row>
    <row r="255" spans="1:32" s="28" customFormat="1" x14ac:dyDescent="0.25">
      <c r="A255"/>
      <c r="B255"/>
      <c r="C255" s="31"/>
      <c r="D255" s="31"/>
      <c r="E255" s="31"/>
      <c r="F255" s="31"/>
      <c r="G255" s="20" t="s">
        <v>436</v>
      </c>
      <c r="H255" s="20" t="s">
        <v>437</v>
      </c>
      <c r="I255" s="20" t="s">
        <v>438</v>
      </c>
      <c r="J255" s="20" t="s">
        <v>263</v>
      </c>
      <c r="K255" s="20">
        <v>43.925998</v>
      </c>
      <c r="L255" s="20">
        <v>-97.758298999999994</v>
      </c>
      <c r="M255" s="20" t="s">
        <v>189</v>
      </c>
      <c r="N255" s="4" t="s">
        <v>439</v>
      </c>
      <c r="O255" t="s">
        <v>54</v>
      </c>
      <c r="P255" t="s">
        <v>55</v>
      </c>
      <c r="Q255" s="5">
        <v>329</v>
      </c>
      <c r="R255" s="1">
        <v>44682</v>
      </c>
      <c r="S255" s="1">
        <v>44844</v>
      </c>
      <c r="T255">
        <v>72</v>
      </c>
      <c r="U255"/>
      <c r="V255">
        <v>150</v>
      </c>
      <c r="W255">
        <v>21</v>
      </c>
      <c r="X255">
        <v>11</v>
      </c>
      <c r="Z255">
        <v>2</v>
      </c>
      <c r="AA255" s="123">
        <v>313.99925675019944</v>
      </c>
      <c r="AB255" s="123">
        <v>83.845774264674887</v>
      </c>
      <c r="AC255" s="123">
        <v>48.183727071811617</v>
      </c>
      <c r="AD255" s="29"/>
      <c r="AE255" s="29"/>
      <c r="AF255" s="29"/>
    </row>
    <row r="256" spans="1:32" s="28" customFormat="1" x14ac:dyDescent="0.25">
      <c r="A256"/>
      <c r="B256" s="13">
        <v>44802</v>
      </c>
      <c r="C256" s="32">
        <v>0</v>
      </c>
      <c r="D256" s="32">
        <v>959.4</v>
      </c>
      <c r="E256" s="32">
        <v>959.4</v>
      </c>
      <c r="F256" s="32">
        <v>1918.8</v>
      </c>
      <c r="G256" s="8" t="s">
        <v>436</v>
      </c>
      <c r="H256" s="8" t="s">
        <v>437</v>
      </c>
      <c r="I256" s="8" t="s">
        <v>438</v>
      </c>
      <c r="J256" s="8" t="s">
        <v>263</v>
      </c>
      <c r="K256" s="8">
        <v>43.925998</v>
      </c>
      <c r="L256" s="8">
        <v>-97.758298999999994</v>
      </c>
      <c r="M256" s="8" t="s">
        <v>189</v>
      </c>
      <c r="N256" s="10" t="s">
        <v>439</v>
      </c>
      <c r="O256" s="11" t="s">
        <v>56</v>
      </c>
      <c r="P256" s="11" t="s">
        <v>57</v>
      </c>
      <c r="Q256" s="12">
        <v>340</v>
      </c>
      <c r="R256" s="13">
        <v>44662</v>
      </c>
      <c r="S256" s="13">
        <v>44798</v>
      </c>
      <c r="T256" s="11">
        <v>72</v>
      </c>
      <c r="U256" s="11"/>
      <c r="V256" s="11">
        <v>256</v>
      </c>
      <c r="W256" s="11">
        <v>72</v>
      </c>
      <c r="X256" s="11">
        <v>41</v>
      </c>
      <c r="Z256">
        <v>2</v>
      </c>
      <c r="AA256" s="124">
        <f t="shared" si="18"/>
        <v>313.99925675019944</v>
      </c>
      <c r="AB256" s="124">
        <f t="shared" si="19"/>
        <v>83.845774264674887</v>
      </c>
      <c r="AC256" s="124">
        <f t="shared" si="20"/>
        <v>48.183727071811617</v>
      </c>
      <c r="AD256" s="29"/>
      <c r="AE256" s="29"/>
      <c r="AF256" s="29"/>
    </row>
    <row r="257" spans="1:32" s="28" customFormat="1" x14ac:dyDescent="0.25">
      <c r="A257"/>
      <c r="B257"/>
      <c r="C257" s="31"/>
      <c r="D257" s="31"/>
      <c r="E257" s="31"/>
      <c r="F257" s="31"/>
      <c r="G257" s="20" t="s">
        <v>440</v>
      </c>
      <c r="H257" s="20" t="s">
        <v>441</v>
      </c>
      <c r="I257" s="20" t="s">
        <v>442</v>
      </c>
      <c r="J257" s="20" t="s">
        <v>200</v>
      </c>
      <c r="K257" s="20">
        <v>43.311976999999999</v>
      </c>
      <c r="L257" s="20">
        <v>-97.235207000000003</v>
      </c>
      <c r="M257" s="20" t="s">
        <v>100</v>
      </c>
      <c r="N257" s="4" t="s">
        <v>240</v>
      </c>
      <c r="O257" t="s">
        <v>54</v>
      </c>
      <c r="P257" t="s">
        <v>55</v>
      </c>
      <c r="Q257" s="5">
        <v>329</v>
      </c>
      <c r="R257" s="1">
        <v>44986</v>
      </c>
      <c r="S257" s="1">
        <v>45153</v>
      </c>
      <c r="T257">
        <v>160</v>
      </c>
      <c r="U257"/>
      <c r="V257">
        <v>384</v>
      </c>
      <c r="W257">
        <v>62</v>
      </c>
      <c r="X257">
        <v>36</v>
      </c>
      <c r="Y257" s="132"/>
      <c r="Z257" s="14">
        <v>2</v>
      </c>
      <c r="AA257" s="133">
        <v>843.87300251616102</v>
      </c>
      <c r="AB257" s="133">
        <v>236.39850244068057</v>
      </c>
      <c r="AC257" s="133">
        <v>148.07681978166497</v>
      </c>
      <c r="AD257" s="29"/>
      <c r="AE257" s="29"/>
      <c r="AF257" s="29"/>
    </row>
    <row r="258" spans="1:32" s="28" customFormat="1" x14ac:dyDescent="0.25">
      <c r="A258"/>
      <c r="B258"/>
      <c r="C258" s="31"/>
      <c r="D258" s="31"/>
      <c r="E258" s="31"/>
      <c r="F258" s="31"/>
      <c r="G258" s="6" t="s">
        <v>440</v>
      </c>
      <c r="H258" s="6" t="s">
        <v>441</v>
      </c>
      <c r="I258" s="6" t="s">
        <v>442</v>
      </c>
      <c r="J258" s="6" t="s">
        <v>200</v>
      </c>
      <c r="K258" s="6">
        <v>43.334135000000003</v>
      </c>
      <c r="L258" s="6">
        <v>-97.243799999999993</v>
      </c>
      <c r="M258" s="6" t="s">
        <v>100</v>
      </c>
      <c r="N258" s="4" t="s">
        <v>240</v>
      </c>
      <c r="O258" t="s">
        <v>54</v>
      </c>
      <c r="P258" t="s">
        <v>443</v>
      </c>
      <c r="Q258" s="5">
        <v>332</v>
      </c>
      <c r="R258" s="1">
        <v>44986</v>
      </c>
      <c r="S258" s="1">
        <v>45352</v>
      </c>
      <c r="T258">
        <v>160</v>
      </c>
      <c r="U258"/>
      <c r="V258"/>
      <c r="W258"/>
      <c r="X258"/>
      <c r="Z258">
        <v>2</v>
      </c>
      <c r="AA258" s="124">
        <v>843.87300251616102</v>
      </c>
      <c r="AB258" s="124">
        <v>236.39850244068057</v>
      </c>
      <c r="AC258" s="124">
        <v>148.07681978166497</v>
      </c>
      <c r="AD258" s="29"/>
      <c r="AE258" s="29"/>
      <c r="AF258" s="29"/>
    </row>
    <row r="259" spans="1:32" s="28" customFormat="1" x14ac:dyDescent="0.25">
      <c r="A259"/>
      <c r="B259" s="13">
        <v>44820</v>
      </c>
      <c r="C259" s="32">
        <v>4459.2</v>
      </c>
      <c r="D259" s="32">
        <v>0</v>
      </c>
      <c r="E259" s="32">
        <v>2793.6</v>
      </c>
      <c r="F259" s="32">
        <v>7252.8</v>
      </c>
      <c r="G259" s="8" t="s">
        <v>440</v>
      </c>
      <c r="H259" s="8" t="s">
        <v>441</v>
      </c>
      <c r="I259" s="8" t="s">
        <v>442</v>
      </c>
      <c r="J259" s="8" t="s">
        <v>200</v>
      </c>
      <c r="K259" s="8">
        <v>43.311976999999999</v>
      </c>
      <c r="L259" s="8">
        <v>-97.235207000000003</v>
      </c>
      <c r="M259" s="8" t="s">
        <v>100</v>
      </c>
      <c r="N259" s="10" t="s">
        <v>240</v>
      </c>
      <c r="O259" s="11" t="s">
        <v>56</v>
      </c>
      <c r="P259" s="11" t="s">
        <v>57</v>
      </c>
      <c r="Q259" s="12">
        <v>340</v>
      </c>
      <c r="R259" s="13">
        <v>45047</v>
      </c>
      <c r="S259" s="13">
        <v>45158</v>
      </c>
      <c r="T259" s="11">
        <v>160</v>
      </c>
      <c r="U259" s="11"/>
      <c r="V259" s="11">
        <v>688</v>
      </c>
      <c r="W259" s="11">
        <v>203</v>
      </c>
      <c r="X259" s="11">
        <v>126</v>
      </c>
      <c r="Y259" s="36"/>
      <c r="Z259" s="11">
        <v>2</v>
      </c>
      <c r="AA259" s="135">
        <f t="shared" si="18"/>
        <v>843.87300251616102</v>
      </c>
      <c r="AB259" s="135">
        <f t="shared" si="19"/>
        <v>236.39850244068057</v>
      </c>
      <c r="AC259" s="135">
        <f t="shared" si="20"/>
        <v>148.07681978166497</v>
      </c>
      <c r="AD259" s="29"/>
      <c r="AE259" s="29"/>
      <c r="AF259" s="29"/>
    </row>
    <row r="260" spans="1:32" s="53" customFormat="1" x14ac:dyDescent="0.25">
      <c r="A260" s="46"/>
      <c r="B260" s="46" t="s">
        <v>76</v>
      </c>
      <c r="C260" s="47"/>
      <c r="D260" s="47"/>
      <c r="E260" s="47"/>
      <c r="F260" s="47"/>
      <c r="G260" s="48" t="s">
        <v>440</v>
      </c>
      <c r="H260" s="48" t="s">
        <v>444</v>
      </c>
      <c r="I260" s="48" t="s">
        <v>445</v>
      </c>
      <c r="J260" s="48" t="s">
        <v>99</v>
      </c>
      <c r="K260" s="48">
        <v>43.310749999999999</v>
      </c>
      <c r="L260" s="48">
        <v>-97.215205999999995</v>
      </c>
      <c r="M260" s="48" t="s">
        <v>100</v>
      </c>
      <c r="N260" s="50" t="s">
        <v>292</v>
      </c>
      <c r="O260" s="46" t="s">
        <v>54</v>
      </c>
      <c r="P260" s="46" t="s">
        <v>55</v>
      </c>
      <c r="Q260" s="51">
        <v>329</v>
      </c>
      <c r="R260" s="52">
        <v>44986</v>
      </c>
      <c r="S260" s="52">
        <v>45153</v>
      </c>
      <c r="T260" s="46">
        <v>172</v>
      </c>
      <c r="U260" s="46"/>
      <c r="V260" s="46">
        <v>341</v>
      </c>
      <c r="W260" s="46">
        <v>148</v>
      </c>
      <c r="X260" s="46">
        <v>95</v>
      </c>
      <c r="Z260" s="46">
        <v>2</v>
      </c>
      <c r="AA260" s="120">
        <v>400</v>
      </c>
      <c r="AB260" s="120">
        <v>153</v>
      </c>
      <c r="AC260" s="120">
        <v>97</v>
      </c>
      <c r="AD260" s="38"/>
      <c r="AE260" s="38"/>
      <c r="AF260" s="29"/>
    </row>
    <row r="261" spans="1:32" s="53" customFormat="1" x14ac:dyDescent="0.25">
      <c r="A261" s="46"/>
      <c r="B261" s="39" t="s">
        <v>76</v>
      </c>
      <c r="C261" s="55"/>
      <c r="D261" s="55"/>
      <c r="E261" s="55"/>
      <c r="F261" s="55"/>
      <c r="G261" s="8" t="s">
        <v>440</v>
      </c>
      <c r="H261" s="8" t="s">
        <v>444</v>
      </c>
      <c r="I261" s="8" t="s">
        <v>445</v>
      </c>
      <c r="J261" s="8" t="s">
        <v>99</v>
      </c>
      <c r="K261" s="8">
        <v>43.310749999999999</v>
      </c>
      <c r="L261" s="8">
        <v>-97.215205999999995</v>
      </c>
      <c r="M261" s="8" t="s">
        <v>100</v>
      </c>
      <c r="N261" s="56" t="s">
        <v>292</v>
      </c>
      <c r="O261" s="54" t="s">
        <v>56</v>
      </c>
      <c r="P261" s="54" t="s">
        <v>57</v>
      </c>
      <c r="Q261" s="57">
        <v>340</v>
      </c>
      <c r="R261" s="58">
        <v>45047</v>
      </c>
      <c r="S261" s="58">
        <v>45154</v>
      </c>
      <c r="T261" s="54">
        <v>172</v>
      </c>
      <c r="U261" s="54"/>
      <c r="V261" s="142">
        <v>97</v>
      </c>
      <c r="W261" s="142">
        <v>18</v>
      </c>
      <c r="X261" s="142">
        <v>12</v>
      </c>
      <c r="Z261" s="46">
        <v>2</v>
      </c>
      <c r="AA261" s="38">
        <v>400</v>
      </c>
      <c r="AB261" s="38">
        <v>153</v>
      </c>
      <c r="AC261" s="38">
        <v>97</v>
      </c>
      <c r="AD261" s="38"/>
      <c r="AE261" s="38"/>
      <c r="AF261" s="29"/>
    </row>
    <row r="262" spans="1:32" s="28" customFormat="1" x14ac:dyDescent="0.25">
      <c r="A262"/>
      <c r="B262" s="1">
        <v>44795</v>
      </c>
      <c r="C262" s="31">
        <v>5910.4</v>
      </c>
      <c r="D262" s="31">
        <v>0</v>
      </c>
      <c r="E262" s="31">
        <v>5910.4</v>
      </c>
      <c r="F262" s="31">
        <v>11820.8</v>
      </c>
      <c r="G262" s="20" t="s">
        <v>446</v>
      </c>
      <c r="H262" s="20" t="s">
        <v>329</v>
      </c>
      <c r="I262" s="20" t="s">
        <v>447</v>
      </c>
      <c r="J262" s="20" t="s">
        <v>239</v>
      </c>
      <c r="K262" s="20">
        <v>43.583599</v>
      </c>
      <c r="L262" s="20">
        <v>-97.941361999999998</v>
      </c>
      <c r="M262" s="20" t="s">
        <v>64</v>
      </c>
      <c r="N262" s="4" t="s">
        <v>448</v>
      </c>
      <c r="O262" t="s">
        <v>75</v>
      </c>
      <c r="P262" t="s">
        <v>304</v>
      </c>
      <c r="Q262" s="5">
        <v>516</v>
      </c>
      <c r="R262" s="1">
        <v>44417</v>
      </c>
      <c r="S262" s="1">
        <v>44805</v>
      </c>
      <c r="T262">
        <v>79</v>
      </c>
      <c r="U262"/>
      <c r="V262"/>
      <c r="W262"/>
      <c r="X262"/>
      <c r="Y262" s="132"/>
      <c r="Z262" s="14">
        <v>2</v>
      </c>
      <c r="AA262" s="134">
        <v>272</v>
      </c>
      <c r="AB262" s="134">
        <v>82</v>
      </c>
      <c r="AC262" s="134">
        <v>54</v>
      </c>
      <c r="AD262" s="38">
        <f>AA262/V263</f>
        <v>1.152542372881356</v>
      </c>
      <c r="AE262" s="38">
        <f t="shared" ref="AE262:AF262" si="21">AB262/W263</f>
        <v>1.1714285714285715</v>
      </c>
      <c r="AF262" s="38">
        <f t="shared" si="21"/>
        <v>1.173913043478261</v>
      </c>
    </row>
    <row r="263" spans="1:32" s="28" customFormat="1" x14ac:dyDescent="0.25">
      <c r="A263"/>
      <c r="B263" s="1">
        <v>44894</v>
      </c>
      <c r="C263" s="31">
        <v>1692.18</v>
      </c>
      <c r="D263" s="31">
        <v>0</v>
      </c>
      <c r="E263" s="31">
        <v>1692.18</v>
      </c>
      <c r="F263" s="31">
        <v>3384.36</v>
      </c>
      <c r="G263" s="6" t="s">
        <v>446</v>
      </c>
      <c r="H263" s="6" t="s">
        <v>329</v>
      </c>
      <c r="I263" s="6" t="s">
        <v>447</v>
      </c>
      <c r="J263" s="6" t="s">
        <v>239</v>
      </c>
      <c r="K263" s="6">
        <v>43.583599</v>
      </c>
      <c r="L263" s="6">
        <v>-97.941361999999998</v>
      </c>
      <c r="M263" s="6" t="s">
        <v>64</v>
      </c>
      <c r="N263" s="4" t="s">
        <v>448</v>
      </c>
      <c r="O263" t="s">
        <v>75</v>
      </c>
      <c r="P263" t="s">
        <v>305</v>
      </c>
      <c r="Q263" s="5">
        <v>382</v>
      </c>
      <c r="R263" s="1">
        <v>44389</v>
      </c>
      <c r="S263" s="1">
        <v>44887</v>
      </c>
      <c r="T263">
        <v>79</v>
      </c>
      <c r="U263"/>
      <c r="V263" s="41">
        <v>236</v>
      </c>
      <c r="W263" s="41">
        <v>70</v>
      </c>
      <c r="X263" s="41">
        <v>46</v>
      </c>
      <c r="Z263">
        <v>2</v>
      </c>
      <c r="AA263" s="38">
        <v>272</v>
      </c>
      <c r="AB263" s="38">
        <v>82</v>
      </c>
      <c r="AC263" s="38">
        <v>54</v>
      </c>
      <c r="AD263" s="38"/>
      <c r="AE263" s="38"/>
      <c r="AF263" s="29"/>
    </row>
    <row r="264" spans="1:32" s="28" customFormat="1" x14ac:dyDescent="0.25">
      <c r="A264"/>
      <c r="B264" s="13">
        <v>44866</v>
      </c>
      <c r="C264" s="32">
        <v>188.75</v>
      </c>
      <c r="D264" s="32">
        <v>0</v>
      </c>
      <c r="E264" s="32">
        <v>188.75</v>
      </c>
      <c r="F264" s="32">
        <v>377.5</v>
      </c>
      <c r="G264" s="8" t="s">
        <v>446</v>
      </c>
      <c r="H264" s="8" t="s">
        <v>329</v>
      </c>
      <c r="I264" s="8" t="s">
        <v>447</v>
      </c>
      <c r="J264" s="8" t="s">
        <v>239</v>
      </c>
      <c r="K264" s="8">
        <v>43.583599</v>
      </c>
      <c r="L264" s="8">
        <v>-97.941361999999998</v>
      </c>
      <c r="M264" s="8" t="s">
        <v>64</v>
      </c>
      <c r="N264" s="10" t="s">
        <v>448</v>
      </c>
      <c r="O264" s="11" t="s">
        <v>132</v>
      </c>
      <c r="P264" s="11" t="s">
        <v>133</v>
      </c>
      <c r="Q264" s="12"/>
      <c r="R264" s="13">
        <v>44395</v>
      </c>
      <c r="S264" s="13">
        <v>44823</v>
      </c>
      <c r="T264" s="11">
        <v>79</v>
      </c>
      <c r="U264" s="11"/>
      <c r="V264" s="11">
        <v>214</v>
      </c>
      <c r="W264" s="11">
        <v>38</v>
      </c>
      <c r="X264" s="11">
        <v>18</v>
      </c>
      <c r="Y264" s="36"/>
      <c r="Z264" s="11">
        <v>2</v>
      </c>
      <c r="AA264" s="39">
        <v>272</v>
      </c>
      <c r="AB264" s="39">
        <v>82</v>
      </c>
      <c r="AC264" s="39">
        <v>54</v>
      </c>
      <c r="AD264" s="38"/>
      <c r="AE264" s="38"/>
      <c r="AF264" s="29"/>
    </row>
    <row r="265" spans="1:32" s="53" customFormat="1" x14ac:dyDescent="0.25">
      <c r="A265" s="46"/>
      <c r="B265" s="46" t="s">
        <v>76</v>
      </c>
      <c r="C265" s="47"/>
      <c r="D265" s="47"/>
      <c r="E265" s="47"/>
      <c r="F265" s="47"/>
      <c r="G265" s="48" t="s">
        <v>449</v>
      </c>
      <c r="H265" s="48" t="s">
        <v>67</v>
      </c>
      <c r="I265" s="48" t="s">
        <v>450</v>
      </c>
      <c r="J265" s="48" t="s">
        <v>188</v>
      </c>
      <c r="K265" s="48">
        <v>43.678409000000002</v>
      </c>
      <c r="L265" s="48">
        <v>-97.977238999999997</v>
      </c>
      <c r="M265" s="48" t="s">
        <v>64</v>
      </c>
      <c r="N265" s="50">
        <v>2021005</v>
      </c>
      <c r="O265" s="46" t="s">
        <v>83</v>
      </c>
      <c r="P265" s="46" t="s">
        <v>84</v>
      </c>
      <c r="Q265" s="51">
        <v>328</v>
      </c>
      <c r="R265" s="52">
        <v>44317</v>
      </c>
      <c r="S265" s="52">
        <v>45154</v>
      </c>
      <c r="T265" s="46"/>
      <c r="U265" s="46" t="s">
        <v>145</v>
      </c>
      <c r="V265" s="46"/>
      <c r="W265" s="46"/>
      <c r="X265" s="46"/>
      <c r="Z265" s="46">
        <v>2</v>
      </c>
      <c r="AA265" s="123"/>
      <c r="AB265" s="123"/>
      <c r="AC265" s="123"/>
      <c r="AD265" s="29"/>
      <c r="AE265" s="29"/>
      <c r="AF265" s="29"/>
    </row>
    <row r="266" spans="1:32" s="53" customFormat="1" x14ac:dyDescent="0.25">
      <c r="A266" s="46"/>
      <c r="B266" s="38" t="s">
        <v>76</v>
      </c>
      <c r="C266" s="82"/>
      <c r="D266" s="82"/>
      <c r="E266" s="82"/>
      <c r="F266" s="82"/>
      <c r="G266" s="6" t="s">
        <v>449</v>
      </c>
      <c r="H266" s="6" t="s">
        <v>67</v>
      </c>
      <c r="I266" s="6" t="s">
        <v>450</v>
      </c>
      <c r="J266" s="6" t="s">
        <v>188</v>
      </c>
      <c r="K266" s="6">
        <v>43.678409000000002</v>
      </c>
      <c r="L266" s="6">
        <v>-97.977238999999997</v>
      </c>
      <c r="M266" s="6" t="s">
        <v>64</v>
      </c>
      <c r="N266" s="50">
        <v>2021005</v>
      </c>
      <c r="O266" s="46" t="s">
        <v>54</v>
      </c>
      <c r="P266" s="46" t="s">
        <v>55</v>
      </c>
      <c r="Q266" s="51">
        <v>329</v>
      </c>
      <c r="R266" s="52">
        <v>44317</v>
      </c>
      <c r="S266" s="52">
        <v>45154</v>
      </c>
      <c r="T266" s="46"/>
      <c r="U266" s="46" t="s">
        <v>145</v>
      </c>
      <c r="V266" s="46"/>
      <c r="W266" s="46"/>
      <c r="X266" s="46"/>
      <c r="Z266" s="46">
        <v>2</v>
      </c>
      <c r="AA266" s="123"/>
      <c r="AB266" s="123"/>
      <c r="AC266" s="123"/>
      <c r="AD266" s="29"/>
      <c r="AE266" s="29"/>
      <c r="AF266" s="29"/>
    </row>
    <row r="267" spans="1:32" s="53" customFormat="1" x14ac:dyDescent="0.25">
      <c r="A267" s="46"/>
      <c r="B267" s="38" t="s">
        <v>76</v>
      </c>
      <c r="C267" s="82"/>
      <c r="D267" s="82"/>
      <c r="E267" s="82"/>
      <c r="F267" s="82"/>
      <c r="G267" s="6" t="s">
        <v>449</v>
      </c>
      <c r="H267" s="6" t="s">
        <v>67</v>
      </c>
      <c r="I267" s="6" t="s">
        <v>450</v>
      </c>
      <c r="J267" s="6" t="s">
        <v>188</v>
      </c>
      <c r="K267" s="6">
        <v>43.678409000000002</v>
      </c>
      <c r="L267" s="6">
        <v>-97.977238999999997</v>
      </c>
      <c r="M267" s="6" t="s">
        <v>64</v>
      </c>
      <c r="N267" s="50">
        <v>2021005</v>
      </c>
      <c r="O267" s="46" t="s">
        <v>56</v>
      </c>
      <c r="P267" s="46" t="s">
        <v>57</v>
      </c>
      <c r="Q267" s="51">
        <v>340</v>
      </c>
      <c r="R267" s="52">
        <v>44317</v>
      </c>
      <c r="S267" s="52">
        <v>45147</v>
      </c>
      <c r="T267" s="46"/>
      <c r="U267" s="46" t="s">
        <v>145</v>
      </c>
      <c r="V267" s="46"/>
      <c r="W267" s="46"/>
      <c r="X267" s="46"/>
      <c r="Z267" s="46">
        <v>2</v>
      </c>
      <c r="AA267" s="123"/>
      <c r="AB267" s="123"/>
      <c r="AC267" s="123"/>
      <c r="AD267" s="29"/>
      <c r="AE267" s="29"/>
      <c r="AF267" s="29"/>
    </row>
    <row r="268" spans="1:32" s="53" customFormat="1" x14ac:dyDescent="0.25">
      <c r="A268" s="46"/>
      <c r="B268" s="39" t="s">
        <v>76</v>
      </c>
      <c r="C268" s="84"/>
      <c r="D268" s="84"/>
      <c r="E268" s="84"/>
      <c r="F268" s="84"/>
      <c r="G268" s="8" t="s">
        <v>449</v>
      </c>
      <c r="H268" s="8" t="s">
        <v>67</v>
      </c>
      <c r="I268" s="8" t="s">
        <v>450</v>
      </c>
      <c r="J268" s="8" t="s">
        <v>188</v>
      </c>
      <c r="K268" s="8">
        <v>43.678409000000002</v>
      </c>
      <c r="L268" s="8">
        <v>-97.977238999999997</v>
      </c>
      <c r="M268" s="8" t="s">
        <v>64</v>
      </c>
      <c r="N268" s="56">
        <v>2021005</v>
      </c>
      <c r="O268" s="54" t="s">
        <v>105</v>
      </c>
      <c r="P268" s="54" t="s">
        <v>741</v>
      </c>
      <c r="Q268" s="57">
        <v>528</v>
      </c>
      <c r="R268" s="58">
        <v>44317</v>
      </c>
      <c r="S268" s="58">
        <v>45146</v>
      </c>
      <c r="T268" s="54"/>
      <c r="U268" s="79" t="s">
        <v>145</v>
      </c>
      <c r="V268" s="54"/>
      <c r="W268" s="54"/>
      <c r="X268" s="54"/>
      <c r="Z268" s="46">
        <v>2</v>
      </c>
      <c r="AA268" s="123"/>
      <c r="AB268" s="123"/>
      <c r="AC268" s="123"/>
      <c r="AD268" s="29"/>
      <c r="AE268" s="29"/>
      <c r="AF268" s="29"/>
    </row>
    <row r="269" spans="1:32" s="53" customFormat="1" x14ac:dyDescent="0.25">
      <c r="A269" s="46"/>
      <c r="B269" s="46" t="s">
        <v>76</v>
      </c>
      <c r="C269" s="47"/>
      <c r="D269" s="47"/>
      <c r="E269" s="47"/>
      <c r="F269" s="47"/>
      <c r="G269" s="48" t="s">
        <v>451</v>
      </c>
      <c r="H269" s="48" t="s">
        <v>452</v>
      </c>
      <c r="I269" s="48" t="s">
        <v>453</v>
      </c>
      <c r="J269" s="48" t="s">
        <v>454</v>
      </c>
      <c r="K269" s="48">
        <v>44.758721999999999</v>
      </c>
      <c r="L269" s="48">
        <v>-98.289100000000005</v>
      </c>
      <c r="M269" s="48" t="s">
        <v>409</v>
      </c>
      <c r="N269" s="50" t="s">
        <v>341</v>
      </c>
      <c r="O269" s="46" t="s">
        <v>54</v>
      </c>
      <c r="P269" s="46" t="s">
        <v>55</v>
      </c>
      <c r="Q269" s="51">
        <v>328</v>
      </c>
      <c r="R269" s="52">
        <v>44703</v>
      </c>
      <c r="S269" s="52">
        <v>44879</v>
      </c>
      <c r="T269" s="46"/>
      <c r="U269" s="46" t="s">
        <v>145</v>
      </c>
      <c r="V269" s="46">
        <v>1153</v>
      </c>
      <c r="W269" s="46">
        <v>193</v>
      </c>
      <c r="X269" s="46">
        <v>65</v>
      </c>
      <c r="Y269" s="137"/>
      <c r="Z269" s="76">
        <v>2</v>
      </c>
      <c r="AA269" s="133">
        <v>1427.7153705360631</v>
      </c>
      <c r="AB269" s="133">
        <v>299.28283313918672</v>
      </c>
      <c r="AC269" s="133">
        <v>103.41873127608346</v>
      </c>
      <c r="AD269" s="29"/>
      <c r="AE269" s="29"/>
      <c r="AF269" s="29"/>
    </row>
    <row r="270" spans="1:32" s="53" customFormat="1" x14ac:dyDescent="0.25">
      <c r="A270" s="46"/>
      <c r="B270" s="39" t="s">
        <v>76</v>
      </c>
      <c r="C270" s="55"/>
      <c r="D270" s="55"/>
      <c r="E270" s="55"/>
      <c r="F270" s="55"/>
      <c r="G270" s="8" t="s">
        <v>451</v>
      </c>
      <c r="H270" s="8" t="s">
        <v>452</v>
      </c>
      <c r="I270" s="8" t="s">
        <v>453</v>
      </c>
      <c r="J270" s="8" t="s">
        <v>454</v>
      </c>
      <c r="K270" s="8">
        <v>44.758721999999999</v>
      </c>
      <c r="L270" s="8">
        <v>-98.289100000000005</v>
      </c>
      <c r="M270" s="8" t="s">
        <v>409</v>
      </c>
      <c r="N270" s="56" t="s">
        <v>341</v>
      </c>
      <c r="O270" s="54" t="s">
        <v>56</v>
      </c>
      <c r="P270" s="54" t="s">
        <v>57</v>
      </c>
      <c r="Q270" s="57">
        <v>329</v>
      </c>
      <c r="R270" s="58">
        <v>44703</v>
      </c>
      <c r="S270" s="58">
        <v>44879</v>
      </c>
      <c r="T270" s="54"/>
      <c r="U270" s="54" t="s">
        <v>145</v>
      </c>
      <c r="V270" s="54">
        <v>1164</v>
      </c>
      <c r="W270" s="54">
        <v>257</v>
      </c>
      <c r="X270" s="54">
        <v>88</v>
      </c>
      <c r="Y270" s="136"/>
      <c r="Z270" s="54">
        <v>2</v>
      </c>
      <c r="AA270" s="135">
        <f t="shared" ref="AA270:AA327" si="22">V270*$AD$1</f>
        <v>1427.7153705360631</v>
      </c>
      <c r="AB270" s="135">
        <f t="shared" ref="AB270:AB327" si="23">W270*$AE$1</f>
        <v>299.28283313918672</v>
      </c>
      <c r="AC270" s="135">
        <f t="shared" ref="AC270:AC327" si="24">X270*$AF$1</f>
        <v>103.41873127608346</v>
      </c>
      <c r="AD270" s="29"/>
      <c r="AE270" s="29"/>
      <c r="AF270" s="29"/>
    </row>
    <row r="271" spans="1:32" s="53" customFormat="1" x14ac:dyDescent="0.25">
      <c r="A271" s="46"/>
      <c r="B271" s="46" t="s">
        <v>76</v>
      </c>
      <c r="C271" s="47"/>
      <c r="D271" s="47"/>
      <c r="E271" s="47"/>
      <c r="F271" s="47"/>
      <c r="G271" s="48" t="s">
        <v>455</v>
      </c>
      <c r="H271" s="48" t="s">
        <v>456</v>
      </c>
      <c r="I271" s="48" t="s">
        <v>457</v>
      </c>
      <c r="J271" s="48" t="s">
        <v>458</v>
      </c>
      <c r="K271" s="48">
        <v>43.152321000000001</v>
      </c>
      <c r="L271" s="48">
        <v>-97.096791999999994</v>
      </c>
      <c r="M271" s="48" t="s">
        <v>100</v>
      </c>
      <c r="N271" s="50" t="s">
        <v>459</v>
      </c>
      <c r="O271" s="46" t="s">
        <v>54</v>
      </c>
      <c r="P271" s="46" t="s">
        <v>55</v>
      </c>
      <c r="Q271" s="51">
        <v>329</v>
      </c>
      <c r="R271" s="52">
        <v>44287</v>
      </c>
      <c r="S271" s="52">
        <v>44409</v>
      </c>
      <c r="T271" s="46"/>
      <c r="U271" s="46" t="s">
        <v>145</v>
      </c>
      <c r="V271" s="46">
        <v>864</v>
      </c>
      <c r="W271" s="46">
        <v>115</v>
      </c>
      <c r="X271" s="46">
        <v>57</v>
      </c>
      <c r="Z271" s="46">
        <v>2</v>
      </c>
      <c r="AA271" s="123">
        <f t="shared" si="22"/>
        <v>1059.7474915319231</v>
      </c>
      <c r="AB271" s="123">
        <f t="shared" si="23"/>
        <v>133.92033389496683</v>
      </c>
      <c r="AC271" s="123">
        <f t="shared" si="24"/>
        <v>66.98713275837224</v>
      </c>
      <c r="AD271" s="29"/>
      <c r="AE271" s="29"/>
      <c r="AF271" s="29"/>
    </row>
    <row r="272" spans="1:32" s="53" customFormat="1" x14ac:dyDescent="0.25">
      <c r="A272" s="46"/>
      <c r="B272" s="39" t="s">
        <v>76</v>
      </c>
      <c r="C272" s="84"/>
      <c r="D272" s="84"/>
      <c r="E272" s="84"/>
      <c r="F272" s="84"/>
      <c r="G272" s="8" t="s">
        <v>455</v>
      </c>
      <c r="H272" s="8" t="s">
        <v>456</v>
      </c>
      <c r="I272" s="8" t="s">
        <v>457</v>
      </c>
      <c r="J272" s="8" t="s">
        <v>458</v>
      </c>
      <c r="K272" s="8">
        <v>43.152321000000001</v>
      </c>
      <c r="L272" s="8">
        <v>-97.096791999999994</v>
      </c>
      <c r="M272" s="8" t="s">
        <v>100</v>
      </c>
      <c r="N272" s="56" t="s">
        <v>459</v>
      </c>
      <c r="O272" s="54" t="s">
        <v>56</v>
      </c>
      <c r="P272" s="54" t="s">
        <v>57</v>
      </c>
      <c r="Q272" s="57">
        <v>340</v>
      </c>
      <c r="R272" s="58">
        <v>44287</v>
      </c>
      <c r="S272" s="58">
        <v>44409</v>
      </c>
      <c r="T272" s="54"/>
      <c r="U272" s="54" t="s">
        <v>145</v>
      </c>
      <c r="V272" s="54">
        <v>254</v>
      </c>
      <c r="W272" s="54">
        <v>79</v>
      </c>
      <c r="X272" s="54">
        <v>51</v>
      </c>
      <c r="Z272" s="46">
        <v>2</v>
      </c>
      <c r="AA272" s="124">
        <v>1059.7474915319231</v>
      </c>
      <c r="AB272" s="124">
        <v>133.92033389496683</v>
      </c>
      <c r="AC272" s="124">
        <v>66.98713275837224</v>
      </c>
      <c r="AD272" s="29"/>
      <c r="AE272" s="29"/>
      <c r="AF272" s="29"/>
    </row>
    <row r="273" spans="1:32" s="28" customFormat="1" x14ac:dyDescent="0.25">
      <c r="A273"/>
      <c r="B273"/>
      <c r="C273" s="31"/>
      <c r="D273" s="31"/>
      <c r="E273" s="31"/>
      <c r="F273" s="31"/>
      <c r="G273" s="20" t="s">
        <v>460</v>
      </c>
      <c r="H273" s="20" t="s">
        <v>461</v>
      </c>
      <c r="I273" s="20" t="s">
        <v>462</v>
      </c>
      <c r="J273" s="20" t="s">
        <v>463</v>
      </c>
      <c r="K273" s="20">
        <v>45.424764000000003</v>
      </c>
      <c r="L273" s="20">
        <v>-98.181145999999998</v>
      </c>
      <c r="M273" s="20" t="s">
        <v>233</v>
      </c>
      <c r="N273" s="4">
        <v>2004</v>
      </c>
      <c r="O273" t="s">
        <v>54</v>
      </c>
      <c r="P273" t="s">
        <v>55</v>
      </c>
      <c r="Q273" s="5">
        <v>329</v>
      </c>
      <c r="R273" s="1">
        <v>44747</v>
      </c>
      <c r="S273" s="1">
        <v>44862</v>
      </c>
      <c r="T273">
        <v>141</v>
      </c>
      <c r="U273"/>
      <c r="V273">
        <v>227.4</v>
      </c>
      <c r="W273">
        <v>30.5</v>
      </c>
      <c r="X273">
        <v>15.2</v>
      </c>
      <c r="Y273" s="132"/>
      <c r="Z273" s="14">
        <v>2</v>
      </c>
      <c r="AA273" s="133">
        <v>468.66842189160627</v>
      </c>
      <c r="AB273" s="133">
        <v>126.1180187897818</v>
      </c>
      <c r="AC273" s="133">
        <v>69.925164896897343</v>
      </c>
      <c r="AD273" s="29"/>
      <c r="AE273" s="29"/>
      <c r="AF273" s="29"/>
    </row>
    <row r="274" spans="1:32" s="28" customFormat="1" x14ac:dyDescent="0.25">
      <c r="A274"/>
      <c r="B274" s="11" t="s">
        <v>464</v>
      </c>
      <c r="C274" s="32">
        <v>0</v>
      </c>
      <c r="D274" s="32">
        <v>3530.1</v>
      </c>
      <c r="E274" s="32">
        <v>3530.1</v>
      </c>
      <c r="F274" s="32">
        <v>7060.2</v>
      </c>
      <c r="G274" s="8" t="s">
        <v>460</v>
      </c>
      <c r="H274" s="8" t="s">
        <v>461</v>
      </c>
      <c r="I274" s="8" t="s">
        <v>462</v>
      </c>
      <c r="J274" s="8" t="s">
        <v>463</v>
      </c>
      <c r="K274" s="8">
        <v>45.424764000000003</v>
      </c>
      <c r="L274" s="8">
        <v>-98.181145999999998</v>
      </c>
      <c r="M274" s="8" t="s">
        <v>233</v>
      </c>
      <c r="N274" s="10">
        <v>2004</v>
      </c>
      <c r="O274" s="11" t="s">
        <v>56</v>
      </c>
      <c r="P274" s="11" t="s">
        <v>57</v>
      </c>
      <c r="Q274" s="12">
        <v>340</v>
      </c>
      <c r="R274" s="13">
        <v>44747</v>
      </c>
      <c r="S274" s="13">
        <v>44832</v>
      </c>
      <c r="T274" s="11">
        <v>141</v>
      </c>
      <c r="U274" s="11"/>
      <c r="V274" s="11">
        <v>382.1</v>
      </c>
      <c r="W274" s="11">
        <v>108.3</v>
      </c>
      <c r="X274" s="11">
        <v>59.5</v>
      </c>
      <c r="Y274" s="36"/>
      <c r="Z274" s="11">
        <v>2</v>
      </c>
      <c r="AA274" s="135">
        <f t="shared" si="22"/>
        <v>468.66842189160627</v>
      </c>
      <c r="AB274" s="135">
        <f t="shared" si="23"/>
        <v>126.1180187897818</v>
      </c>
      <c r="AC274" s="135">
        <f t="shared" si="24"/>
        <v>69.925164896897343</v>
      </c>
      <c r="AD274" s="29"/>
      <c r="AE274" s="29"/>
      <c r="AF274" s="29"/>
    </row>
    <row r="275" spans="1:32" s="28" customFormat="1" x14ac:dyDescent="0.25">
      <c r="A275"/>
      <c r="B275" s="1">
        <v>45558</v>
      </c>
      <c r="C275" s="31">
        <v>4480</v>
      </c>
      <c r="D275" s="31"/>
      <c r="E275" s="31">
        <v>8256</v>
      </c>
      <c r="F275" s="31">
        <v>12736</v>
      </c>
      <c r="G275" s="20" t="s">
        <v>465</v>
      </c>
      <c r="H275" s="20" t="s">
        <v>466</v>
      </c>
      <c r="I275" s="20" t="s">
        <v>467</v>
      </c>
      <c r="J275" s="20" t="s">
        <v>468</v>
      </c>
      <c r="K275" s="20">
        <v>45.367956999999997</v>
      </c>
      <c r="L275" s="20">
        <v>-96.877460999999997</v>
      </c>
      <c r="M275" s="20" t="s">
        <v>275</v>
      </c>
      <c r="N275" s="4">
        <v>202402</v>
      </c>
      <c r="O275" t="s">
        <v>56</v>
      </c>
      <c r="P275" t="s">
        <v>57</v>
      </c>
      <c r="Q275" s="5">
        <v>340</v>
      </c>
      <c r="R275" s="1">
        <v>45413</v>
      </c>
      <c r="S275" s="1">
        <v>45413</v>
      </c>
      <c r="T275">
        <v>154</v>
      </c>
      <c r="U275"/>
      <c r="V275">
        <v>492</v>
      </c>
      <c r="W275">
        <v>157</v>
      </c>
      <c r="X275">
        <v>107</v>
      </c>
      <c r="Z275">
        <v>3</v>
      </c>
      <c r="AA275" s="123">
        <f t="shared" si="22"/>
        <v>603.46732156678956</v>
      </c>
      <c r="AB275" s="123">
        <f t="shared" si="23"/>
        <v>182.83036888269385</v>
      </c>
      <c r="AC275" s="123">
        <f t="shared" si="24"/>
        <v>125.74777552887421</v>
      </c>
      <c r="AD275" s="29"/>
      <c r="AE275" s="29"/>
      <c r="AF275" s="29"/>
    </row>
    <row r="276" spans="1:32" s="28" customFormat="1" x14ac:dyDescent="0.25">
      <c r="A276"/>
      <c r="B276" s="13">
        <v>45558</v>
      </c>
      <c r="C276" s="32">
        <v>1000</v>
      </c>
      <c r="D276" s="32"/>
      <c r="E276" s="32">
        <v>3125</v>
      </c>
      <c r="F276" s="32">
        <v>4125</v>
      </c>
      <c r="G276" s="8" t="s">
        <v>465</v>
      </c>
      <c r="H276" s="8" t="s">
        <v>466</v>
      </c>
      <c r="I276" s="8" t="s">
        <v>467</v>
      </c>
      <c r="J276" s="8" t="s">
        <v>468</v>
      </c>
      <c r="K276" s="8">
        <v>45.367956999999997</v>
      </c>
      <c r="L276" s="8">
        <v>-96.877460999999997</v>
      </c>
      <c r="M276" s="8" t="s">
        <v>275</v>
      </c>
      <c r="N276" s="10">
        <v>202402</v>
      </c>
      <c r="O276" s="11" t="s">
        <v>132</v>
      </c>
      <c r="P276" s="11" t="s">
        <v>133</v>
      </c>
      <c r="Q276" s="12"/>
      <c r="R276" s="13">
        <v>45474</v>
      </c>
      <c r="S276" s="13">
        <v>45474</v>
      </c>
      <c r="T276" s="11">
        <v>154</v>
      </c>
      <c r="U276" s="11"/>
      <c r="V276" s="11">
        <v>117</v>
      </c>
      <c r="W276" s="11">
        <v>36</v>
      </c>
      <c r="X276" s="11">
        <v>25</v>
      </c>
      <c r="Z276">
        <v>3</v>
      </c>
      <c r="AA276" s="124">
        <v>603.46732156678956</v>
      </c>
      <c r="AB276" s="124">
        <v>182.83036888269385</v>
      </c>
      <c r="AC276" s="124">
        <v>125.74777552887421</v>
      </c>
      <c r="AD276" s="29"/>
      <c r="AE276" s="29"/>
      <c r="AF276" s="29"/>
    </row>
    <row r="277" spans="1:32" s="28" customFormat="1" x14ac:dyDescent="0.25">
      <c r="A277"/>
      <c r="B277" s="1">
        <v>45370</v>
      </c>
      <c r="C277" s="31">
        <v>32161.97</v>
      </c>
      <c r="D277" s="31"/>
      <c r="E277" s="31">
        <v>41620.97</v>
      </c>
      <c r="F277" s="31">
        <v>73782.94</v>
      </c>
      <c r="G277" s="20" t="s">
        <v>469</v>
      </c>
      <c r="H277" s="20" t="s">
        <v>470</v>
      </c>
      <c r="I277" s="20" t="s">
        <v>471</v>
      </c>
      <c r="J277" s="20" t="s">
        <v>472</v>
      </c>
      <c r="K277" s="20">
        <v>43.321773999999998</v>
      </c>
      <c r="L277" s="20">
        <v>-100.44682299999999</v>
      </c>
      <c r="M277" s="20" t="s">
        <v>473</v>
      </c>
      <c r="N277" s="4" t="s">
        <v>474</v>
      </c>
      <c r="O277" t="s">
        <v>75</v>
      </c>
      <c r="P277" t="s">
        <v>475</v>
      </c>
      <c r="Q277" s="5">
        <v>914</v>
      </c>
      <c r="R277" s="1">
        <v>45069</v>
      </c>
      <c r="S277" s="1">
        <v>45369</v>
      </c>
      <c r="T277">
        <v>268.45999999999998</v>
      </c>
      <c r="U277"/>
      <c r="V277"/>
      <c r="W277"/>
      <c r="X277"/>
      <c r="Y277" s="132"/>
      <c r="Z277" s="14">
        <v>3</v>
      </c>
      <c r="AA277" s="133">
        <v>1257.2235865974783</v>
      </c>
      <c r="AB277" s="133">
        <v>189.81751673808341</v>
      </c>
      <c r="AC277" s="133">
        <v>98.717879854443311</v>
      </c>
      <c r="AD277" s="29"/>
      <c r="AE277" s="29"/>
      <c r="AF277" s="29"/>
    </row>
    <row r="278" spans="1:32" s="28" customFormat="1" x14ac:dyDescent="0.25">
      <c r="A278"/>
      <c r="B278" s="11"/>
      <c r="C278" s="32"/>
      <c r="D278" s="32"/>
      <c r="E278" s="32"/>
      <c r="F278" s="32"/>
      <c r="G278" s="8" t="s">
        <v>469</v>
      </c>
      <c r="H278" s="8" t="s">
        <v>470</v>
      </c>
      <c r="I278" s="8" t="s">
        <v>471</v>
      </c>
      <c r="J278" s="8" t="s">
        <v>472</v>
      </c>
      <c r="K278" s="8">
        <v>43.321773999999998</v>
      </c>
      <c r="L278" s="8">
        <v>-100.44682299999999</v>
      </c>
      <c r="M278" s="8" t="s">
        <v>473</v>
      </c>
      <c r="N278" s="10" t="s">
        <v>474</v>
      </c>
      <c r="O278" s="11" t="s">
        <v>105</v>
      </c>
      <c r="P278" s="11" t="s">
        <v>741</v>
      </c>
      <c r="Q278" s="12">
        <v>528</v>
      </c>
      <c r="R278" s="13">
        <v>45122</v>
      </c>
      <c r="S278" s="13">
        <v>45380</v>
      </c>
      <c r="T278" s="11">
        <v>400</v>
      </c>
      <c r="U278" s="11"/>
      <c r="V278" s="11">
        <v>1025</v>
      </c>
      <c r="W278" s="11">
        <v>163</v>
      </c>
      <c r="X278" s="11">
        <v>84</v>
      </c>
      <c r="Y278" s="36"/>
      <c r="Z278" s="11">
        <v>3</v>
      </c>
      <c r="AA278" s="135">
        <f t="shared" si="22"/>
        <v>1257.2235865974783</v>
      </c>
      <c r="AB278" s="135">
        <f t="shared" si="23"/>
        <v>189.81751673808341</v>
      </c>
      <c r="AC278" s="135">
        <f t="shared" si="24"/>
        <v>98.717879854443311</v>
      </c>
      <c r="AD278" s="29"/>
      <c r="AE278" s="29"/>
      <c r="AF278" s="29"/>
    </row>
    <row r="279" spans="1:32" s="28" customFormat="1" x14ac:dyDescent="0.25">
      <c r="A279"/>
      <c r="B279"/>
      <c r="C279" s="31"/>
      <c r="D279" s="31"/>
      <c r="E279" s="31"/>
      <c r="F279" s="31"/>
      <c r="G279" s="20" t="s">
        <v>476</v>
      </c>
      <c r="H279" s="20" t="s">
        <v>201</v>
      </c>
      <c r="I279" s="20" t="s">
        <v>477</v>
      </c>
      <c r="J279" s="20" t="s">
        <v>478</v>
      </c>
      <c r="K279" s="20">
        <v>43.062289</v>
      </c>
      <c r="L279" s="20">
        <v>-97.649383999999998</v>
      </c>
      <c r="M279" s="20" t="s">
        <v>137</v>
      </c>
      <c r="N279" s="4" t="s">
        <v>479</v>
      </c>
      <c r="O279" t="s">
        <v>54</v>
      </c>
      <c r="P279" t="s">
        <v>55</v>
      </c>
      <c r="Q279" s="5">
        <v>329</v>
      </c>
      <c r="R279" s="1">
        <v>45505</v>
      </c>
      <c r="S279" s="1">
        <v>45708</v>
      </c>
      <c r="T279">
        <v>30</v>
      </c>
      <c r="U279"/>
      <c r="V279">
        <v>300</v>
      </c>
      <c r="W279">
        <v>105</v>
      </c>
      <c r="X279">
        <v>77</v>
      </c>
      <c r="Z279">
        <v>3</v>
      </c>
      <c r="AA279" s="123">
        <f t="shared" si="22"/>
        <v>367.96787900413995</v>
      </c>
      <c r="AB279" s="123">
        <f t="shared" si="23"/>
        <v>122.27508746931754</v>
      </c>
      <c r="AC279" s="123">
        <f t="shared" si="24"/>
        <v>90.49138986657303</v>
      </c>
      <c r="AD279" s="29"/>
      <c r="AE279" s="29"/>
      <c r="AF279" s="29"/>
    </row>
    <row r="280" spans="1:32" s="28" customFormat="1" x14ac:dyDescent="0.25">
      <c r="A280"/>
      <c r="B280" s="1">
        <v>45550</v>
      </c>
      <c r="C280" s="31">
        <v>478.66</v>
      </c>
      <c r="D280" s="31"/>
      <c r="E280" s="31">
        <v>478.66</v>
      </c>
      <c r="F280" s="31">
        <v>957.32</v>
      </c>
      <c r="G280" s="6" t="s">
        <v>476</v>
      </c>
      <c r="H280" s="6" t="s">
        <v>201</v>
      </c>
      <c r="I280" s="6" t="s">
        <v>477</v>
      </c>
      <c r="J280" s="6" t="s">
        <v>478</v>
      </c>
      <c r="K280" s="6">
        <v>43.062289</v>
      </c>
      <c r="L280" s="6">
        <v>-97.649383999999998</v>
      </c>
      <c r="M280" s="6" t="s">
        <v>137</v>
      </c>
      <c r="N280" s="4" t="s">
        <v>479</v>
      </c>
      <c r="O280" t="s">
        <v>56</v>
      </c>
      <c r="P280" t="s">
        <v>57</v>
      </c>
      <c r="Q280" s="5">
        <v>340</v>
      </c>
      <c r="R280" s="1">
        <v>45526</v>
      </c>
      <c r="S280" s="1">
        <v>45550</v>
      </c>
      <c r="T280">
        <v>30</v>
      </c>
      <c r="U280"/>
      <c r="V280">
        <v>272</v>
      </c>
      <c r="W280">
        <v>93</v>
      </c>
      <c r="X280">
        <v>68</v>
      </c>
      <c r="Z280">
        <v>3</v>
      </c>
      <c r="AA280" s="124">
        <v>367.96787900413995</v>
      </c>
      <c r="AB280" s="124">
        <v>122.27508746931754</v>
      </c>
      <c r="AC280" s="124">
        <v>90.49138986657303</v>
      </c>
      <c r="AD280" s="29"/>
      <c r="AE280" s="29"/>
      <c r="AF280" s="29"/>
    </row>
    <row r="281" spans="1:32" s="28" customFormat="1" x14ac:dyDescent="0.25">
      <c r="A281"/>
      <c r="B281" s="11"/>
      <c r="C281" s="32"/>
      <c r="D281" s="32"/>
      <c r="E281" s="32"/>
      <c r="F281" s="32"/>
      <c r="G281" s="8" t="s">
        <v>476</v>
      </c>
      <c r="H281" s="8" t="s">
        <v>201</v>
      </c>
      <c r="I281" s="8" t="s">
        <v>477</v>
      </c>
      <c r="J281" s="8" t="s">
        <v>478</v>
      </c>
      <c r="K281" s="8">
        <v>43.062289</v>
      </c>
      <c r="L281" s="8">
        <v>-97.649383999999998</v>
      </c>
      <c r="M281" s="8" t="s">
        <v>137</v>
      </c>
      <c r="N281" s="10" t="s">
        <v>479</v>
      </c>
      <c r="O281" s="11" t="s">
        <v>105</v>
      </c>
      <c r="P281" s="11" t="s">
        <v>741</v>
      </c>
      <c r="Q281" s="12">
        <v>528</v>
      </c>
      <c r="R281" s="13">
        <v>45505</v>
      </c>
      <c r="S281" s="13">
        <v>45708</v>
      </c>
      <c r="T281" s="11">
        <v>30</v>
      </c>
      <c r="U281" s="11"/>
      <c r="V281" s="11"/>
      <c r="W281" s="11"/>
      <c r="X281" s="11"/>
      <c r="Z281">
        <v>3</v>
      </c>
      <c r="AA281" s="124">
        <v>367.96787900413995</v>
      </c>
      <c r="AB281" s="124">
        <v>122.27508746931754</v>
      </c>
      <c r="AC281" s="124">
        <v>90.49138986657303</v>
      </c>
      <c r="AD281" s="29"/>
      <c r="AE281" s="29"/>
      <c r="AF281" s="29"/>
    </row>
    <row r="282" spans="1:32" s="28" customFormat="1" x14ac:dyDescent="0.25">
      <c r="A282"/>
      <c r="B282"/>
      <c r="C282" s="31"/>
      <c r="D282" s="31"/>
      <c r="E282" s="31"/>
      <c r="F282" s="31"/>
      <c r="G282" s="20" t="s">
        <v>480</v>
      </c>
      <c r="H282" s="20" t="s">
        <v>481</v>
      </c>
      <c r="I282" s="20" t="s">
        <v>482</v>
      </c>
      <c r="J282" s="20" t="s">
        <v>483</v>
      </c>
      <c r="K282" s="20">
        <v>44.651564</v>
      </c>
      <c r="L282" s="20">
        <v>-101.342377</v>
      </c>
      <c r="M282" s="20" t="s">
        <v>484</v>
      </c>
      <c r="N282" s="4" t="s">
        <v>485</v>
      </c>
      <c r="O282" t="s">
        <v>54</v>
      </c>
      <c r="P282" t="s">
        <v>55</v>
      </c>
      <c r="Q282" s="5">
        <v>329</v>
      </c>
      <c r="R282" s="1">
        <v>45383</v>
      </c>
      <c r="S282" s="1">
        <v>45413</v>
      </c>
      <c r="T282">
        <v>158</v>
      </c>
      <c r="U282"/>
      <c r="V282">
        <v>1218</v>
      </c>
      <c r="W282">
        <v>421</v>
      </c>
      <c r="X282">
        <v>324</v>
      </c>
      <c r="Y282" s="132"/>
      <c r="Z282" s="14">
        <v>3</v>
      </c>
      <c r="AA282" s="133">
        <v>2128.0809002406095</v>
      </c>
      <c r="AB282" s="133">
        <v>737.14409874360001</v>
      </c>
      <c r="AC282" s="133">
        <v>574.67908629550925</v>
      </c>
      <c r="AD282" s="29"/>
      <c r="AE282" s="29"/>
      <c r="AF282" s="29"/>
    </row>
    <row r="283" spans="1:32" s="28" customFormat="1" x14ac:dyDescent="0.25">
      <c r="A283"/>
      <c r="B283" s="13">
        <v>45405</v>
      </c>
      <c r="C283" s="32">
        <v>4424</v>
      </c>
      <c r="D283" s="32"/>
      <c r="E283" s="32">
        <v>5090.17</v>
      </c>
      <c r="F283" s="32">
        <v>9514.17</v>
      </c>
      <c r="G283" s="8" t="s">
        <v>480</v>
      </c>
      <c r="H283" s="8" t="s">
        <v>481</v>
      </c>
      <c r="I283" s="8" t="s">
        <v>482</v>
      </c>
      <c r="J283" s="8" t="s">
        <v>483</v>
      </c>
      <c r="K283" s="8">
        <v>44.651564</v>
      </c>
      <c r="L283" s="8">
        <v>-101.342377</v>
      </c>
      <c r="M283" s="8" t="s">
        <v>484</v>
      </c>
      <c r="N283" s="10" t="s">
        <v>485</v>
      </c>
      <c r="O283" s="11" t="s">
        <v>56</v>
      </c>
      <c r="P283" s="11" t="s">
        <v>57</v>
      </c>
      <c r="Q283" s="12">
        <v>340</v>
      </c>
      <c r="R283" s="13">
        <v>45383</v>
      </c>
      <c r="S283" s="13">
        <v>45401</v>
      </c>
      <c r="T283" s="11">
        <v>158</v>
      </c>
      <c r="U283" s="11"/>
      <c r="V283" s="11">
        <v>1735</v>
      </c>
      <c r="W283" s="11">
        <v>633</v>
      </c>
      <c r="X283" s="11">
        <v>489</v>
      </c>
      <c r="Y283" s="36"/>
      <c r="Z283" s="11">
        <v>3</v>
      </c>
      <c r="AA283" s="135">
        <f t="shared" si="22"/>
        <v>2128.0809002406095</v>
      </c>
      <c r="AB283" s="135">
        <f t="shared" si="23"/>
        <v>737.14409874360001</v>
      </c>
      <c r="AC283" s="135">
        <f t="shared" si="24"/>
        <v>574.67908629550925</v>
      </c>
      <c r="AD283" s="29"/>
      <c r="AE283" s="29"/>
      <c r="AF283" s="29"/>
    </row>
    <row r="284" spans="1:32" s="28" customFormat="1" x14ac:dyDescent="0.25">
      <c r="A284"/>
      <c r="B284"/>
      <c r="C284" s="31"/>
      <c r="D284" s="31"/>
      <c r="E284" s="31"/>
      <c r="F284" s="31"/>
      <c r="G284" s="20" t="s">
        <v>480</v>
      </c>
      <c r="H284" s="20" t="s">
        <v>255</v>
      </c>
      <c r="I284" s="20" t="s">
        <v>482</v>
      </c>
      <c r="J284" s="20" t="s">
        <v>483</v>
      </c>
      <c r="K284" s="20">
        <v>44.556004999999999</v>
      </c>
      <c r="L284" s="20">
        <v>-101.320891</v>
      </c>
      <c r="M284" s="20" t="s">
        <v>484</v>
      </c>
      <c r="N284" s="4" t="s">
        <v>486</v>
      </c>
      <c r="O284" t="s">
        <v>54</v>
      </c>
      <c r="P284" t="s">
        <v>55</v>
      </c>
      <c r="Q284" s="5">
        <v>329</v>
      </c>
      <c r="R284" s="1">
        <v>45413</v>
      </c>
      <c r="S284" s="1">
        <v>45424</v>
      </c>
      <c r="T284">
        <v>171</v>
      </c>
      <c r="U284"/>
      <c r="V284">
        <v>600</v>
      </c>
      <c r="W284">
        <v>176</v>
      </c>
      <c r="X284">
        <v>133</v>
      </c>
      <c r="Z284">
        <v>3</v>
      </c>
      <c r="AA284" s="123">
        <v>1583.4884393144823</v>
      </c>
      <c r="AB284" s="123">
        <v>876.88705585139144</v>
      </c>
      <c r="AC284" s="123">
        <v>683.97388184864292</v>
      </c>
      <c r="AD284" s="29"/>
      <c r="AE284" s="29"/>
      <c r="AF284" s="29"/>
    </row>
    <row r="285" spans="1:32" s="28" customFormat="1" x14ac:dyDescent="0.25">
      <c r="A285"/>
      <c r="B285" s="13">
        <v>45444</v>
      </c>
      <c r="C285" s="32">
        <v>4000</v>
      </c>
      <c r="D285" s="32"/>
      <c r="E285" s="32">
        <v>11809</v>
      </c>
      <c r="F285" s="32">
        <v>15809</v>
      </c>
      <c r="G285" s="8" t="s">
        <v>480</v>
      </c>
      <c r="H285" s="8" t="s">
        <v>255</v>
      </c>
      <c r="I285" s="8" t="s">
        <v>482</v>
      </c>
      <c r="J285" s="8" t="s">
        <v>483</v>
      </c>
      <c r="K285" s="8">
        <v>44.556004999999999</v>
      </c>
      <c r="L285" s="8">
        <v>-101.320891</v>
      </c>
      <c r="M285" s="8" t="s">
        <v>484</v>
      </c>
      <c r="N285" s="10" t="s">
        <v>486</v>
      </c>
      <c r="O285" s="11" t="s">
        <v>56</v>
      </c>
      <c r="P285" s="11" t="s">
        <v>57</v>
      </c>
      <c r="Q285" s="12">
        <v>340</v>
      </c>
      <c r="R285" s="13">
        <v>45413</v>
      </c>
      <c r="S285" s="13">
        <v>45424</v>
      </c>
      <c r="T285" s="11">
        <v>171</v>
      </c>
      <c r="U285" s="11"/>
      <c r="V285" s="11">
        <v>1291</v>
      </c>
      <c r="W285" s="11">
        <v>753</v>
      </c>
      <c r="X285" s="11">
        <v>582</v>
      </c>
      <c r="Z285">
        <v>3</v>
      </c>
      <c r="AA285" s="124">
        <f t="shared" si="22"/>
        <v>1583.4884393144823</v>
      </c>
      <c r="AB285" s="124">
        <f t="shared" si="23"/>
        <v>876.88705585139144</v>
      </c>
      <c r="AC285" s="124">
        <f t="shared" si="24"/>
        <v>683.97388184864292</v>
      </c>
      <c r="AD285" s="29"/>
      <c r="AE285" s="29"/>
      <c r="AF285" s="29"/>
    </row>
    <row r="286" spans="1:32" s="28" customFormat="1" x14ac:dyDescent="0.25">
      <c r="A286"/>
      <c r="B286"/>
      <c r="C286" s="31"/>
      <c r="D286" s="31"/>
      <c r="E286" s="31"/>
      <c r="F286" s="31"/>
      <c r="G286" s="20" t="s">
        <v>487</v>
      </c>
      <c r="H286" s="20" t="s">
        <v>97</v>
      </c>
      <c r="I286" s="20" t="s">
        <v>488</v>
      </c>
      <c r="J286" s="20" t="s">
        <v>227</v>
      </c>
      <c r="K286" s="20">
        <v>43.807540000000003</v>
      </c>
      <c r="L286" s="20">
        <v>-96.816321000000002</v>
      </c>
      <c r="M286" s="20" t="s">
        <v>156</v>
      </c>
      <c r="N286" s="4" t="s">
        <v>489</v>
      </c>
      <c r="O286" t="s">
        <v>54</v>
      </c>
      <c r="P286" t="s">
        <v>55</v>
      </c>
      <c r="Q286" s="5">
        <v>329</v>
      </c>
      <c r="R286" s="1">
        <v>45544</v>
      </c>
      <c r="S286" s="1">
        <v>45554</v>
      </c>
      <c r="T286">
        <v>104</v>
      </c>
      <c r="U286"/>
      <c r="V286">
        <v>364</v>
      </c>
      <c r="W286">
        <v>81</v>
      </c>
      <c r="X286">
        <v>56</v>
      </c>
      <c r="Y286" s="132"/>
      <c r="Z286" s="14">
        <v>3</v>
      </c>
      <c r="AA286" s="133">
        <v>1019.2710248414677</v>
      </c>
      <c r="AB286" s="133">
        <v>319.07975206279053</v>
      </c>
      <c r="AC286" s="133">
        <v>230.34171966036772</v>
      </c>
      <c r="AD286" s="29"/>
      <c r="AE286" s="29"/>
      <c r="AF286" s="29"/>
    </row>
    <row r="287" spans="1:32" s="28" customFormat="1" x14ac:dyDescent="0.25">
      <c r="A287"/>
      <c r="B287" s="13">
        <v>45544</v>
      </c>
      <c r="C287" s="32">
        <v>2600</v>
      </c>
      <c r="D287" s="32"/>
      <c r="E287" s="32">
        <v>2674.5</v>
      </c>
      <c r="F287" s="32">
        <v>5274.5</v>
      </c>
      <c r="G287" s="8" t="s">
        <v>487</v>
      </c>
      <c r="H287" s="8" t="s">
        <v>97</v>
      </c>
      <c r="I287" s="8" t="s">
        <v>488</v>
      </c>
      <c r="J287" s="8" t="s">
        <v>227</v>
      </c>
      <c r="K287" s="8">
        <v>43.807540000000003</v>
      </c>
      <c r="L287" s="8">
        <v>-96.816321000000002</v>
      </c>
      <c r="M287" s="8" t="s">
        <v>156</v>
      </c>
      <c r="N287" s="10" t="s">
        <v>489</v>
      </c>
      <c r="O287" s="11" t="s">
        <v>56</v>
      </c>
      <c r="P287" s="11" t="s">
        <v>57</v>
      </c>
      <c r="Q287" s="12">
        <v>340</v>
      </c>
      <c r="R287" s="13">
        <v>45544</v>
      </c>
      <c r="S287" s="13">
        <v>45554</v>
      </c>
      <c r="T287" s="11">
        <v>104</v>
      </c>
      <c r="U287" s="11"/>
      <c r="V287" s="11">
        <v>831</v>
      </c>
      <c r="W287" s="11">
        <v>274</v>
      </c>
      <c r="X287" s="11">
        <v>196</v>
      </c>
      <c r="Y287" s="36"/>
      <c r="Z287" s="11">
        <v>3</v>
      </c>
      <c r="AA287" s="135">
        <f t="shared" si="22"/>
        <v>1019.2710248414677</v>
      </c>
      <c r="AB287" s="135">
        <f t="shared" si="23"/>
        <v>319.07975206279053</v>
      </c>
      <c r="AC287" s="135">
        <f t="shared" si="24"/>
        <v>230.34171966036772</v>
      </c>
      <c r="AD287" s="29"/>
      <c r="AE287" s="29"/>
      <c r="AF287" s="29"/>
    </row>
    <row r="288" spans="1:32" s="28" customFormat="1" x14ac:dyDescent="0.25">
      <c r="A288"/>
      <c r="B288"/>
      <c r="C288" s="31"/>
      <c r="D288" s="31"/>
      <c r="E288" s="31"/>
      <c r="F288" s="31"/>
      <c r="G288" s="20" t="s">
        <v>490</v>
      </c>
      <c r="H288" s="20" t="s">
        <v>261</v>
      </c>
      <c r="I288" s="20" t="s">
        <v>491</v>
      </c>
      <c r="J288" s="20" t="s">
        <v>492</v>
      </c>
      <c r="K288" s="20">
        <v>42.988413999999999</v>
      </c>
      <c r="L288" s="20">
        <v>-97.539907999999997</v>
      </c>
      <c r="M288" s="20" t="s">
        <v>137</v>
      </c>
      <c r="N288" s="4" t="s">
        <v>493</v>
      </c>
      <c r="O288" t="s">
        <v>54</v>
      </c>
      <c r="P288" t="s">
        <v>55</v>
      </c>
      <c r="Q288" s="5">
        <v>329</v>
      </c>
      <c r="R288" s="1">
        <v>45474</v>
      </c>
      <c r="S288" s="1">
        <v>45546</v>
      </c>
      <c r="T288">
        <v>160</v>
      </c>
      <c r="U288"/>
      <c r="V288">
        <v>527</v>
      </c>
      <c r="W288">
        <v>116</v>
      </c>
      <c r="X288">
        <v>80</v>
      </c>
      <c r="Z288">
        <v>3</v>
      </c>
      <c r="AA288" s="123">
        <v>1443.6606452929091</v>
      </c>
      <c r="AB288" s="123">
        <v>455.32913524288722</v>
      </c>
      <c r="AC288" s="123">
        <v>326.70917380399095</v>
      </c>
      <c r="AD288" s="29"/>
      <c r="AE288" s="29"/>
      <c r="AF288" s="29"/>
    </row>
    <row r="289" spans="1:32" s="28" customFormat="1" x14ac:dyDescent="0.25">
      <c r="A289"/>
      <c r="B289" s="13">
        <v>45518</v>
      </c>
      <c r="C289" s="32">
        <v>3610.4</v>
      </c>
      <c r="D289" s="32"/>
      <c r="E289" s="32">
        <v>3610.4</v>
      </c>
      <c r="F289" s="32">
        <v>7220.8</v>
      </c>
      <c r="G289" s="8" t="s">
        <v>490</v>
      </c>
      <c r="H289" s="8" t="s">
        <v>261</v>
      </c>
      <c r="I289" s="8" t="s">
        <v>491</v>
      </c>
      <c r="J289" s="8" t="s">
        <v>492</v>
      </c>
      <c r="K289" s="8">
        <v>42.988413999999999</v>
      </c>
      <c r="L289" s="8">
        <v>-97.539907999999997</v>
      </c>
      <c r="M289" s="8" t="s">
        <v>137</v>
      </c>
      <c r="N289" s="10" t="s">
        <v>493</v>
      </c>
      <c r="O289" s="11" t="s">
        <v>56</v>
      </c>
      <c r="P289" s="11" t="s">
        <v>57</v>
      </c>
      <c r="Q289" s="12">
        <v>340</v>
      </c>
      <c r="R289" s="13">
        <v>45463</v>
      </c>
      <c r="S289" s="13">
        <v>45534</v>
      </c>
      <c r="T289" s="11">
        <v>160</v>
      </c>
      <c r="U289" s="11"/>
      <c r="V289" s="11">
        <v>1177</v>
      </c>
      <c r="W289" s="11">
        <v>391</v>
      </c>
      <c r="X289" s="11">
        <v>278</v>
      </c>
      <c r="Z289">
        <v>3</v>
      </c>
      <c r="AA289" s="124">
        <f t="shared" si="22"/>
        <v>1443.6606452929091</v>
      </c>
      <c r="AB289" s="124">
        <f t="shared" si="23"/>
        <v>455.32913524288722</v>
      </c>
      <c r="AC289" s="124">
        <f t="shared" si="24"/>
        <v>326.70917380399095</v>
      </c>
      <c r="AD289" s="29"/>
      <c r="AE289" s="29"/>
      <c r="AF289" s="29"/>
    </row>
    <row r="290" spans="1:32" s="28" customFormat="1" x14ac:dyDescent="0.25">
      <c r="A290"/>
      <c r="B290"/>
      <c r="C290" s="31"/>
      <c r="D290" s="31"/>
      <c r="E290" s="31"/>
      <c r="F290" s="31"/>
      <c r="G290" s="20" t="s">
        <v>494</v>
      </c>
      <c r="H290" s="20" t="s">
        <v>50</v>
      </c>
      <c r="I290" s="20" t="s">
        <v>495</v>
      </c>
      <c r="J290" s="20" t="s">
        <v>52</v>
      </c>
      <c r="K290" s="20">
        <v>44.076729</v>
      </c>
      <c r="L290" s="20">
        <v>-97.964685000000003</v>
      </c>
      <c r="M290" s="20" t="s">
        <v>53</v>
      </c>
      <c r="N290" s="4" t="s">
        <v>496</v>
      </c>
      <c r="O290" t="s">
        <v>54</v>
      </c>
      <c r="P290" t="s">
        <v>55</v>
      </c>
      <c r="Q290" s="5">
        <v>329</v>
      </c>
      <c r="R290" s="1">
        <v>45474</v>
      </c>
      <c r="S290" s="1">
        <v>45566</v>
      </c>
      <c r="T290">
        <v>65</v>
      </c>
      <c r="U290"/>
      <c r="V290">
        <v>221</v>
      </c>
      <c r="W290">
        <v>57</v>
      </c>
      <c r="X290">
        <v>36</v>
      </c>
      <c r="Y290" s="132"/>
      <c r="Z290" s="14">
        <v>3</v>
      </c>
      <c r="AA290" s="133">
        <v>336.07732949044782</v>
      </c>
      <c r="AB290" s="133">
        <v>98.98459461801896</v>
      </c>
      <c r="AC290" s="133">
        <v>63.461494192142126</v>
      </c>
      <c r="AD290" s="29"/>
      <c r="AE290" s="29"/>
      <c r="AF290" s="29"/>
    </row>
    <row r="291" spans="1:32" s="28" customFormat="1" x14ac:dyDescent="0.25">
      <c r="A291"/>
      <c r="B291" s="13">
        <v>45628</v>
      </c>
      <c r="C291" s="32">
        <v>1625</v>
      </c>
      <c r="D291" s="32"/>
      <c r="E291" s="32">
        <v>2177.96</v>
      </c>
      <c r="F291" s="32">
        <v>3802.96</v>
      </c>
      <c r="G291" s="8" t="s">
        <v>494</v>
      </c>
      <c r="H291" s="8" t="s">
        <v>50</v>
      </c>
      <c r="I291" s="8" t="s">
        <v>495</v>
      </c>
      <c r="J291" s="8" t="s">
        <v>52</v>
      </c>
      <c r="K291" s="8">
        <v>44.076729</v>
      </c>
      <c r="L291" s="8">
        <v>-97.964685000000003</v>
      </c>
      <c r="M291" s="8" t="s">
        <v>53</v>
      </c>
      <c r="N291" s="10" t="s">
        <v>496</v>
      </c>
      <c r="O291" s="11" t="s">
        <v>56</v>
      </c>
      <c r="P291" s="11" t="s">
        <v>57</v>
      </c>
      <c r="Q291" s="12">
        <v>340</v>
      </c>
      <c r="R291" s="13">
        <v>45474</v>
      </c>
      <c r="S291" s="13">
        <v>45566</v>
      </c>
      <c r="T291" s="11">
        <v>65</v>
      </c>
      <c r="U291" s="11"/>
      <c r="V291" s="11">
        <v>274</v>
      </c>
      <c r="W291" s="11">
        <v>85</v>
      </c>
      <c r="X291" s="11">
        <v>54</v>
      </c>
      <c r="Y291" s="36"/>
      <c r="Z291" s="11">
        <v>3</v>
      </c>
      <c r="AA291" s="135">
        <f t="shared" si="22"/>
        <v>336.07732949044782</v>
      </c>
      <c r="AB291" s="135">
        <f t="shared" si="23"/>
        <v>98.98459461801896</v>
      </c>
      <c r="AC291" s="135">
        <f t="shared" si="24"/>
        <v>63.461494192142126</v>
      </c>
      <c r="AD291" s="29"/>
      <c r="AE291" s="29"/>
      <c r="AF291" s="29"/>
    </row>
    <row r="292" spans="1:32" s="28" customFormat="1" x14ac:dyDescent="0.25">
      <c r="A292"/>
      <c r="B292" s="13">
        <v>45513</v>
      </c>
      <c r="C292" s="32">
        <v>5534.65</v>
      </c>
      <c r="D292" s="32"/>
      <c r="E292" s="32">
        <v>5534.65</v>
      </c>
      <c r="F292" s="32">
        <v>11069.3</v>
      </c>
      <c r="G292" s="30" t="s">
        <v>497</v>
      </c>
      <c r="H292" s="30" t="s">
        <v>67</v>
      </c>
      <c r="I292" s="30" t="s">
        <v>498</v>
      </c>
      <c r="J292" s="30" t="s">
        <v>499</v>
      </c>
      <c r="K292" s="30">
        <v>43.541685000000001</v>
      </c>
      <c r="L292" s="30">
        <v>-97.554135000000002</v>
      </c>
      <c r="M292" s="30" t="s">
        <v>192</v>
      </c>
      <c r="N292" s="25" t="s">
        <v>500</v>
      </c>
      <c r="O292" s="24" t="s">
        <v>75</v>
      </c>
      <c r="P292" s="24" t="s">
        <v>475</v>
      </c>
      <c r="Q292" s="26">
        <v>914</v>
      </c>
      <c r="R292" s="27">
        <v>45446</v>
      </c>
      <c r="S292" s="27">
        <v>45509</v>
      </c>
      <c r="T292" s="24">
        <v>295</v>
      </c>
      <c r="U292" s="24"/>
      <c r="V292" s="24">
        <v>601</v>
      </c>
      <c r="W292" s="24">
        <v>52</v>
      </c>
      <c r="X292" s="24">
        <v>29</v>
      </c>
      <c r="Z292">
        <v>3</v>
      </c>
      <c r="AA292" s="123">
        <f t="shared" si="22"/>
        <v>737.16231760496044</v>
      </c>
      <c r="AB292" s="123">
        <f t="shared" si="23"/>
        <v>60.555281413376306</v>
      </c>
      <c r="AC292" s="123">
        <f t="shared" si="24"/>
        <v>34.081172806891139</v>
      </c>
      <c r="AD292" s="29"/>
      <c r="AE292" s="29"/>
      <c r="AF292" s="29"/>
    </row>
    <row r="293" spans="1:32" s="28" customFormat="1" x14ac:dyDescent="0.25">
      <c r="A293"/>
      <c r="B293"/>
      <c r="C293" s="31"/>
      <c r="D293" s="31"/>
      <c r="E293" s="31"/>
      <c r="F293" s="31"/>
      <c r="G293" s="20" t="s">
        <v>501</v>
      </c>
      <c r="H293" s="20" t="s">
        <v>182</v>
      </c>
      <c r="I293" s="20" t="s">
        <v>502</v>
      </c>
      <c r="J293" s="20" t="s">
        <v>503</v>
      </c>
      <c r="K293" s="20">
        <v>45.400315999999997</v>
      </c>
      <c r="L293" s="20">
        <v>-97.255847000000003</v>
      </c>
      <c r="M293" s="20" t="s">
        <v>223</v>
      </c>
      <c r="N293" s="4">
        <v>2024</v>
      </c>
      <c r="O293" t="s">
        <v>54</v>
      </c>
      <c r="P293" t="s">
        <v>55</v>
      </c>
      <c r="Q293" s="5">
        <v>329</v>
      </c>
      <c r="R293" s="1">
        <v>45474</v>
      </c>
      <c r="S293" s="1">
        <v>45519</v>
      </c>
      <c r="T293">
        <v>22</v>
      </c>
      <c r="U293"/>
      <c r="V293">
        <v>48</v>
      </c>
      <c r="W293">
        <v>12</v>
      </c>
      <c r="X293">
        <v>9</v>
      </c>
      <c r="Y293" s="132"/>
      <c r="Z293" s="14">
        <v>3</v>
      </c>
      <c r="AA293" s="133">
        <v>158.22618797178018</v>
      </c>
      <c r="AB293" s="133">
        <v>52.403608915421799</v>
      </c>
      <c r="AC293" s="133">
        <v>39.957237083941337</v>
      </c>
      <c r="AD293" s="29"/>
      <c r="AE293" s="29"/>
      <c r="AF293" s="29"/>
    </row>
    <row r="294" spans="1:32" s="28" customFormat="1" x14ac:dyDescent="0.25">
      <c r="A294"/>
      <c r="B294" s="13">
        <v>45628</v>
      </c>
      <c r="C294" s="32">
        <v>646.25</v>
      </c>
      <c r="D294" s="32"/>
      <c r="E294" s="32">
        <v>646.25</v>
      </c>
      <c r="F294" s="32">
        <v>1292.5</v>
      </c>
      <c r="G294" s="8" t="s">
        <v>501</v>
      </c>
      <c r="H294" s="8" t="s">
        <v>182</v>
      </c>
      <c r="I294" s="8" t="s">
        <v>502</v>
      </c>
      <c r="J294" s="8" t="s">
        <v>503</v>
      </c>
      <c r="K294" s="8">
        <v>45.400315999999997</v>
      </c>
      <c r="L294" s="8">
        <v>-97.255847000000003</v>
      </c>
      <c r="M294" s="8" t="s">
        <v>223</v>
      </c>
      <c r="N294" s="10">
        <v>2024</v>
      </c>
      <c r="O294" s="11" t="s">
        <v>56</v>
      </c>
      <c r="P294" s="11" t="s">
        <v>57</v>
      </c>
      <c r="Q294" s="12">
        <v>340</v>
      </c>
      <c r="R294" s="13">
        <v>45505</v>
      </c>
      <c r="S294" s="13">
        <v>45870</v>
      </c>
      <c r="T294" s="11">
        <v>22</v>
      </c>
      <c r="U294" s="11"/>
      <c r="V294" s="11">
        <v>129</v>
      </c>
      <c r="W294" s="11">
        <v>45</v>
      </c>
      <c r="X294" s="11">
        <v>34</v>
      </c>
      <c r="Y294" s="36"/>
      <c r="Z294" s="11">
        <v>3</v>
      </c>
      <c r="AA294" s="135">
        <f t="shared" si="22"/>
        <v>158.22618797178018</v>
      </c>
      <c r="AB294" s="135">
        <f t="shared" si="23"/>
        <v>52.403608915421799</v>
      </c>
      <c r="AC294" s="135">
        <f t="shared" si="24"/>
        <v>39.957237083941337</v>
      </c>
      <c r="AD294" s="29"/>
      <c r="AE294" s="29"/>
      <c r="AF294" s="29"/>
    </row>
    <row r="295" spans="1:32" s="28" customFormat="1" x14ac:dyDescent="0.25">
      <c r="A295"/>
      <c r="B295"/>
      <c r="C295" s="31"/>
      <c r="D295" s="31"/>
      <c r="E295" s="31"/>
      <c r="F295" s="31"/>
      <c r="G295" s="20" t="s">
        <v>504</v>
      </c>
      <c r="H295" s="20" t="s">
        <v>166</v>
      </c>
      <c r="I295" s="20" t="s">
        <v>505</v>
      </c>
      <c r="J295" s="20" t="s">
        <v>506</v>
      </c>
      <c r="K295" s="20">
        <v>43.873634000000003</v>
      </c>
      <c r="L295" s="20">
        <v>-97.582305000000005</v>
      </c>
      <c r="M295" s="20" t="s">
        <v>192</v>
      </c>
      <c r="N295" s="4" t="s">
        <v>507</v>
      </c>
      <c r="O295" t="s">
        <v>54</v>
      </c>
      <c r="P295" t="s">
        <v>55</v>
      </c>
      <c r="Q295" s="5">
        <v>329</v>
      </c>
      <c r="R295" s="1">
        <v>45505</v>
      </c>
      <c r="S295" s="1">
        <v>45645</v>
      </c>
      <c r="T295">
        <v>42</v>
      </c>
      <c r="U295"/>
      <c r="V295">
        <v>134</v>
      </c>
      <c r="W295">
        <v>33</v>
      </c>
      <c r="X295">
        <v>20</v>
      </c>
      <c r="Z295">
        <v>3</v>
      </c>
      <c r="AA295" s="123">
        <v>198.70265466223557</v>
      </c>
      <c r="AB295" s="123">
        <v>57.061707485681517</v>
      </c>
      <c r="AC295" s="123">
        <v>35.256385662301184</v>
      </c>
      <c r="AD295" s="29"/>
      <c r="AE295" s="29"/>
      <c r="AF295" s="29"/>
    </row>
    <row r="296" spans="1:32" s="28" customFormat="1" x14ac:dyDescent="0.25">
      <c r="A296"/>
      <c r="B296" s="13">
        <v>45562</v>
      </c>
      <c r="C296" s="32">
        <v>1162.5</v>
      </c>
      <c r="D296" s="32"/>
      <c r="E296" s="32">
        <v>1313.75</v>
      </c>
      <c r="F296" s="32">
        <v>2476.25</v>
      </c>
      <c r="G296" s="8" t="s">
        <v>504</v>
      </c>
      <c r="H296" s="8" t="s">
        <v>166</v>
      </c>
      <c r="I296" s="8" t="s">
        <v>505</v>
      </c>
      <c r="J296" s="8" t="s">
        <v>506</v>
      </c>
      <c r="K296" s="8">
        <v>43.873634000000003</v>
      </c>
      <c r="L296" s="8">
        <v>-97.582305000000005</v>
      </c>
      <c r="M296" s="8" t="s">
        <v>192</v>
      </c>
      <c r="N296" s="10" t="s">
        <v>507</v>
      </c>
      <c r="O296" s="11" t="s">
        <v>56</v>
      </c>
      <c r="P296" s="11" t="s">
        <v>57</v>
      </c>
      <c r="Q296" s="12">
        <v>340</v>
      </c>
      <c r="R296" s="13">
        <v>45524</v>
      </c>
      <c r="S296" s="13">
        <v>45562</v>
      </c>
      <c r="T296" s="11">
        <v>42</v>
      </c>
      <c r="U296" s="11"/>
      <c r="V296" s="11">
        <v>162</v>
      </c>
      <c r="W296" s="11">
        <v>49</v>
      </c>
      <c r="X296" s="11">
        <v>30</v>
      </c>
      <c r="Z296">
        <v>3</v>
      </c>
      <c r="AA296" s="124">
        <f t="shared" si="22"/>
        <v>198.70265466223557</v>
      </c>
      <c r="AB296" s="124">
        <f t="shared" si="23"/>
        <v>57.061707485681517</v>
      </c>
      <c r="AC296" s="124">
        <f t="shared" si="24"/>
        <v>35.256385662301184</v>
      </c>
      <c r="AD296" s="29"/>
      <c r="AE296" s="29"/>
      <c r="AF296" s="29"/>
    </row>
    <row r="297" spans="1:32" s="28" customFormat="1" x14ac:dyDescent="0.25">
      <c r="A297"/>
      <c r="B297"/>
      <c r="C297" s="31"/>
      <c r="D297" s="31"/>
      <c r="E297" s="31"/>
      <c r="F297" s="31"/>
      <c r="G297" s="20" t="s">
        <v>508</v>
      </c>
      <c r="H297" s="20" t="s">
        <v>509</v>
      </c>
      <c r="I297" s="20" t="s">
        <v>510</v>
      </c>
      <c r="J297" s="20" t="s">
        <v>511</v>
      </c>
      <c r="K297" s="20">
        <v>44.114697999999997</v>
      </c>
      <c r="L297" s="20">
        <v>-97.293636000000006</v>
      </c>
      <c r="M297" s="20" t="s">
        <v>130</v>
      </c>
      <c r="N297" s="4" t="s">
        <v>512</v>
      </c>
      <c r="O297" t="s">
        <v>54</v>
      </c>
      <c r="P297" t="s">
        <v>55</v>
      </c>
      <c r="Q297" s="5">
        <v>329</v>
      </c>
      <c r="R297" s="1">
        <v>45566</v>
      </c>
      <c r="S297" s="1">
        <v>45597</v>
      </c>
      <c r="T297">
        <v>105</v>
      </c>
      <c r="U297"/>
      <c r="V297">
        <v>519.70000000000005</v>
      </c>
      <c r="W297">
        <v>150.4</v>
      </c>
      <c r="X297">
        <v>103.9</v>
      </c>
      <c r="Y297" s="132"/>
      <c r="Z297" s="14">
        <v>3</v>
      </c>
      <c r="AA297" s="133">
        <v>832.09803038802852</v>
      </c>
      <c r="AB297" s="133">
        <v>262.36740196987853</v>
      </c>
      <c r="AC297" s="133">
        <v>184.27337572829418</v>
      </c>
      <c r="AD297" s="29"/>
      <c r="AE297" s="29"/>
      <c r="AF297" s="29"/>
    </row>
    <row r="298" spans="1:32" s="28" customFormat="1" x14ac:dyDescent="0.25">
      <c r="A298"/>
      <c r="B298" s="13">
        <v>45565</v>
      </c>
      <c r="C298" s="32">
        <v>1752.45</v>
      </c>
      <c r="D298" s="32"/>
      <c r="E298" s="32">
        <v>1752.45</v>
      </c>
      <c r="F298" s="32">
        <v>3504.9</v>
      </c>
      <c r="G298" s="8" t="s">
        <v>508</v>
      </c>
      <c r="H298" s="8" t="s">
        <v>509</v>
      </c>
      <c r="I298" s="8" t="s">
        <v>510</v>
      </c>
      <c r="J298" s="8" t="s">
        <v>511</v>
      </c>
      <c r="K298" s="8">
        <v>44.114697999999997</v>
      </c>
      <c r="L298" s="8">
        <v>-97.293636000000006</v>
      </c>
      <c r="M298" s="8" t="s">
        <v>130</v>
      </c>
      <c r="N298" s="10" t="s">
        <v>512</v>
      </c>
      <c r="O298" s="11" t="s">
        <v>56</v>
      </c>
      <c r="P298" s="11" t="s">
        <v>57</v>
      </c>
      <c r="Q298" s="12">
        <v>340</v>
      </c>
      <c r="R298" s="13">
        <v>45597</v>
      </c>
      <c r="S298" s="13">
        <v>45597</v>
      </c>
      <c r="T298" s="11">
        <v>105</v>
      </c>
      <c r="U298" s="11"/>
      <c r="V298" s="11">
        <v>678.4</v>
      </c>
      <c r="W298" s="11">
        <v>225.3</v>
      </c>
      <c r="X298" s="11">
        <v>156.80000000000001</v>
      </c>
      <c r="Y298" s="36"/>
      <c r="Z298" s="11">
        <v>3</v>
      </c>
      <c r="AA298" s="135">
        <f t="shared" si="22"/>
        <v>832.09803038802852</v>
      </c>
      <c r="AB298" s="135">
        <f t="shared" si="23"/>
        <v>262.36740196987853</v>
      </c>
      <c r="AC298" s="135">
        <f t="shared" si="24"/>
        <v>184.27337572829418</v>
      </c>
      <c r="AD298" s="29"/>
      <c r="AE298" s="29"/>
      <c r="AF298" s="29"/>
    </row>
    <row r="299" spans="1:32" s="28" customFormat="1" x14ac:dyDescent="0.25">
      <c r="A299"/>
      <c r="B299"/>
      <c r="C299" s="31"/>
      <c r="D299" s="31"/>
      <c r="E299" s="31"/>
      <c r="F299" s="31"/>
      <c r="G299" s="20" t="s">
        <v>508</v>
      </c>
      <c r="H299" s="20" t="s">
        <v>513</v>
      </c>
      <c r="I299" s="20" t="s">
        <v>510</v>
      </c>
      <c r="J299" s="20" t="s">
        <v>511</v>
      </c>
      <c r="K299" s="20">
        <v>43.982478</v>
      </c>
      <c r="L299" s="20">
        <v>-97.225204000000005</v>
      </c>
      <c r="M299" s="20" t="s">
        <v>130</v>
      </c>
      <c r="N299" s="4" t="s">
        <v>514</v>
      </c>
      <c r="O299" t="s">
        <v>54</v>
      </c>
      <c r="P299" t="s">
        <v>55</v>
      </c>
      <c r="Q299" s="5">
        <v>329</v>
      </c>
      <c r="R299" s="1">
        <v>45931</v>
      </c>
      <c r="S299" s="1">
        <v>45962</v>
      </c>
      <c r="T299">
        <v>145</v>
      </c>
      <c r="U299"/>
      <c r="V299">
        <v>699.5</v>
      </c>
      <c r="W299">
        <v>200.7</v>
      </c>
      <c r="X299">
        <v>137.80000000000001</v>
      </c>
      <c r="Z299">
        <v>3</v>
      </c>
      <c r="AA299" s="123">
        <v>1115.4332972212162</v>
      </c>
      <c r="AB299" s="123">
        <v>350.05610755501766</v>
      </c>
      <c r="AC299" s="123">
        <v>244.2092313542062</v>
      </c>
      <c r="AD299" s="29"/>
      <c r="AE299" s="29"/>
      <c r="AF299" s="29"/>
    </row>
    <row r="300" spans="1:32" s="28" customFormat="1" ht="14.4" thickBot="1" x14ac:dyDescent="0.3">
      <c r="A300"/>
      <c r="B300" s="91">
        <v>45565</v>
      </c>
      <c r="C300" s="97">
        <v>2420.0500000000002</v>
      </c>
      <c r="D300" s="97"/>
      <c r="E300" s="93">
        <v>2420.0500000000002</v>
      </c>
      <c r="F300" s="93">
        <v>4840.1000000000004</v>
      </c>
      <c r="G300" s="61" t="s">
        <v>508</v>
      </c>
      <c r="H300" s="61" t="s">
        <v>513</v>
      </c>
      <c r="I300" s="61" t="s">
        <v>510</v>
      </c>
      <c r="J300" s="61" t="s">
        <v>511</v>
      </c>
      <c r="K300" s="61">
        <v>43.982478</v>
      </c>
      <c r="L300" s="61">
        <v>-97.225204000000005</v>
      </c>
      <c r="M300" s="61" t="s">
        <v>130</v>
      </c>
      <c r="N300" s="95" t="s">
        <v>514</v>
      </c>
      <c r="O300" s="92" t="s">
        <v>56</v>
      </c>
      <c r="P300" s="92" t="s">
        <v>57</v>
      </c>
      <c r="Q300" s="96">
        <v>340</v>
      </c>
      <c r="R300" s="91">
        <v>45962</v>
      </c>
      <c r="S300" s="91">
        <v>45962</v>
      </c>
      <c r="T300" s="92">
        <v>145</v>
      </c>
      <c r="U300" s="92"/>
      <c r="V300" s="92">
        <v>909.4</v>
      </c>
      <c r="W300" s="92">
        <v>300.60000000000002</v>
      </c>
      <c r="X300" s="92">
        <v>207.8</v>
      </c>
      <c r="Z300">
        <v>3</v>
      </c>
      <c r="AA300" s="124">
        <f t="shared" si="22"/>
        <v>1115.4332972212162</v>
      </c>
      <c r="AB300" s="124">
        <f t="shared" si="23"/>
        <v>350.05610755501766</v>
      </c>
      <c r="AC300" s="124">
        <f t="shared" si="24"/>
        <v>244.2092313542062</v>
      </c>
      <c r="AD300" s="29"/>
      <c r="AE300" s="29"/>
      <c r="AF300" s="29"/>
    </row>
    <row r="301" spans="1:32" s="28" customFormat="1" x14ac:dyDescent="0.25">
      <c r="A301" s="46"/>
      <c r="B301" s="58" t="s">
        <v>663</v>
      </c>
      <c r="C301" s="55"/>
      <c r="D301" s="55"/>
      <c r="E301" s="55"/>
      <c r="F301" s="55"/>
      <c r="G301" s="94" t="s">
        <v>508</v>
      </c>
      <c r="H301" s="94" t="s">
        <v>513</v>
      </c>
      <c r="I301" s="94" t="s">
        <v>510</v>
      </c>
      <c r="J301" s="94" t="s">
        <v>511</v>
      </c>
      <c r="K301" s="94">
        <v>43.982478</v>
      </c>
      <c r="L301" s="94">
        <v>-97.225204000000005</v>
      </c>
      <c r="M301" s="94" t="s">
        <v>130</v>
      </c>
      <c r="N301" s="56" t="s">
        <v>664</v>
      </c>
      <c r="O301" s="54" t="s">
        <v>56</v>
      </c>
      <c r="P301" s="54" t="s">
        <v>57</v>
      </c>
      <c r="Q301" s="57">
        <v>340</v>
      </c>
      <c r="R301" s="58">
        <v>44764</v>
      </c>
      <c r="S301" s="58">
        <v>44768</v>
      </c>
      <c r="T301" s="54">
        <v>0</v>
      </c>
      <c r="U301" s="54"/>
      <c r="V301" s="54"/>
      <c r="W301" s="54"/>
      <c r="X301" s="54"/>
      <c r="Z301" s="46">
        <v>2</v>
      </c>
      <c r="AA301" s="123"/>
      <c r="AB301" s="123"/>
      <c r="AC301" s="123"/>
      <c r="AD301" s="29"/>
      <c r="AE301" s="29"/>
      <c r="AF301" s="29"/>
    </row>
    <row r="302" spans="1:32" s="28" customFormat="1" x14ac:dyDescent="0.25">
      <c r="A302"/>
      <c r="B302"/>
      <c r="C302" s="31"/>
      <c r="D302" s="31"/>
      <c r="E302" s="31"/>
      <c r="F302" s="31"/>
      <c r="G302" s="20" t="s">
        <v>515</v>
      </c>
      <c r="H302" s="20" t="s">
        <v>516</v>
      </c>
      <c r="I302" s="20" t="s">
        <v>517</v>
      </c>
      <c r="J302" s="20" t="s">
        <v>518</v>
      </c>
      <c r="K302" s="20">
        <v>43.116155999999997</v>
      </c>
      <c r="L302" s="20">
        <v>-96.990053000000003</v>
      </c>
      <c r="M302" s="20" t="s">
        <v>100</v>
      </c>
      <c r="N302" s="4" t="s">
        <v>519</v>
      </c>
      <c r="O302" t="s">
        <v>54</v>
      </c>
      <c r="P302" t="s">
        <v>55</v>
      </c>
      <c r="Q302" s="5">
        <v>329</v>
      </c>
      <c r="R302" s="1">
        <v>45468</v>
      </c>
      <c r="S302" s="1">
        <v>45523</v>
      </c>
      <c r="T302">
        <v>143</v>
      </c>
      <c r="U302"/>
      <c r="V302">
        <v>669</v>
      </c>
      <c r="W302">
        <v>205</v>
      </c>
      <c r="X302">
        <v>1500</v>
      </c>
      <c r="Y302" s="132"/>
      <c r="Z302" s="14">
        <v>3</v>
      </c>
      <c r="AA302" s="133">
        <f t="shared" si="22"/>
        <v>820.56837017923215</v>
      </c>
      <c r="AB302" s="133">
        <f t="shared" si="23"/>
        <v>238.72755172581043</v>
      </c>
      <c r="AC302" s="133">
        <f t="shared" si="24"/>
        <v>1762.8192831150591</v>
      </c>
      <c r="AD302" s="29"/>
      <c r="AE302" s="29"/>
      <c r="AF302" s="29"/>
    </row>
    <row r="303" spans="1:32" s="28" customFormat="1" x14ac:dyDescent="0.25">
      <c r="A303"/>
      <c r="B303" s="13">
        <v>45523</v>
      </c>
      <c r="C303" s="32">
        <v>3221.07</v>
      </c>
      <c r="D303" s="32"/>
      <c r="E303" s="32">
        <v>3221.08</v>
      </c>
      <c r="F303" s="32">
        <v>6442.15</v>
      </c>
      <c r="G303" s="8" t="s">
        <v>515</v>
      </c>
      <c r="H303" s="8" t="s">
        <v>516</v>
      </c>
      <c r="I303" s="8" t="s">
        <v>517</v>
      </c>
      <c r="J303" s="8" t="s">
        <v>518</v>
      </c>
      <c r="K303" s="8">
        <v>43.116155999999997</v>
      </c>
      <c r="L303" s="8">
        <v>-96.990053000000003</v>
      </c>
      <c r="M303" s="8" t="s">
        <v>100</v>
      </c>
      <c r="N303" s="10" t="s">
        <v>519</v>
      </c>
      <c r="O303" s="11" t="s">
        <v>56</v>
      </c>
      <c r="P303" s="11" t="s">
        <v>57</v>
      </c>
      <c r="Q303" s="12">
        <v>340</v>
      </c>
      <c r="R303" s="13">
        <v>45467</v>
      </c>
      <c r="S303" s="13">
        <v>45523</v>
      </c>
      <c r="T303" s="11">
        <v>143</v>
      </c>
      <c r="U303" s="11"/>
      <c r="V303" s="11">
        <v>669</v>
      </c>
      <c r="W303" s="11">
        <v>205</v>
      </c>
      <c r="X303" s="11">
        <v>135</v>
      </c>
      <c r="Y303" s="36"/>
      <c r="Z303" s="11">
        <v>3</v>
      </c>
      <c r="AA303" s="135">
        <v>820.56837017923215</v>
      </c>
      <c r="AB303" s="135">
        <v>238.72755172581043</v>
      </c>
      <c r="AC303" s="135">
        <v>1762.8192831150591</v>
      </c>
      <c r="AD303" s="29"/>
      <c r="AE303" s="29"/>
      <c r="AF303" s="29"/>
    </row>
    <row r="304" spans="1:32" s="28" customFormat="1" x14ac:dyDescent="0.25">
      <c r="A304"/>
      <c r="B304"/>
      <c r="C304" s="31"/>
      <c r="D304" s="31"/>
      <c r="E304" s="31"/>
      <c r="F304" s="31"/>
      <c r="G304" s="20" t="s">
        <v>515</v>
      </c>
      <c r="H304" s="20" t="s">
        <v>255</v>
      </c>
      <c r="I304" s="20" t="s">
        <v>517</v>
      </c>
      <c r="J304" s="20" t="s">
        <v>518</v>
      </c>
      <c r="K304" s="20">
        <v>43.106862999999997</v>
      </c>
      <c r="L304" s="20">
        <v>-96.971483000000006</v>
      </c>
      <c r="M304" s="20" t="s">
        <v>100</v>
      </c>
      <c r="N304" s="4" t="s">
        <v>520</v>
      </c>
      <c r="O304" t="s">
        <v>54</v>
      </c>
      <c r="P304" t="s">
        <v>55</v>
      </c>
      <c r="Q304" s="5">
        <v>329</v>
      </c>
      <c r="R304" s="1">
        <v>45462</v>
      </c>
      <c r="S304" s="1">
        <v>45523</v>
      </c>
      <c r="T304">
        <v>120</v>
      </c>
      <c r="U304"/>
      <c r="V304">
        <v>294</v>
      </c>
      <c r="W304">
        <v>48</v>
      </c>
      <c r="X304">
        <v>628</v>
      </c>
      <c r="Z304">
        <v>3</v>
      </c>
      <c r="AA304" s="123">
        <v>697.9124105111855</v>
      </c>
      <c r="AB304" s="123">
        <v>203.79181244886257</v>
      </c>
      <c r="AC304" s="123">
        <v>128.0982012396943</v>
      </c>
      <c r="AD304" s="29"/>
      <c r="AE304" s="29"/>
      <c r="AF304" s="29"/>
    </row>
    <row r="305" spans="1:32" s="28" customFormat="1" x14ac:dyDescent="0.25">
      <c r="A305"/>
      <c r="B305"/>
      <c r="C305" s="31"/>
      <c r="D305" s="31"/>
      <c r="E305" s="31"/>
      <c r="F305" s="31"/>
      <c r="G305" s="6" t="s">
        <v>515</v>
      </c>
      <c r="H305" s="6" t="s">
        <v>255</v>
      </c>
      <c r="I305" s="6" t="s">
        <v>517</v>
      </c>
      <c r="J305" s="6" t="s">
        <v>518</v>
      </c>
      <c r="K305" s="6">
        <v>43.106862999999997</v>
      </c>
      <c r="L305" s="6">
        <v>-96.971483000000006</v>
      </c>
      <c r="M305" s="6" t="s">
        <v>100</v>
      </c>
      <c r="N305" s="4" t="s">
        <v>520</v>
      </c>
      <c r="O305" t="s">
        <v>54</v>
      </c>
      <c r="P305" t="s">
        <v>521</v>
      </c>
      <c r="Q305" s="5">
        <v>327</v>
      </c>
      <c r="R305" s="1">
        <v>45461</v>
      </c>
      <c r="S305" s="1">
        <v>45524</v>
      </c>
      <c r="T305">
        <v>120</v>
      </c>
      <c r="U305"/>
      <c r="V305"/>
      <c r="W305"/>
      <c r="X305"/>
      <c r="Z305">
        <v>3</v>
      </c>
      <c r="AA305" s="124">
        <v>697.9124105111855</v>
      </c>
      <c r="AB305" s="124">
        <v>203.79181244886257</v>
      </c>
      <c r="AC305" s="124">
        <v>128.0982012396943</v>
      </c>
      <c r="AD305" s="29"/>
      <c r="AE305" s="29"/>
      <c r="AF305" s="29"/>
    </row>
    <row r="306" spans="1:32" s="28" customFormat="1" x14ac:dyDescent="0.25">
      <c r="A306"/>
      <c r="B306" s="13">
        <v>45523</v>
      </c>
      <c r="C306" s="32">
        <v>2883</v>
      </c>
      <c r="D306" s="32"/>
      <c r="E306" s="32">
        <v>2883</v>
      </c>
      <c r="F306" s="32">
        <v>5799</v>
      </c>
      <c r="G306" s="8" t="s">
        <v>515</v>
      </c>
      <c r="H306" s="8" t="s">
        <v>255</v>
      </c>
      <c r="I306" s="8" t="s">
        <v>517</v>
      </c>
      <c r="J306" s="8" t="s">
        <v>518</v>
      </c>
      <c r="K306" s="8">
        <v>43.106862999999997</v>
      </c>
      <c r="L306" s="8">
        <v>-96.971483000000006</v>
      </c>
      <c r="M306" s="8" t="s">
        <v>100</v>
      </c>
      <c r="N306" s="10" t="s">
        <v>520</v>
      </c>
      <c r="O306" s="11" t="s">
        <v>56</v>
      </c>
      <c r="P306" s="11" t="s">
        <v>57</v>
      </c>
      <c r="Q306" s="12">
        <v>340</v>
      </c>
      <c r="R306" s="13">
        <v>45453</v>
      </c>
      <c r="S306" s="13">
        <v>45523</v>
      </c>
      <c r="T306" s="11">
        <v>120</v>
      </c>
      <c r="U306" s="11"/>
      <c r="V306" s="11">
        <v>569</v>
      </c>
      <c r="W306" s="11">
        <v>175</v>
      </c>
      <c r="X306" s="11">
        <v>109</v>
      </c>
      <c r="Z306">
        <v>3</v>
      </c>
      <c r="AA306" s="124">
        <f t="shared" si="22"/>
        <v>697.9124105111855</v>
      </c>
      <c r="AB306" s="124">
        <f t="shared" si="23"/>
        <v>203.79181244886257</v>
      </c>
      <c r="AC306" s="124">
        <f t="shared" si="24"/>
        <v>128.0982012396943</v>
      </c>
      <c r="AD306" s="29"/>
      <c r="AE306" s="29"/>
      <c r="AF306" s="29"/>
    </row>
    <row r="307" spans="1:32" s="28" customFormat="1" x14ac:dyDescent="0.25">
      <c r="A307"/>
      <c r="B307"/>
      <c r="C307" s="31"/>
      <c r="D307" s="31"/>
      <c r="E307" s="31"/>
      <c r="F307" s="31"/>
      <c r="G307" s="20" t="s">
        <v>515</v>
      </c>
      <c r="H307" s="20" t="s">
        <v>126</v>
      </c>
      <c r="I307" s="20" t="s">
        <v>517</v>
      </c>
      <c r="J307" s="20" t="s">
        <v>518</v>
      </c>
      <c r="K307" s="20">
        <v>43.093499000000001</v>
      </c>
      <c r="L307" s="20">
        <v>-96.959620000000001</v>
      </c>
      <c r="M307" s="20" t="s">
        <v>100</v>
      </c>
      <c r="N307" s="4" t="s">
        <v>522</v>
      </c>
      <c r="O307" t="s">
        <v>54</v>
      </c>
      <c r="P307" t="s">
        <v>55</v>
      </c>
      <c r="Q307" s="5">
        <v>329</v>
      </c>
      <c r="R307" s="1">
        <v>45467</v>
      </c>
      <c r="S307" s="1">
        <v>45518</v>
      </c>
      <c r="T307">
        <v>162</v>
      </c>
      <c r="U307"/>
      <c r="V307">
        <v>392</v>
      </c>
      <c r="W307">
        <v>63</v>
      </c>
      <c r="X307">
        <v>1007</v>
      </c>
      <c r="Y307" s="132"/>
      <c r="Z307" s="14">
        <v>3</v>
      </c>
      <c r="AA307" s="133">
        <v>921.14625710703035</v>
      </c>
      <c r="AB307" s="133">
        <v>266.67614314736875</v>
      </c>
      <c r="AC307" s="133">
        <v>166.8802254682256</v>
      </c>
      <c r="AD307" s="29"/>
      <c r="AE307" s="29"/>
      <c r="AF307" s="29"/>
    </row>
    <row r="308" spans="1:32" s="28" customFormat="1" x14ac:dyDescent="0.25">
      <c r="A308"/>
      <c r="B308" s="13">
        <v>45512</v>
      </c>
      <c r="C308" s="32">
        <v>3649.05</v>
      </c>
      <c r="D308" s="32"/>
      <c r="E308" s="32">
        <v>3649.05</v>
      </c>
      <c r="F308" s="32" t="s">
        <v>523</v>
      </c>
      <c r="G308" s="8" t="s">
        <v>515</v>
      </c>
      <c r="H308" s="8" t="s">
        <v>126</v>
      </c>
      <c r="I308" s="8" t="s">
        <v>517</v>
      </c>
      <c r="J308" s="8" t="s">
        <v>518</v>
      </c>
      <c r="K308" s="8">
        <v>43.093499000000001</v>
      </c>
      <c r="L308" s="8">
        <v>-96.959620000000001</v>
      </c>
      <c r="M308" s="8" t="s">
        <v>100</v>
      </c>
      <c r="N308" s="10" t="s">
        <v>522</v>
      </c>
      <c r="O308" s="11" t="s">
        <v>56</v>
      </c>
      <c r="P308" s="11" t="s">
        <v>57</v>
      </c>
      <c r="Q308" s="12">
        <v>340</v>
      </c>
      <c r="R308" s="13">
        <v>45453</v>
      </c>
      <c r="S308" s="13">
        <v>45518</v>
      </c>
      <c r="T308" s="11">
        <v>162</v>
      </c>
      <c r="U308" s="11"/>
      <c r="V308" s="11">
        <v>751</v>
      </c>
      <c r="W308" s="11">
        <v>229</v>
      </c>
      <c r="X308" s="11">
        <v>142</v>
      </c>
      <c r="Y308" s="36"/>
      <c r="Z308" s="11">
        <v>3</v>
      </c>
      <c r="AA308" s="135">
        <f t="shared" si="22"/>
        <v>921.14625710703035</v>
      </c>
      <c r="AB308" s="135">
        <f t="shared" si="23"/>
        <v>266.67614314736875</v>
      </c>
      <c r="AC308" s="135">
        <f t="shared" si="24"/>
        <v>166.8802254682256</v>
      </c>
      <c r="AD308" s="29"/>
      <c r="AE308" s="29"/>
      <c r="AF308" s="29"/>
    </row>
    <row r="309" spans="1:32" s="28" customFormat="1" x14ac:dyDescent="0.25">
      <c r="A309"/>
      <c r="B309"/>
      <c r="C309" s="31"/>
      <c r="D309" s="31"/>
      <c r="E309" s="31"/>
      <c r="F309" s="31"/>
      <c r="G309" s="20" t="s">
        <v>524</v>
      </c>
      <c r="H309" s="20" t="s">
        <v>525</v>
      </c>
      <c r="I309" s="20" t="s">
        <v>526</v>
      </c>
      <c r="J309" s="20" t="s">
        <v>527</v>
      </c>
      <c r="K309" s="20">
        <v>43.531500000000001</v>
      </c>
      <c r="L309" s="20">
        <v>-97.830169999999995</v>
      </c>
      <c r="M309" s="20" t="s">
        <v>64</v>
      </c>
      <c r="N309" s="4" t="s">
        <v>528</v>
      </c>
      <c r="O309" t="s">
        <v>83</v>
      </c>
      <c r="P309" t="s">
        <v>84</v>
      </c>
      <c r="Q309" s="5">
        <v>328</v>
      </c>
      <c r="R309" s="1">
        <v>45047</v>
      </c>
      <c r="S309" s="1">
        <v>45146</v>
      </c>
      <c r="T309">
        <v>19</v>
      </c>
      <c r="U309"/>
      <c r="V309"/>
      <c r="W309"/>
      <c r="X309"/>
      <c r="Z309">
        <v>2</v>
      </c>
      <c r="AA309" s="123">
        <v>41.703026287135863</v>
      </c>
      <c r="AB309" s="123">
        <v>12.809771068214218</v>
      </c>
      <c r="AC309" s="123">
        <v>8.4850368160604841</v>
      </c>
      <c r="AD309" s="29"/>
      <c r="AE309" s="29"/>
      <c r="AF309" s="29"/>
    </row>
    <row r="310" spans="1:32" s="28" customFormat="1" x14ac:dyDescent="0.25">
      <c r="A310"/>
      <c r="B310" s="13">
        <v>45184</v>
      </c>
      <c r="C310" s="32">
        <v>1551.19</v>
      </c>
      <c r="D310" s="32"/>
      <c r="E310" s="32">
        <v>1551.19</v>
      </c>
      <c r="F310" s="32">
        <v>3102.38</v>
      </c>
      <c r="G310" s="8" t="s">
        <v>524</v>
      </c>
      <c r="H310" s="8" t="s">
        <v>525</v>
      </c>
      <c r="I310" s="8" t="s">
        <v>526</v>
      </c>
      <c r="J310" s="8" t="s">
        <v>527</v>
      </c>
      <c r="K310" s="8">
        <v>43.531500000000001</v>
      </c>
      <c r="L310" s="8">
        <v>-97.830169999999995</v>
      </c>
      <c r="M310" s="8" t="s">
        <v>64</v>
      </c>
      <c r="N310" s="10" t="s">
        <v>528</v>
      </c>
      <c r="O310" s="11" t="s">
        <v>132</v>
      </c>
      <c r="P310" s="11" t="s">
        <v>529</v>
      </c>
      <c r="Q310" s="12"/>
      <c r="R310" s="13">
        <v>45054</v>
      </c>
      <c r="S310" s="13">
        <v>45155</v>
      </c>
      <c r="T310" s="11">
        <v>19</v>
      </c>
      <c r="U310" s="11"/>
      <c r="V310" s="141">
        <v>34</v>
      </c>
      <c r="W310" s="141">
        <v>11</v>
      </c>
      <c r="X310" s="141">
        <v>7.22</v>
      </c>
      <c r="Z310">
        <v>2</v>
      </c>
      <c r="AA310" s="124">
        <f t="shared" si="22"/>
        <v>41.703026287135863</v>
      </c>
      <c r="AB310" s="124">
        <f t="shared" si="23"/>
        <v>12.809771068214218</v>
      </c>
      <c r="AC310" s="124">
        <f t="shared" si="24"/>
        <v>8.4850368160604841</v>
      </c>
      <c r="AD310" s="29"/>
      <c r="AE310" s="29"/>
      <c r="AF310" s="29"/>
    </row>
    <row r="311" spans="1:32" s="28" customFormat="1" x14ac:dyDescent="0.25">
      <c r="A311"/>
      <c r="B311"/>
      <c r="C311" s="31"/>
      <c r="D311" s="31"/>
      <c r="E311" s="31"/>
      <c r="F311" s="31"/>
      <c r="G311" s="20" t="s">
        <v>425</v>
      </c>
      <c r="H311" s="20" t="s">
        <v>530</v>
      </c>
      <c r="I311" s="20" t="s">
        <v>531</v>
      </c>
      <c r="J311" s="20" t="s">
        <v>532</v>
      </c>
      <c r="K311" s="20">
        <v>45.160854</v>
      </c>
      <c r="L311" s="20">
        <v>-97.736018000000001</v>
      </c>
      <c r="M311" s="20" t="s">
        <v>233</v>
      </c>
      <c r="N311" s="4">
        <v>202401</v>
      </c>
      <c r="O311" t="s">
        <v>54</v>
      </c>
      <c r="P311" t="s">
        <v>55</v>
      </c>
      <c r="Q311" s="5">
        <v>329</v>
      </c>
      <c r="R311" s="1">
        <v>45413</v>
      </c>
      <c r="S311" s="1">
        <v>45536</v>
      </c>
      <c r="T311">
        <v>450</v>
      </c>
      <c r="U311"/>
      <c r="V311">
        <v>689</v>
      </c>
      <c r="W311">
        <v>133</v>
      </c>
      <c r="X311">
        <v>85</v>
      </c>
      <c r="Y311" s="132"/>
      <c r="Z311" s="14">
        <v>3</v>
      </c>
      <c r="AA311" s="133">
        <v>1858.2377889709069</v>
      </c>
      <c r="AB311" s="133">
        <v>574.11064878450998</v>
      </c>
      <c r="AC311" s="133">
        <v>392.52109370695314</v>
      </c>
      <c r="AD311" s="29"/>
      <c r="AE311" s="29"/>
      <c r="AF311" s="29"/>
    </row>
    <row r="312" spans="1:32" s="28" customFormat="1" x14ac:dyDescent="0.25">
      <c r="A312"/>
      <c r="B312" s="13">
        <v>45558</v>
      </c>
      <c r="C312" s="32">
        <v>4480</v>
      </c>
      <c r="D312" s="32"/>
      <c r="E312" s="32">
        <v>19328.95</v>
      </c>
      <c r="F312" s="32">
        <v>23808.95</v>
      </c>
      <c r="G312" s="8" t="s">
        <v>425</v>
      </c>
      <c r="H312" s="8" t="s">
        <v>530</v>
      </c>
      <c r="I312" s="8" t="s">
        <v>531</v>
      </c>
      <c r="J312" s="8" t="s">
        <v>532</v>
      </c>
      <c r="K312" s="8">
        <v>45.160854</v>
      </c>
      <c r="L312" s="8">
        <v>-97.736018000000001</v>
      </c>
      <c r="M312" s="8" t="s">
        <v>233</v>
      </c>
      <c r="N312" s="10">
        <v>202401</v>
      </c>
      <c r="O312" s="11" t="s">
        <v>56</v>
      </c>
      <c r="P312" s="11" t="s">
        <v>57</v>
      </c>
      <c r="Q312" s="12">
        <v>340</v>
      </c>
      <c r="R312" s="13">
        <v>45778</v>
      </c>
      <c r="S312" s="13">
        <v>45778</v>
      </c>
      <c r="T312" s="11">
        <v>450</v>
      </c>
      <c r="U312" s="11"/>
      <c r="V312" s="11">
        <v>1515</v>
      </c>
      <c r="W312" s="11">
        <v>493</v>
      </c>
      <c r="X312" s="11">
        <v>334</v>
      </c>
      <c r="Y312" s="36"/>
      <c r="Z312" s="11">
        <v>3</v>
      </c>
      <c r="AA312" s="135">
        <f t="shared" si="22"/>
        <v>1858.2377889709069</v>
      </c>
      <c r="AB312" s="135">
        <f t="shared" si="23"/>
        <v>574.11064878450998</v>
      </c>
      <c r="AC312" s="135">
        <f t="shared" si="24"/>
        <v>392.52109370695314</v>
      </c>
      <c r="AD312" s="29"/>
      <c r="AE312" s="29"/>
      <c r="AF312" s="29"/>
    </row>
    <row r="313" spans="1:32" s="28" customFormat="1" x14ac:dyDescent="0.25">
      <c r="A313"/>
      <c r="B313"/>
      <c r="C313" s="31"/>
      <c r="D313" s="31"/>
      <c r="E313" s="31"/>
      <c r="F313" s="31"/>
      <c r="G313" s="20" t="s">
        <v>533</v>
      </c>
      <c r="H313" s="20" t="s">
        <v>534</v>
      </c>
      <c r="I313" s="20" t="s">
        <v>535</v>
      </c>
      <c r="J313" s="20" t="s">
        <v>536</v>
      </c>
      <c r="K313" s="20">
        <v>43.135117000000001</v>
      </c>
      <c r="L313" s="20">
        <v>-96.605461000000005</v>
      </c>
      <c r="M313" s="20" t="s">
        <v>418</v>
      </c>
      <c r="N313" s="4" t="s">
        <v>537</v>
      </c>
      <c r="O313" t="s">
        <v>83</v>
      </c>
      <c r="P313" t="s">
        <v>84</v>
      </c>
      <c r="Q313" s="5">
        <v>328</v>
      </c>
      <c r="R313" s="1">
        <v>45505</v>
      </c>
      <c r="S313" s="1">
        <v>45703</v>
      </c>
      <c r="T313">
        <v>148</v>
      </c>
      <c r="U313"/>
      <c r="V313"/>
      <c r="W313"/>
      <c r="X313"/>
      <c r="Z313">
        <v>3</v>
      </c>
      <c r="AA313" s="123">
        <v>881.89635001325541</v>
      </c>
      <c r="AB313" s="123">
        <v>343.53476955665406</v>
      </c>
      <c r="AC313" s="123">
        <v>198.61097256429665</v>
      </c>
      <c r="AD313" s="29"/>
      <c r="AE313" s="29"/>
      <c r="AF313" s="29"/>
    </row>
    <row r="314" spans="1:32" s="28" customFormat="1" x14ac:dyDescent="0.25">
      <c r="A314"/>
      <c r="B314"/>
      <c r="C314" s="31"/>
      <c r="D314" s="31"/>
      <c r="E314" s="31"/>
      <c r="F314" s="31"/>
      <c r="G314" s="6" t="s">
        <v>533</v>
      </c>
      <c r="H314" s="6" t="s">
        <v>534</v>
      </c>
      <c r="I314" s="6" t="s">
        <v>535</v>
      </c>
      <c r="J314" s="6" t="s">
        <v>536</v>
      </c>
      <c r="K314" s="6">
        <v>43.135117000000001</v>
      </c>
      <c r="L314" s="6">
        <v>-96.605461000000005</v>
      </c>
      <c r="M314" s="6" t="s">
        <v>418</v>
      </c>
      <c r="N314" s="4" t="s">
        <v>537</v>
      </c>
      <c r="O314" t="s">
        <v>54</v>
      </c>
      <c r="P314" t="s">
        <v>55</v>
      </c>
      <c r="Q314" s="5">
        <v>329</v>
      </c>
      <c r="R314" s="1">
        <v>45505</v>
      </c>
      <c r="S314" s="1">
        <v>45621</v>
      </c>
      <c r="T314">
        <v>148</v>
      </c>
      <c r="U314"/>
      <c r="V314">
        <v>430</v>
      </c>
      <c r="W314">
        <v>80</v>
      </c>
      <c r="X314">
        <v>50</v>
      </c>
      <c r="Z314">
        <v>3</v>
      </c>
      <c r="AA314" s="124">
        <v>881.89635001325541</v>
      </c>
      <c r="AB314" s="124">
        <v>343.53476955665406</v>
      </c>
      <c r="AC314" s="124">
        <v>198.61097256429665</v>
      </c>
      <c r="AD314" s="29"/>
      <c r="AE314" s="29"/>
      <c r="AF314" s="29"/>
    </row>
    <row r="315" spans="1:32" s="28" customFormat="1" x14ac:dyDescent="0.25">
      <c r="A315"/>
      <c r="B315" s="13">
        <v>45553</v>
      </c>
      <c r="C315" s="32">
        <v>2583.63</v>
      </c>
      <c r="D315" s="32"/>
      <c r="E315" s="32">
        <v>2583.63</v>
      </c>
      <c r="F315" s="32">
        <v>5167.26</v>
      </c>
      <c r="G315" s="8" t="s">
        <v>533</v>
      </c>
      <c r="H315" s="8" t="s">
        <v>534</v>
      </c>
      <c r="I315" s="8" t="s">
        <v>535</v>
      </c>
      <c r="J315" s="8" t="s">
        <v>536</v>
      </c>
      <c r="K315" s="8">
        <v>43.135117000000001</v>
      </c>
      <c r="L315" s="8">
        <v>-96.605461000000005</v>
      </c>
      <c r="M315" s="8" t="s">
        <v>418</v>
      </c>
      <c r="N315" s="10" t="s">
        <v>537</v>
      </c>
      <c r="O315" s="11" t="s">
        <v>56</v>
      </c>
      <c r="P315" s="11" t="s">
        <v>57</v>
      </c>
      <c r="Q315" s="12">
        <v>340</v>
      </c>
      <c r="R315" s="13">
        <v>45505</v>
      </c>
      <c r="S315" s="13">
        <v>45576</v>
      </c>
      <c r="T315" s="11">
        <v>148</v>
      </c>
      <c r="U315" s="11"/>
      <c r="V315" s="11">
        <v>719</v>
      </c>
      <c r="W315" s="11">
        <v>295</v>
      </c>
      <c r="X315" s="11">
        <v>169</v>
      </c>
      <c r="Z315">
        <v>3</v>
      </c>
      <c r="AA315" s="124">
        <f t="shared" si="22"/>
        <v>881.89635001325541</v>
      </c>
      <c r="AB315" s="124">
        <f t="shared" si="23"/>
        <v>343.53476955665406</v>
      </c>
      <c r="AC315" s="124">
        <f t="shared" si="24"/>
        <v>198.61097256429665</v>
      </c>
      <c r="AD315" s="29"/>
      <c r="AE315" s="29"/>
      <c r="AF315" s="29"/>
    </row>
    <row r="316" spans="1:32" s="28" customFormat="1" x14ac:dyDescent="0.25">
      <c r="A316"/>
      <c r="B316"/>
      <c r="C316" s="31"/>
      <c r="D316" s="31"/>
      <c r="E316" s="31"/>
      <c r="F316" s="31"/>
      <c r="G316" s="20" t="s">
        <v>538</v>
      </c>
      <c r="H316" s="20" t="s">
        <v>539</v>
      </c>
      <c r="I316" s="20" t="s">
        <v>540</v>
      </c>
      <c r="J316" s="20" t="s">
        <v>483</v>
      </c>
      <c r="K316" s="20">
        <v>44.649090999999999</v>
      </c>
      <c r="L316" s="20">
        <v>-101.3486</v>
      </c>
      <c r="M316" s="20" t="s">
        <v>484</v>
      </c>
      <c r="N316" s="4" t="s">
        <v>512</v>
      </c>
      <c r="O316" t="s">
        <v>54</v>
      </c>
      <c r="P316" t="s">
        <v>55</v>
      </c>
      <c r="Q316" s="5">
        <v>329</v>
      </c>
      <c r="R316" s="1">
        <v>45413</v>
      </c>
      <c r="S316" s="1">
        <v>45425</v>
      </c>
      <c r="T316">
        <v>169</v>
      </c>
      <c r="U316"/>
      <c r="V316">
        <v>1293</v>
      </c>
      <c r="W316">
        <v>446</v>
      </c>
      <c r="X316">
        <v>344</v>
      </c>
      <c r="Y316" s="132"/>
      <c r="Z316" s="14">
        <v>3</v>
      </c>
      <c r="AA316" s="133">
        <v>2259.3227770854196</v>
      </c>
      <c r="AB316" s="133">
        <v>782.56055980363226</v>
      </c>
      <c r="AC316" s="133">
        <v>608.76025910240037</v>
      </c>
      <c r="AD316" s="29"/>
      <c r="AE316" s="29"/>
      <c r="AF316" s="29"/>
    </row>
    <row r="317" spans="1:32" s="28" customFormat="1" x14ac:dyDescent="0.25">
      <c r="A317"/>
      <c r="B317" s="13">
        <v>45444</v>
      </c>
      <c r="C317" s="32">
        <v>4000</v>
      </c>
      <c r="D317" s="32"/>
      <c r="E317" s="32">
        <v>9596.15</v>
      </c>
      <c r="F317" s="32">
        <v>13596.15</v>
      </c>
      <c r="G317" s="8" t="s">
        <v>538</v>
      </c>
      <c r="H317" s="8" t="s">
        <v>539</v>
      </c>
      <c r="I317" s="8" t="s">
        <v>540</v>
      </c>
      <c r="J317" s="8" t="s">
        <v>483</v>
      </c>
      <c r="K317" s="8">
        <v>44.649090999999999</v>
      </c>
      <c r="L317" s="8">
        <v>-101.3486</v>
      </c>
      <c r="M317" s="8" t="s">
        <v>484</v>
      </c>
      <c r="N317" s="10" t="s">
        <v>512</v>
      </c>
      <c r="O317" s="11" t="s">
        <v>56</v>
      </c>
      <c r="P317" s="11" t="s">
        <v>57</v>
      </c>
      <c r="Q317" s="12">
        <v>340</v>
      </c>
      <c r="R317" s="13">
        <v>45422</v>
      </c>
      <c r="S317" s="13">
        <v>45422</v>
      </c>
      <c r="T317" s="11">
        <v>169</v>
      </c>
      <c r="U317" s="11"/>
      <c r="V317" s="11">
        <v>1842</v>
      </c>
      <c r="W317" s="11">
        <v>672</v>
      </c>
      <c r="X317" s="11">
        <v>518</v>
      </c>
      <c r="Y317" s="36"/>
      <c r="Z317" s="11">
        <v>3</v>
      </c>
      <c r="AA317" s="135">
        <f t="shared" si="22"/>
        <v>2259.3227770854196</v>
      </c>
      <c r="AB317" s="135">
        <f t="shared" si="23"/>
        <v>782.56055980363226</v>
      </c>
      <c r="AC317" s="135">
        <f t="shared" si="24"/>
        <v>608.76025910240037</v>
      </c>
      <c r="AD317" s="29"/>
      <c r="AE317" s="29"/>
      <c r="AF317" s="29"/>
    </row>
    <row r="318" spans="1:32" s="28" customFormat="1" x14ac:dyDescent="0.25">
      <c r="A318"/>
      <c r="B318"/>
      <c r="C318" s="31"/>
      <c r="D318" s="31"/>
      <c r="E318" s="31"/>
      <c r="F318" s="31"/>
      <c r="G318" s="20" t="s">
        <v>538</v>
      </c>
      <c r="H318" s="20" t="s">
        <v>541</v>
      </c>
      <c r="I318" s="20" t="s">
        <v>542</v>
      </c>
      <c r="J318" s="20" t="s">
        <v>483</v>
      </c>
      <c r="K318" s="20">
        <v>44.614719000000001</v>
      </c>
      <c r="L318" s="20">
        <v>-101.300434</v>
      </c>
      <c r="M318" s="20" t="s">
        <v>484</v>
      </c>
      <c r="N318" s="4" t="s">
        <v>543</v>
      </c>
      <c r="O318" t="s">
        <v>54</v>
      </c>
      <c r="P318" t="s">
        <v>55</v>
      </c>
      <c r="Q318" s="5">
        <v>329</v>
      </c>
      <c r="R318" s="1">
        <v>45425</v>
      </c>
      <c r="S318" s="1">
        <v>45446</v>
      </c>
      <c r="T318">
        <v>146</v>
      </c>
      <c r="U318"/>
      <c r="V318">
        <v>1135</v>
      </c>
      <c r="W318">
        <v>392</v>
      </c>
      <c r="X318">
        <v>302</v>
      </c>
      <c r="Z318">
        <v>3</v>
      </c>
      <c r="AA318" s="123">
        <v>1984.5734274289948</v>
      </c>
      <c r="AB318" s="123">
        <v>688.23406375587297</v>
      </c>
      <c r="AC318" s="123">
        <v>535.89706206697792</v>
      </c>
      <c r="AD318" s="29"/>
      <c r="AE318" s="29"/>
      <c r="AF318" s="29"/>
    </row>
    <row r="319" spans="1:32" s="28" customFormat="1" x14ac:dyDescent="0.25">
      <c r="A319"/>
      <c r="B319" s="13">
        <v>45426</v>
      </c>
      <c r="C319" s="32">
        <v>3650</v>
      </c>
      <c r="D319" s="32"/>
      <c r="E319" s="32">
        <v>13366.66</v>
      </c>
      <c r="F319" s="32">
        <v>17016.66</v>
      </c>
      <c r="G319" s="8" t="s">
        <v>538</v>
      </c>
      <c r="H319" s="8" t="s">
        <v>541</v>
      </c>
      <c r="I319" s="8" t="s">
        <v>542</v>
      </c>
      <c r="J319" s="8" t="s">
        <v>483</v>
      </c>
      <c r="K319" s="8">
        <v>44.614719000000001</v>
      </c>
      <c r="L319" s="8">
        <v>-101.300434</v>
      </c>
      <c r="M319" s="8" t="s">
        <v>484</v>
      </c>
      <c r="N319" s="10" t="s">
        <v>543</v>
      </c>
      <c r="O319" s="11" t="s">
        <v>56</v>
      </c>
      <c r="P319" s="11" t="s">
        <v>57</v>
      </c>
      <c r="Q319" s="12">
        <v>340</v>
      </c>
      <c r="R319" s="13">
        <v>45425</v>
      </c>
      <c r="S319" s="13">
        <v>45446</v>
      </c>
      <c r="T319" s="11">
        <v>146</v>
      </c>
      <c r="U319" s="11"/>
      <c r="V319" s="11">
        <v>1618</v>
      </c>
      <c r="W319" s="11">
        <v>591</v>
      </c>
      <c r="X319" s="11">
        <v>456</v>
      </c>
      <c r="Z319">
        <v>3</v>
      </c>
      <c r="AA319" s="124">
        <f t="shared" si="22"/>
        <v>1984.5734274289948</v>
      </c>
      <c r="AB319" s="124">
        <f t="shared" si="23"/>
        <v>688.23406375587297</v>
      </c>
      <c r="AC319" s="124">
        <f t="shared" si="24"/>
        <v>535.89706206697792</v>
      </c>
      <c r="AD319" s="29"/>
      <c r="AE319" s="29"/>
      <c r="AF319" s="29"/>
    </row>
    <row r="320" spans="1:32" s="28" customFormat="1" x14ac:dyDescent="0.25">
      <c r="A320"/>
      <c r="B320"/>
      <c r="C320" s="31"/>
      <c r="D320" s="31"/>
      <c r="E320" s="31"/>
      <c r="F320" s="31"/>
      <c r="G320" s="20" t="s">
        <v>544</v>
      </c>
      <c r="H320" s="20" t="s">
        <v>342</v>
      </c>
      <c r="I320" s="20" t="s">
        <v>545</v>
      </c>
      <c r="J320" s="20" t="s">
        <v>546</v>
      </c>
      <c r="K320" s="20">
        <v>44.800829999999998</v>
      </c>
      <c r="L320" s="20">
        <v>-97.176148999999995</v>
      </c>
      <c r="M320" s="20" t="s">
        <v>363</v>
      </c>
      <c r="N320" s="4" t="s">
        <v>547</v>
      </c>
      <c r="O320" t="s">
        <v>54</v>
      </c>
      <c r="P320" t="s">
        <v>55</v>
      </c>
      <c r="Q320" s="5">
        <v>329</v>
      </c>
      <c r="R320" s="1">
        <v>45413</v>
      </c>
      <c r="S320" s="1">
        <v>45555</v>
      </c>
      <c r="T320">
        <v>78</v>
      </c>
      <c r="U320"/>
      <c r="V320">
        <v>182</v>
      </c>
      <c r="W320">
        <v>32</v>
      </c>
      <c r="X320">
        <v>19</v>
      </c>
      <c r="Y320" s="132"/>
      <c r="Z320" s="14">
        <v>3</v>
      </c>
      <c r="AA320" s="133">
        <v>419.48338206471954</v>
      </c>
      <c r="AB320" s="133">
        <v>121.11056282675261</v>
      </c>
      <c r="AC320" s="133">
        <v>78.739261312472635</v>
      </c>
      <c r="AD320" s="29"/>
      <c r="AE320" s="29"/>
      <c r="AF320" s="29"/>
    </row>
    <row r="321" spans="1:32" s="28" customFormat="1" x14ac:dyDescent="0.25">
      <c r="A321"/>
      <c r="B321" s="1">
        <v>45512</v>
      </c>
      <c r="C321" s="31">
        <v>1950</v>
      </c>
      <c r="D321" s="31"/>
      <c r="E321" s="31">
        <v>2021.94</v>
      </c>
      <c r="F321" s="31">
        <v>3971.94</v>
      </c>
      <c r="G321" s="6" t="s">
        <v>544</v>
      </c>
      <c r="H321" s="6" t="s">
        <v>342</v>
      </c>
      <c r="I321" s="6" t="s">
        <v>545</v>
      </c>
      <c r="J321" s="6" t="s">
        <v>546</v>
      </c>
      <c r="K321" s="6">
        <v>44.800829999999998</v>
      </c>
      <c r="L321" s="6">
        <v>-97.176148999999995</v>
      </c>
      <c r="M321" s="6" t="s">
        <v>363</v>
      </c>
      <c r="N321" s="4" t="s">
        <v>547</v>
      </c>
      <c r="O321" t="s">
        <v>56</v>
      </c>
      <c r="P321" t="s">
        <v>57</v>
      </c>
      <c r="Q321" s="5">
        <v>340</v>
      </c>
      <c r="R321" s="1">
        <v>45432</v>
      </c>
      <c r="S321" s="1">
        <v>45555</v>
      </c>
      <c r="T321">
        <v>78</v>
      </c>
      <c r="U321"/>
      <c r="V321">
        <v>342</v>
      </c>
      <c r="W321">
        <v>104</v>
      </c>
      <c r="X321">
        <v>67</v>
      </c>
      <c r="Z321">
        <v>3</v>
      </c>
      <c r="AA321" s="124">
        <f t="shared" si="22"/>
        <v>419.48338206471954</v>
      </c>
      <c r="AB321" s="124">
        <f t="shared" si="23"/>
        <v>121.11056282675261</v>
      </c>
      <c r="AC321" s="124">
        <f t="shared" si="24"/>
        <v>78.739261312472635</v>
      </c>
      <c r="AD321" s="29"/>
      <c r="AE321" s="29"/>
      <c r="AF321" s="29"/>
    </row>
    <row r="322" spans="1:32" s="28" customFormat="1" x14ac:dyDescent="0.25">
      <c r="A322"/>
      <c r="B322" s="11"/>
      <c r="C322" s="32"/>
      <c r="D322" s="32"/>
      <c r="E322" s="32"/>
      <c r="F322" s="32"/>
      <c r="G322" s="8" t="s">
        <v>544</v>
      </c>
      <c r="H322" s="8" t="s">
        <v>342</v>
      </c>
      <c r="I322" s="8" t="s">
        <v>545</v>
      </c>
      <c r="J322" s="8" t="s">
        <v>546</v>
      </c>
      <c r="K322" s="8">
        <v>44.800829999999998</v>
      </c>
      <c r="L322" s="8">
        <v>-97.176148999999995</v>
      </c>
      <c r="M322" s="8" t="s">
        <v>363</v>
      </c>
      <c r="N322" s="10" t="s">
        <v>547</v>
      </c>
      <c r="O322" s="11" t="s">
        <v>105</v>
      </c>
      <c r="P322" s="11" t="s">
        <v>741</v>
      </c>
      <c r="Q322" s="12">
        <v>528</v>
      </c>
      <c r="R322" s="13">
        <v>45413</v>
      </c>
      <c r="S322" s="13">
        <v>45555</v>
      </c>
      <c r="T322" s="11">
        <v>78</v>
      </c>
      <c r="U322" s="11"/>
      <c r="V322" s="11"/>
      <c r="W322" s="11"/>
      <c r="X322" s="11"/>
      <c r="Y322" s="36"/>
      <c r="Z322" s="11">
        <v>3</v>
      </c>
      <c r="AA322" s="135">
        <v>419.48338206471954</v>
      </c>
      <c r="AB322" s="135">
        <v>121.11056282675261</v>
      </c>
      <c r="AC322" s="135">
        <v>78.739261312472635</v>
      </c>
      <c r="AD322" s="29"/>
      <c r="AE322" s="29"/>
      <c r="AF322" s="29"/>
    </row>
    <row r="323" spans="1:32" s="28" customFormat="1" x14ac:dyDescent="0.25">
      <c r="A323"/>
      <c r="B323"/>
      <c r="C323" s="31"/>
      <c r="D323" s="31"/>
      <c r="E323" s="31"/>
      <c r="F323" s="31"/>
      <c r="G323" s="20" t="s">
        <v>548</v>
      </c>
      <c r="H323" s="20" t="s">
        <v>126</v>
      </c>
      <c r="I323" s="20" t="s">
        <v>549</v>
      </c>
      <c r="J323" s="20" t="s">
        <v>478</v>
      </c>
      <c r="K323" s="20">
        <v>43.087975999999998</v>
      </c>
      <c r="L323" s="20">
        <v>-97.820886999999999</v>
      </c>
      <c r="M323" s="20" t="s">
        <v>137</v>
      </c>
      <c r="N323" s="4" t="s">
        <v>550</v>
      </c>
      <c r="O323" t="s">
        <v>54</v>
      </c>
      <c r="P323" t="s">
        <v>55</v>
      </c>
      <c r="Q323" s="5">
        <v>329</v>
      </c>
      <c r="R323" s="1">
        <v>45505</v>
      </c>
      <c r="S323" s="1">
        <v>45581</v>
      </c>
      <c r="T323">
        <v>66</v>
      </c>
      <c r="U323"/>
      <c r="V323">
        <v>450</v>
      </c>
      <c r="W323">
        <v>140</v>
      </c>
      <c r="X323">
        <v>101</v>
      </c>
      <c r="Z323">
        <v>3</v>
      </c>
      <c r="AA323" s="123">
        <v>745.74823478172368</v>
      </c>
      <c r="AB323" s="123">
        <v>244.55017493863508</v>
      </c>
      <c r="AC323" s="123">
        <v>179.80756687773604</v>
      </c>
      <c r="AD323" s="29"/>
      <c r="AE323" s="29"/>
      <c r="AF323" s="29"/>
    </row>
    <row r="324" spans="1:32" s="28" customFormat="1" x14ac:dyDescent="0.25">
      <c r="A324"/>
      <c r="B324" s="13">
        <v>45588</v>
      </c>
      <c r="C324" s="32">
        <v>960</v>
      </c>
      <c r="D324" s="32"/>
      <c r="E324" s="32">
        <v>960</v>
      </c>
      <c r="F324" s="32">
        <v>1920</v>
      </c>
      <c r="G324" s="8" t="s">
        <v>548</v>
      </c>
      <c r="H324" s="8" t="s">
        <v>126</v>
      </c>
      <c r="I324" s="8" t="s">
        <v>549</v>
      </c>
      <c r="J324" s="8" t="s">
        <v>478</v>
      </c>
      <c r="K324" s="8">
        <v>43.087975999999998</v>
      </c>
      <c r="L324" s="8">
        <v>-97.820886999999999</v>
      </c>
      <c r="M324" s="8" t="s">
        <v>137</v>
      </c>
      <c r="N324" s="10" t="s">
        <v>550</v>
      </c>
      <c r="O324" s="11" t="s">
        <v>56</v>
      </c>
      <c r="P324" s="11" t="s">
        <v>57</v>
      </c>
      <c r="Q324" s="12">
        <v>340</v>
      </c>
      <c r="R324" s="13">
        <v>45505</v>
      </c>
      <c r="S324" s="13">
        <v>45566</v>
      </c>
      <c r="T324" s="11">
        <v>66</v>
      </c>
      <c r="U324" s="11"/>
      <c r="V324" s="11">
        <v>608</v>
      </c>
      <c r="W324" s="11">
        <v>210</v>
      </c>
      <c r="X324" s="11">
        <v>153</v>
      </c>
      <c r="Z324">
        <v>3</v>
      </c>
      <c r="AA324" s="124">
        <f t="shared" si="22"/>
        <v>745.74823478172368</v>
      </c>
      <c r="AB324" s="124">
        <f t="shared" si="23"/>
        <v>244.55017493863508</v>
      </c>
      <c r="AC324" s="124">
        <f t="shared" si="24"/>
        <v>179.80756687773604</v>
      </c>
      <c r="AD324" s="29"/>
      <c r="AE324" s="29"/>
      <c r="AF324" s="29"/>
    </row>
    <row r="325" spans="1:32" s="28" customFormat="1" x14ac:dyDescent="0.25">
      <c r="A325"/>
      <c r="B325"/>
      <c r="C325" s="31"/>
      <c r="D325" s="31"/>
      <c r="E325" s="31"/>
      <c r="F325" s="31"/>
      <c r="G325" s="20" t="s">
        <v>551</v>
      </c>
      <c r="H325" s="20" t="s">
        <v>552</v>
      </c>
      <c r="I325" s="20" t="s">
        <v>553</v>
      </c>
      <c r="J325" s="20" t="s">
        <v>554</v>
      </c>
      <c r="K325" s="20">
        <v>42.92248</v>
      </c>
      <c r="L325" s="20">
        <v>-96.900861000000006</v>
      </c>
      <c r="M325" s="20" t="s">
        <v>100</v>
      </c>
      <c r="N325" s="4" t="s">
        <v>555</v>
      </c>
      <c r="O325" t="s">
        <v>83</v>
      </c>
      <c r="P325" t="s">
        <v>84</v>
      </c>
      <c r="Q325" s="5">
        <v>328</v>
      </c>
      <c r="R325" s="1">
        <v>45498</v>
      </c>
      <c r="S325" s="1">
        <v>45553</v>
      </c>
      <c r="T325">
        <v>116</v>
      </c>
      <c r="U325"/>
      <c r="V325"/>
      <c r="W325"/>
      <c r="X325"/>
      <c r="Y325" s="132"/>
      <c r="Z325" s="14">
        <v>3</v>
      </c>
      <c r="AA325" s="133">
        <v>680.74057615765889</v>
      </c>
      <c r="AB325" s="133">
        <v>190.98204138064835</v>
      </c>
      <c r="AC325" s="133">
        <v>119.87171125182402</v>
      </c>
      <c r="AD325" s="29"/>
      <c r="AE325" s="29"/>
      <c r="AF325" s="29"/>
    </row>
    <row r="326" spans="1:32" s="28" customFormat="1" x14ac:dyDescent="0.25">
      <c r="A326"/>
      <c r="B326"/>
      <c r="C326" s="31"/>
      <c r="D326" s="31"/>
      <c r="E326" s="31"/>
      <c r="F326" s="31"/>
      <c r="G326" s="6" t="s">
        <v>551</v>
      </c>
      <c r="H326" s="6" t="s">
        <v>552</v>
      </c>
      <c r="I326" s="6" t="s">
        <v>553</v>
      </c>
      <c r="J326" s="6" t="s">
        <v>554</v>
      </c>
      <c r="K326" s="6">
        <v>42.92248</v>
      </c>
      <c r="L326" s="6">
        <v>-96.900861000000006</v>
      </c>
      <c r="M326" s="6" t="s">
        <v>100</v>
      </c>
      <c r="N326" s="4" t="s">
        <v>555</v>
      </c>
      <c r="O326" t="s">
        <v>54</v>
      </c>
      <c r="P326" t="s">
        <v>55</v>
      </c>
      <c r="Q326" s="5">
        <v>329</v>
      </c>
      <c r="R326" s="1">
        <v>45498</v>
      </c>
      <c r="S326" s="1">
        <v>45553</v>
      </c>
      <c r="T326">
        <v>116</v>
      </c>
      <c r="U326"/>
      <c r="V326">
        <v>310</v>
      </c>
      <c r="W326">
        <v>50</v>
      </c>
      <c r="X326">
        <v>29</v>
      </c>
      <c r="Z326">
        <v>3</v>
      </c>
      <c r="AA326" s="124">
        <v>680.74057615765889</v>
      </c>
      <c r="AB326" s="124">
        <v>190.98204138064835</v>
      </c>
      <c r="AC326" s="124">
        <v>119.87171125182402</v>
      </c>
      <c r="AD326" s="29"/>
      <c r="AE326" s="29"/>
      <c r="AF326" s="29"/>
    </row>
    <row r="327" spans="1:32" s="28" customFormat="1" x14ac:dyDescent="0.25">
      <c r="A327"/>
      <c r="B327" s="13">
        <v>45512</v>
      </c>
      <c r="C327" s="32">
        <v>2900</v>
      </c>
      <c r="D327" s="32"/>
      <c r="E327" s="32">
        <v>3059.34</v>
      </c>
      <c r="F327" s="32">
        <v>5959.34</v>
      </c>
      <c r="G327" s="8" t="s">
        <v>551</v>
      </c>
      <c r="H327" s="8" t="s">
        <v>552</v>
      </c>
      <c r="I327" s="8" t="s">
        <v>553</v>
      </c>
      <c r="J327" s="8" t="s">
        <v>554</v>
      </c>
      <c r="K327" s="8">
        <v>42.92248</v>
      </c>
      <c r="L327" s="8">
        <v>-96.900861000000006</v>
      </c>
      <c r="M327" s="8" t="s">
        <v>100</v>
      </c>
      <c r="N327" s="10" t="s">
        <v>555</v>
      </c>
      <c r="O327" s="11" t="s">
        <v>56</v>
      </c>
      <c r="P327" s="11" t="s">
        <v>57</v>
      </c>
      <c r="Q327" s="12">
        <v>340</v>
      </c>
      <c r="R327" s="13">
        <v>45498</v>
      </c>
      <c r="S327" s="13">
        <v>45553</v>
      </c>
      <c r="T327" s="11">
        <v>116</v>
      </c>
      <c r="U327" s="11"/>
      <c r="V327" s="11">
        <v>555</v>
      </c>
      <c r="W327" s="11">
        <v>164</v>
      </c>
      <c r="X327" s="11">
        <v>102</v>
      </c>
      <c r="Y327" s="36"/>
      <c r="Z327" s="11">
        <v>3</v>
      </c>
      <c r="AA327" s="135">
        <f t="shared" si="22"/>
        <v>680.74057615765889</v>
      </c>
      <c r="AB327" s="135">
        <f t="shared" si="23"/>
        <v>190.98204138064835</v>
      </c>
      <c r="AC327" s="135">
        <f t="shared" si="24"/>
        <v>119.87171125182402</v>
      </c>
      <c r="AD327" s="29"/>
      <c r="AE327" s="29"/>
      <c r="AF327" s="29"/>
    </row>
    <row r="328" spans="1:32" s="28" customFormat="1" x14ac:dyDescent="0.25">
      <c r="A328"/>
      <c r="B328"/>
      <c r="C328" s="31"/>
      <c r="D328" s="31"/>
      <c r="E328" s="31"/>
      <c r="F328" s="31"/>
      <c r="G328" s="20" t="s">
        <v>556</v>
      </c>
      <c r="H328" s="20" t="s">
        <v>329</v>
      </c>
      <c r="I328" s="20" t="s">
        <v>557</v>
      </c>
      <c r="J328" s="20" t="s">
        <v>468</v>
      </c>
      <c r="K328" s="20">
        <v>45.376576</v>
      </c>
      <c r="L328" s="20">
        <v>-96.939476999999997</v>
      </c>
      <c r="M328" s="20" t="s">
        <v>275</v>
      </c>
      <c r="N328" s="4">
        <v>202403</v>
      </c>
      <c r="O328" t="s">
        <v>54</v>
      </c>
      <c r="P328" t="s">
        <v>55</v>
      </c>
      <c r="Q328" s="5">
        <v>329</v>
      </c>
      <c r="R328" s="1">
        <v>45474</v>
      </c>
      <c r="S328" s="1">
        <v>45519</v>
      </c>
      <c r="T328"/>
      <c r="U328" t="s">
        <v>145</v>
      </c>
      <c r="V328">
        <v>217</v>
      </c>
      <c r="W328">
        <v>47</v>
      </c>
      <c r="X328">
        <v>32</v>
      </c>
      <c r="Z328">
        <v>3</v>
      </c>
      <c r="AA328" s="123">
        <v>643.94378825724493</v>
      </c>
      <c r="AB328" s="123">
        <v>207.28538637655734</v>
      </c>
      <c r="AC328" s="123">
        <v>148.07681978166497</v>
      </c>
      <c r="AD328" s="29"/>
      <c r="AE328" s="29"/>
      <c r="AF328" s="29"/>
    </row>
    <row r="329" spans="1:32" s="28" customFormat="1" x14ac:dyDescent="0.25">
      <c r="A329"/>
      <c r="B329" s="13">
        <v>45559</v>
      </c>
      <c r="C329" s="32">
        <v>3301.75</v>
      </c>
      <c r="D329" s="32"/>
      <c r="E329" s="32">
        <v>3301.75</v>
      </c>
      <c r="F329" s="32">
        <v>6603.5</v>
      </c>
      <c r="G329" s="8" t="s">
        <v>556</v>
      </c>
      <c r="H329" s="8" t="s">
        <v>329</v>
      </c>
      <c r="I329" s="8" t="s">
        <v>557</v>
      </c>
      <c r="J329" s="8" t="s">
        <v>468</v>
      </c>
      <c r="K329" s="8">
        <v>45.376576</v>
      </c>
      <c r="L329" s="8">
        <v>-96.939476999999997</v>
      </c>
      <c r="M329" s="8" t="s">
        <v>275</v>
      </c>
      <c r="N329" s="10">
        <v>202403</v>
      </c>
      <c r="O329" s="11" t="s">
        <v>56</v>
      </c>
      <c r="P329" s="11" t="s">
        <v>57</v>
      </c>
      <c r="Q329" s="12">
        <v>340</v>
      </c>
      <c r="R329" s="13">
        <v>45474</v>
      </c>
      <c r="S329" s="13">
        <v>45778</v>
      </c>
      <c r="T329" s="11"/>
      <c r="U329" s="11" t="s">
        <v>145</v>
      </c>
      <c r="V329" s="11">
        <v>525</v>
      </c>
      <c r="W329" s="11">
        <v>178</v>
      </c>
      <c r="X329" s="11">
        <v>126</v>
      </c>
      <c r="Z329">
        <v>3</v>
      </c>
      <c r="AA329" s="124">
        <f t="shared" ref="AA329:AA361" si="25">V329*$AD$1</f>
        <v>643.94378825724493</v>
      </c>
      <c r="AB329" s="124">
        <f t="shared" ref="AB329:AB361" si="26">W329*$AE$1</f>
        <v>207.28538637655734</v>
      </c>
      <c r="AC329" s="124">
        <f t="shared" ref="AC329:AC361" si="27">X329*$AF$1</f>
        <v>148.07681978166497</v>
      </c>
      <c r="AD329" s="29"/>
      <c r="AE329" s="29"/>
      <c r="AF329" s="29"/>
    </row>
    <row r="330" spans="1:32" s="28" customFormat="1" x14ac:dyDescent="0.25">
      <c r="A330"/>
      <c r="B330"/>
      <c r="C330" s="31"/>
      <c r="D330" s="31"/>
      <c r="E330" s="31"/>
      <c r="F330" s="31"/>
      <c r="G330" s="20" t="s">
        <v>558</v>
      </c>
      <c r="H330" s="20" t="s">
        <v>559</v>
      </c>
      <c r="I330" s="20" t="s">
        <v>560</v>
      </c>
      <c r="J330" s="20" t="s">
        <v>263</v>
      </c>
      <c r="K330" s="20">
        <v>43.936072000000003</v>
      </c>
      <c r="L330" s="20">
        <v>-97.745228999999995</v>
      </c>
      <c r="M330" s="20" t="s">
        <v>189</v>
      </c>
      <c r="N330" s="4">
        <v>20241</v>
      </c>
      <c r="O330" t="s">
        <v>54</v>
      </c>
      <c r="P330" t="s">
        <v>55</v>
      </c>
      <c r="Q330" s="5">
        <v>329</v>
      </c>
      <c r="R330" s="1">
        <v>45467</v>
      </c>
      <c r="S330" s="1">
        <v>45413</v>
      </c>
      <c r="T330">
        <v>30</v>
      </c>
      <c r="U330"/>
      <c r="V330">
        <v>49</v>
      </c>
      <c r="W330">
        <v>9</v>
      </c>
      <c r="X330">
        <v>6</v>
      </c>
      <c r="Y330" s="132"/>
      <c r="Z330" s="14">
        <v>3</v>
      </c>
      <c r="AA330" s="133">
        <v>116.52316168464432</v>
      </c>
      <c r="AB330" s="133">
        <v>34.935739276947871</v>
      </c>
      <c r="AC330" s="133">
        <v>23.50425710820079</v>
      </c>
      <c r="AD330" s="29"/>
      <c r="AE330" s="29"/>
      <c r="AF330" s="29"/>
    </row>
    <row r="331" spans="1:32" s="28" customFormat="1" x14ac:dyDescent="0.25">
      <c r="A331"/>
      <c r="B331" s="13">
        <v>45628</v>
      </c>
      <c r="C331" s="32">
        <v>624.29999999999995</v>
      </c>
      <c r="D331" s="32"/>
      <c r="E331" s="32">
        <v>624.29999999999995</v>
      </c>
      <c r="F331" s="32">
        <v>1248.5999999999999</v>
      </c>
      <c r="G331" s="8" t="s">
        <v>558</v>
      </c>
      <c r="H331" s="8" t="s">
        <v>559</v>
      </c>
      <c r="I331" s="8" t="s">
        <v>560</v>
      </c>
      <c r="J331" s="8" t="s">
        <v>263</v>
      </c>
      <c r="K331" s="8">
        <v>43.936072000000003</v>
      </c>
      <c r="L331" s="8">
        <v>-97.745228999999995</v>
      </c>
      <c r="M331" s="8" t="s">
        <v>189</v>
      </c>
      <c r="N331" s="10">
        <v>20241</v>
      </c>
      <c r="O331" s="11" t="s">
        <v>56</v>
      </c>
      <c r="P331" s="11" t="s">
        <v>57</v>
      </c>
      <c r="Q331" s="12">
        <v>340</v>
      </c>
      <c r="R331" s="13">
        <v>45444</v>
      </c>
      <c r="S331" s="13">
        <v>45809</v>
      </c>
      <c r="T331" s="11">
        <v>30</v>
      </c>
      <c r="U331" s="11"/>
      <c r="V331" s="11">
        <v>95</v>
      </c>
      <c r="W331" s="11">
        <v>30</v>
      </c>
      <c r="X331" s="11">
        <v>20</v>
      </c>
      <c r="Y331" s="36"/>
      <c r="Z331" s="11">
        <v>3</v>
      </c>
      <c r="AA331" s="135">
        <f t="shared" si="25"/>
        <v>116.52316168464432</v>
      </c>
      <c r="AB331" s="135">
        <f t="shared" si="26"/>
        <v>34.935739276947871</v>
      </c>
      <c r="AC331" s="135">
        <f t="shared" si="27"/>
        <v>23.50425710820079</v>
      </c>
      <c r="AD331" s="29"/>
      <c r="AE331" s="29"/>
      <c r="AF331" s="29"/>
    </row>
    <row r="332" spans="1:32" s="28" customFormat="1" x14ac:dyDescent="0.25">
      <c r="A332"/>
      <c r="B332"/>
      <c r="C332" s="31"/>
      <c r="D332" s="31"/>
      <c r="E332" s="31"/>
      <c r="F332" s="31"/>
      <c r="G332" s="20" t="s">
        <v>561</v>
      </c>
      <c r="H332" s="20" t="s">
        <v>534</v>
      </c>
      <c r="I332" s="20" t="s">
        <v>562</v>
      </c>
      <c r="J332" s="20" t="s">
        <v>563</v>
      </c>
      <c r="K332" s="20">
        <v>44.415987000000001</v>
      </c>
      <c r="L332" s="20">
        <v>-100.242985</v>
      </c>
      <c r="M332" s="20" t="s">
        <v>564</v>
      </c>
      <c r="N332" s="4" t="s">
        <v>565</v>
      </c>
      <c r="O332" t="s">
        <v>54</v>
      </c>
      <c r="P332" t="s">
        <v>55</v>
      </c>
      <c r="Q332" s="5">
        <v>329</v>
      </c>
      <c r="R332" s="1">
        <v>45474</v>
      </c>
      <c r="S332" s="1">
        <v>45558</v>
      </c>
      <c r="T332">
        <v>168</v>
      </c>
      <c r="U332"/>
      <c r="V332">
        <v>333</v>
      </c>
      <c r="W332">
        <v>69</v>
      </c>
      <c r="X332">
        <v>46</v>
      </c>
      <c r="Z332">
        <v>3</v>
      </c>
      <c r="AA332" s="123">
        <v>951.81024702404204</v>
      </c>
      <c r="AB332" s="123">
        <v>300.44735778175169</v>
      </c>
      <c r="AC332" s="123">
        <v>211.53831397380708</v>
      </c>
      <c r="AD332" s="29"/>
      <c r="AE332" s="29"/>
      <c r="AF332" s="29"/>
    </row>
    <row r="333" spans="1:32" s="28" customFormat="1" x14ac:dyDescent="0.25">
      <c r="A333"/>
      <c r="B333" s="13">
        <v>45548</v>
      </c>
      <c r="C333" s="32">
        <v>3299.52</v>
      </c>
      <c r="D333" s="32"/>
      <c r="E333" s="32">
        <v>22914.68</v>
      </c>
      <c r="F333" s="32">
        <v>26214.29</v>
      </c>
      <c r="G333" s="8" t="s">
        <v>561</v>
      </c>
      <c r="H333" s="8" t="s">
        <v>534</v>
      </c>
      <c r="I333" s="8" t="s">
        <v>562</v>
      </c>
      <c r="J333" s="8" t="s">
        <v>563</v>
      </c>
      <c r="K333" s="8">
        <v>44.415987000000001</v>
      </c>
      <c r="L333" s="8">
        <v>-100.242985</v>
      </c>
      <c r="M333" s="8" t="s">
        <v>564</v>
      </c>
      <c r="N333" s="10" t="s">
        <v>565</v>
      </c>
      <c r="O333" s="11" t="s">
        <v>56</v>
      </c>
      <c r="P333" s="11" t="s">
        <v>57</v>
      </c>
      <c r="Q333" s="12">
        <v>340</v>
      </c>
      <c r="R333" s="13">
        <v>45505</v>
      </c>
      <c r="S333" s="13">
        <v>45548</v>
      </c>
      <c r="T333" s="11">
        <v>168</v>
      </c>
      <c r="U333" s="11"/>
      <c r="V333" s="11">
        <v>776</v>
      </c>
      <c r="W333" s="11">
        <v>258</v>
      </c>
      <c r="X333" s="11">
        <v>180</v>
      </c>
      <c r="Z333">
        <v>3</v>
      </c>
      <c r="AA333" s="124">
        <f t="shared" si="25"/>
        <v>951.81024702404204</v>
      </c>
      <c r="AB333" s="124">
        <f t="shared" si="26"/>
        <v>300.44735778175169</v>
      </c>
      <c r="AC333" s="124">
        <f t="shared" si="27"/>
        <v>211.53831397380708</v>
      </c>
      <c r="AD333" s="29"/>
      <c r="AE333" s="29"/>
      <c r="AF333" s="29"/>
    </row>
    <row r="334" spans="1:32" s="28" customFormat="1" x14ac:dyDescent="0.25">
      <c r="A334"/>
      <c r="B334"/>
      <c r="C334" s="31"/>
      <c r="D334" s="31"/>
      <c r="E334" s="31"/>
      <c r="F334" s="31"/>
      <c r="G334" s="20" t="s">
        <v>566</v>
      </c>
      <c r="H334" s="20" t="s">
        <v>567</v>
      </c>
      <c r="I334" s="20" t="s">
        <v>568</v>
      </c>
      <c r="J334" s="20" t="s">
        <v>478</v>
      </c>
      <c r="K334" s="20">
        <v>43.100960000000001</v>
      </c>
      <c r="L334" s="20">
        <v>-97.572306999999995</v>
      </c>
      <c r="M334" s="20"/>
      <c r="N334" s="4" t="s">
        <v>569</v>
      </c>
      <c r="O334" t="s">
        <v>83</v>
      </c>
      <c r="P334" t="s">
        <v>84</v>
      </c>
      <c r="Q334" s="5">
        <v>328</v>
      </c>
      <c r="R334" s="1">
        <v>45505</v>
      </c>
      <c r="S334" s="1">
        <v>45712</v>
      </c>
      <c r="T334">
        <v>156</v>
      </c>
      <c r="U334"/>
      <c r="V334"/>
      <c r="W334"/>
      <c r="X334"/>
      <c r="Y334" s="132"/>
      <c r="Z334" s="14">
        <v>3</v>
      </c>
      <c r="AA334" s="133">
        <v>1547.9182110107488</v>
      </c>
      <c r="AB334" s="133">
        <v>499.5810716603545</v>
      </c>
      <c r="AC334" s="133">
        <v>359.61513375547207</v>
      </c>
      <c r="AD334" s="29"/>
      <c r="AE334" s="29"/>
      <c r="AF334" s="29"/>
    </row>
    <row r="335" spans="1:32" s="28" customFormat="1" x14ac:dyDescent="0.25">
      <c r="A335"/>
      <c r="B335"/>
      <c r="C335" s="31"/>
      <c r="D335" s="31"/>
      <c r="E335" s="31"/>
      <c r="F335" s="31"/>
      <c r="G335" s="6" t="s">
        <v>566</v>
      </c>
      <c r="H335" s="6" t="s">
        <v>567</v>
      </c>
      <c r="I335" s="6" t="s">
        <v>568</v>
      </c>
      <c r="J335" s="6" t="s">
        <v>478</v>
      </c>
      <c r="K335" s="6">
        <v>43.100960000000001</v>
      </c>
      <c r="L335" s="6">
        <v>-97.572306999999995</v>
      </c>
      <c r="M335" s="6"/>
      <c r="N335" s="4" t="s">
        <v>569</v>
      </c>
      <c r="O335" t="s">
        <v>54</v>
      </c>
      <c r="P335" t="s">
        <v>55</v>
      </c>
      <c r="Q335" s="5">
        <v>329</v>
      </c>
      <c r="R335" s="1">
        <v>45505</v>
      </c>
      <c r="S335" s="1">
        <v>45712</v>
      </c>
      <c r="T335">
        <v>156</v>
      </c>
      <c r="U335"/>
      <c r="V335">
        <v>514</v>
      </c>
      <c r="W335">
        <v>114</v>
      </c>
      <c r="X335">
        <v>78</v>
      </c>
      <c r="Z335">
        <v>3</v>
      </c>
      <c r="AA335" s="124">
        <v>1547.9182110107488</v>
      </c>
      <c r="AB335" s="124">
        <v>499.5810716603545</v>
      </c>
      <c r="AC335" s="124">
        <v>359.61513375547207</v>
      </c>
      <c r="AD335" s="29"/>
      <c r="AE335" s="29"/>
      <c r="AF335" s="29"/>
    </row>
    <row r="336" spans="1:32" s="28" customFormat="1" x14ac:dyDescent="0.25">
      <c r="A336"/>
      <c r="B336" s="13">
        <v>45522</v>
      </c>
      <c r="C336" s="32">
        <v>2850</v>
      </c>
      <c r="D336" s="32"/>
      <c r="E336" s="32">
        <v>2850</v>
      </c>
      <c r="F336" s="32">
        <v>5700</v>
      </c>
      <c r="G336" s="8" t="s">
        <v>566</v>
      </c>
      <c r="H336" s="8" t="s">
        <v>567</v>
      </c>
      <c r="I336" s="8" t="s">
        <v>568</v>
      </c>
      <c r="J336" s="8" t="s">
        <v>478</v>
      </c>
      <c r="K336" s="8">
        <v>43.100960000000001</v>
      </c>
      <c r="L336" s="8">
        <v>-97.572306999999995</v>
      </c>
      <c r="M336" s="8"/>
      <c r="N336" s="10" t="s">
        <v>569</v>
      </c>
      <c r="O336" s="11" t="s">
        <v>56</v>
      </c>
      <c r="P336" s="11" t="s">
        <v>57</v>
      </c>
      <c r="Q336" s="12">
        <v>340</v>
      </c>
      <c r="R336" s="13">
        <v>45519</v>
      </c>
      <c r="S336" s="13">
        <v>45580</v>
      </c>
      <c r="T336" s="11">
        <v>156</v>
      </c>
      <c r="U336" s="11"/>
      <c r="V336" s="11">
        <v>1262</v>
      </c>
      <c r="W336" s="11">
        <v>429</v>
      </c>
      <c r="X336" s="11">
        <v>306</v>
      </c>
      <c r="Y336" s="36"/>
      <c r="Z336" s="11">
        <v>3</v>
      </c>
      <c r="AA336" s="135">
        <f t="shared" si="25"/>
        <v>1547.9182110107488</v>
      </c>
      <c r="AB336" s="135">
        <f t="shared" si="26"/>
        <v>499.5810716603545</v>
      </c>
      <c r="AC336" s="135">
        <f t="shared" si="27"/>
        <v>359.61513375547207</v>
      </c>
      <c r="AD336" s="29"/>
      <c r="AE336" s="29"/>
      <c r="AF336" s="29"/>
    </row>
    <row r="337" spans="1:32" s="28" customFormat="1" x14ac:dyDescent="0.25">
      <c r="A337"/>
      <c r="B337"/>
      <c r="C337" s="31"/>
      <c r="D337" s="31"/>
      <c r="E337" s="31"/>
      <c r="F337" s="31"/>
      <c r="G337" s="20" t="s">
        <v>570</v>
      </c>
      <c r="H337" s="20" t="s">
        <v>67</v>
      </c>
      <c r="I337" s="20" t="s">
        <v>571</v>
      </c>
      <c r="J337" s="20" t="s">
        <v>572</v>
      </c>
      <c r="K337" s="20">
        <v>43.034579999999998</v>
      </c>
      <c r="L337" s="20">
        <v>-97.631472000000002</v>
      </c>
      <c r="M337" s="20" t="s">
        <v>137</v>
      </c>
      <c r="N337" s="4" t="s">
        <v>103</v>
      </c>
      <c r="O337" t="s">
        <v>54</v>
      </c>
      <c r="P337" t="s">
        <v>55</v>
      </c>
      <c r="Q337" s="5">
        <v>329</v>
      </c>
      <c r="R337" s="1">
        <v>45102</v>
      </c>
      <c r="S337" s="1">
        <v>45170</v>
      </c>
      <c r="T337">
        <v>160</v>
      </c>
      <c r="U337"/>
      <c r="V337">
        <v>657</v>
      </c>
      <c r="W337">
        <v>127</v>
      </c>
      <c r="X337">
        <v>82</v>
      </c>
      <c r="Z337">
        <v>2</v>
      </c>
      <c r="AA337" s="123">
        <v>1777.2848555899959</v>
      </c>
      <c r="AB337" s="123">
        <v>549.65563129064651</v>
      </c>
      <c r="AC337" s="123">
        <v>377.24332658662263</v>
      </c>
      <c r="AD337" s="29"/>
      <c r="AE337" s="29"/>
      <c r="AF337" s="29"/>
    </row>
    <row r="338" spans="1:32" s="28" customFormat="1" x14ac:dyDescent="0.25">
      <c r="A338"/>
      <c r="B338" s="1">
        <v>45170</v>
      </c>
      <c r="C338" s="31">
        <v>3529.6</v>
      </c>
      <c r="D338" s="31"/>
      <c r="E338" s="31">
        <v>5139.9799999999996</v>
      </c>
      <c r="F338" s="31">
        <v>8669.58</v>
      </c>
      <c r="G338" s="6" t="s">
        <v>570</v>
      </c>
      <c r="H338" s="6" t="s">
        <v>67</v>
      </c>
      <c r="I338" s="6" t="s">
        <v>571</v>
      </c>
      <c r="J338" s="6" t="s">
        <v>572</v>
      </c>
      <c r="K338" s="6">
        <v>43.034579999999998</v>
      </c>
      <c r="L338" s="6">
        <v>-97.631472000000002</v>
      </c>
      <c r="M338" s="6" t="s">
        <v>137</v>
      </c>
      <c r="N338" s="4" t="s">
        <v>103</v>
      </c>
      <c r="O338" t="s">
        <v>56</v>
      </c>
      <c r="P338" t="s">
        <v>57</v>
      </c>
      <c r="Q338" s="5">
        <v>340</v>
      </c>
      <c r="R338" s="1">
        <v>45097</v>
      </c>
      <c r="S338" s="1">
        <v>45170</v>
      </c>
      <c r="T338">
        <v>160</v>
      </c>
      <c r="U338"/>
      <c r="V338">
        <v>1449</v>
      </c>
      <c r="W338">
        <v>472</v>
      </c>
      <c r="X338">
        <v>321</v>
      </c>
      <c r="Z338">
        <v>2</v>
      </c>
      <c r="AA338" s="124">
        <f t="shared" si="25"/>
        <v>1777.2848555899959</v>
      </c>
      <c r="AB338" s="124">
        <f t="shared" si="26"/>
        <v>549.65563129064651</v>
      </c>
      <c r="AC338" s="124">
        <f t="shared" si="27"/>
        <v>377.24332658662263</v>
      </c>
      <c r="AD338" s="29"/>
      <c r="AE338" s="29"/>
      <c r="AF338" s="29"/>
    </row>
    <row r="339" spans="1:32" s="28" customFormat="1" x14ac:dyDescent="0.25">
      <c r="A339"/>
      <c r="B339"/>
      <c r="C339" s="31"/>
      <c r="D339" s="31"/>
      <c r="E339" s="31"/>
      <c r="F339" s="31"/>
      <c r="G339" s="6" t="s">
        <v>570</v>
      </c>
      <c r="H339" s="6" t="s">
        <v>67</v>
      </c>
      <c r="I339" s="6" t="s">
        <v>571</v>
      </c>
      <c r="J339" s="6" t="s">
        <v>572</v>
      </c>
      <c r="K339" s="6">
        <v>43.034579999999998</v>
      </c>
      <c r="L339" s="6">
        <v>-97.631472000000002</v>
      </c>
      <c r="M339" s="6" t="s">
        <v>137</v>
      </c>
      <c r="N339" s="4" t="s">
        <v>103</v>
      </c>
      <c r="O339" t="s">
        <v>105</v>
      </c>
      <c r="P339" s="11" t="s">
        <v>741</v>
      </c>
      <c r="Q339" s="12">
        <v>528</v>
      </c>
      <c r="R339" s="1">
        <v>45078</v>
      </c>
      <c r="S339" s="1">
        <v>45289</v>
      </c>
      <c r="T339">
        <v>160</v>
      </c>
      <c r="U339"/>
      <c r="V339"/>
      <c r="W339"/>
      <c r="X339"/>
      <c r="Z339">
        <v>2</v>
      </c>
      <c r="AA339" s="124">
        <v>1777.2848555899959</v>
      </c>
      <c r="AB339" s="124">
        <v>549.65563129064651</v>
      </c>
      <c r="AC339" s="124">
        <v>377.24332658662263</v>
      </c>
      <c r="AD339" s="29"/>
      <c r="AE339" s="29"/>
      <c r="AF339" s="29"/>
    </row>
    <row r="340" spans="1:32" s="28" customFormat="1" x14ac:dyDescent="0.25">
      <c r="A340"/>
      <c r="B340" s="13">
        <v>45444</v>
      </c>
      <c r="C340" s="32">
        <v>3725</v>
      </c>
      <c r="D340" s="32"/>
      <c r="E340" s="32">
        <v>3725</v>
      </c>
      <c r="F340" s="32">
        <v>7450</v>
      </c>
      <c r="G340" s="8" t="s">
        <v>570</v>
      </c>
      <c r="H340" s="8" t="s">
        <v>67</v>
      </c>
      <c r="I340" s="8" t="s">
        <v>571</v>
      </c>
      <c r="J340" s="8" t="s">
        <v>572</v>
      </c>
      <c r="K340" s="8">
        <v>43.034579999999998</v>
      </c>
      <c r="L340" s="8">
        <v>-97.631472000000002</v>
      </c>
      <c r="M340" s="8" t="s">
        <v>137</v>
      </c>
      <c r="N340" s="10" t="s">
        <v>103</v>
      </c>
      <c r="O340" s="11" t="s">
        <v>132</v>
      </c>
      <c r="P340" s="11" t="s">
        <v>133</v>
      </c>
      <c r="Q340" s="12"/>
      <c r="R340" s="13">
        <v>45447</v>
      </c>
      <c r="S340" s="13">
        <v>45575</v>
      </c>
      <c r="T340" s="11">
        <v>59</v>
      </c>
      <c r="U340" s="11"/>
      <c r="V340" s="141">
        <v>141</v>
      </c>
      <c r="W340" s="141">
        <v>48</v>
      </c>
      <c r="X340" s="141">
        <v>33</v>
      </c>
      <c r="Z340">
        <v>3</v>
      </c>
      <c r="AA340" s="124">
        <v>1777.2848555899959</v>
      </c>
      <c r="AB340" s="124">
        <v>549.65563129064651</v>
      </c>
      <c r="AC340" s="124">
        <v>377.24332658662263</v>
      </c>
      <c r="AD340" s="29"/>
      <c r="AE340" s="29"/>
      <c r="AF340" s="29"/>
    </row>
    <row r="341" spans="1:32" s="28" customFormat="1" x14ac:dyDescent="0.25">
      <c r="A341"/>
      <c r="B341"/>
      <c r="C341" s="31"/>
      <c r="D341" s="31"/>
      <c r="E341" s="31"/>
      <c r="F341" s="31"/>
      <c r="G341" s="20" t="s">
        <v>574</v>
      </c>
      <c r="H341" s="20" t="s">
        <v>182</v>
      </c>
      <c r="I341" s="20" t="s">
        <v>575</v>
      </c>
      <c r="J341" s="20" t="s">
        <v>576</v>
      </c>
      <c r="K341" s="20">
        <v>43.211111000000002</v>
      </c>
      <c r="L341" s="20">
        <v>-96.964170999999993</v>
      </c>
      <c r="M341" s="20" t="s">
        <v>100</v>
      </c>
      <c r="N341" s="4" t="s">
        <v>577</v>
      </c>
      <c r="O341" t="s">
        <v>83</v>
      </c>
      <c r="P341" t="s">
        <v>84</v>
      </c>
      <c r="Q341" s="5">
        <v>328</v>
      </c>
      <c r="R341" s="1">
        <v>45536</v>
      </c>
      <c r="S341" s="1">
        <v>45569</v>
      </c>
      <c r="T341">
        <v>76.5</v>
      </c>
      <c r="U341"/>
      <c r="V341"/>
      <c r="W341"/>
      <c r="X341"/>
      <c r="Y341" s="132"/>
      <c r="Z341" s="14">
        <v>3</v>
      </c>
      <c r="AA341" s="133">
        <v>429.29585883816327</v>
      </c>
      <c r="AB341" s="133">
        <v>122.27508746931754</v>
      </c>
      <c r="AC341" s="133">
        <v>77.564048457062597</v>
      </c>
      <c r="AD341" s="29"/>
      <c r="AE341" s="29"/>
      <c r="AF341" s="29"/>
    </row>
    <row r="342" spans="1:32" s="28" customFormat="1" x14ac:dyDescent="0.25">
      <c r="A342"/>
      <c r="B342"/>
      <c r="C342" s="31"/>
      <c r="D342" s="31"/>
      <c r="E342" s="31"/>
      <c r="F342" s="31"/>
      <c r="G342" s="6" t="s">
        <v>574</v>
      </c>
      <c r="H342" s="6" t="s">
        <v>182</v>
      </c>
      <c r="I342" s="6" t="s">
        <v>575</v>
      </c>
      <c r="J342" s="6" t="s">
        <v>576</v>
      </c>
      <c r="K342" s="6">
        <v>43.211111000000002</v>
      </c>
      <c r="L342" s="6">
        <v>-96.964170999999993</v>
      </c>
      <c r="M342" s="6" t="s">
        <v>100</v>
      </c>
      <c r="N342" s="4" t="s">
        <v>577</v>
      </c>
      <c r="O342" t="s">
        <v>54</v>
      </c>
      <c r="P342" t="s">
        <v>55</v>
      </c>
      <c r="Q342" s="5">
        <v>329</v>
      </c>
      <c r="R342" s="1">
        <v>45536</v>
      </c>
      <c r="S342" s="1">
        <v>45569</v>
      </c>
      <c r="T342">
        <v>76.5</v>
      </c>
      <c r="U342"/>
      <c r="V342">
        <v>192</v>
      </c>
      <c r="W342">
        <v>32</v>
      </c>
      <c r="X342">
        <v>19</v>
      </c>
      <c r="Z342">
        <v>3</v>
      </c>
      <c r="AA342" s="124">
        <v>429.29585883816327</v>
      </c>
      <c r="AB342" s="124">
        <v>122.27508746931754</v>
      </c>
      <c r="AC342" s="124">
        <v>77.564048457062597</v>
      </c>
      <c r="AD342" s="29"/>
      <c r="AE342" s="29"/>
      <c r="AF342" s="29"/>
    </row>
    <row r="343" spans="1:32" s="28" customFormat="1" x14ac:dyDescent="0.25">
      <c r="A343"/>
      <c r="B343" s="13">
        <v>45553</v>
      </c>
      <c r="C343" s="32">
        <v>6657.5</v>
      </c>
      <c r="D343" s="32"/>
      <c r="E343" s="32">
        <v>6657.5</v>
      </c>
      <c r="F343" s="32">
        <v>13315</v>
      </c>
      <c r="G343" s="8" t="s">
        <v>574</v>
      </c>
      <c r="H343" s="8" t="s">
        <v>182</v>
      </c>
      <c r="I343" s="8" t="s">
        <v>575</v>
      </c>
      <c r="J343" s="8" t="s">
        <v>576</v>
      </c>
      <c r="K343" s="8">
        <v>43.211111000000002</v>
      </c>
      <c r="L343" s="8">
        <v>-96.964170999999993</v>
      </c>
      <c r="M343" s="8" t="s">
        <v>100</v>
      </c>
      <c r="N343" s="10" t="s">
        <v>577</v>
      </c>
      <c r="O343" s="11" t="s">
        <v>132</v>
      </c>
      <c r="P343" s="11" t="s">
        <v>133</v>
      </c>
      <c r="Q343" s="12"/>
      <c r="R343" s="13">
        <v>45541</v>
      </c>
      <c r="S343" s="13">
        <v>45554</v>
      </c>
      <c r="T343" s="11">
        <v>76.5</v>
      </c>
      <c r="U343" s="11"/>
      <c r="V343" s="11">
        <v>350</v>
      </c>
      <c r="W343" s="11">
        <v>105</v>
      </c>
      <c r="X343" s="11">
        <v>66</v>
      </c>
      <c r="Y343" s="36"/>
      <c r="Z343" s="11">
        <v>3</v>
      </c>
      <c r="AA343" s="135">
        <f t="shared" si="25"/>
        <v>429.29585883816327</v>
      </c>
      <c r="AB343" s="135">
        <f t="shared" si="26"/>
        <v>122.27508746931754</v>
      </c>
      <c r="AC343" s="135">
        <f t="shared" si="27"/>
        <v>77.564048457062597</v>
      </c>
      <c r="AD343" s="29"/>
      <c r="AE343" s="29"/>
      <c r="AF343" s="29"/>
    </row>
    <row r="344" spans="1:32" s="28" customFormat="1" x14ac:dyDescent="0.25">
      <c r="A344"/>
      <c r="B344"/>
      <c r="C344" s="31"/>
      <c r="D344" s="31"/>
      <c r="E344" s="31"/>
      <c r="F344" s="31"/>
      <c r="G344" s="20" t="s">
        <v>578</v>
      </c>
      <c r="H344" s="20" t="s">
        <v>579</v>
      </c>
      <c r="I344" s="20" t="s">
        <v>580</v>
      </c>
      <c r="J344" s="20" t="s">
        <v>581</v>
      </c>
      <c r="K344" s="20">
        <v>43.451000000000001</v>
      </c>
      <c r="L344" s="20">
        <v>-97.636788999999993</v>
      </c>
      <c r="M344" s="20" t="s">
        <v>192</v>
      </c>
      <c r="N344" s="4" t="s">
        <v>163</v>
      </c>
      <c r="O344" t="s">
        <v>54</v>
      </c>
      <c r="P344" t="s">
        <v>55</v>
      </c>
      <c r="Q344" s="5">
        <v>329</v>
      </c>
      <c r="R344" s="1">
        <v>45108</v>
      </c>
      <c r="S344" s="1">
        <v>45204</v>
      </c>
      <c r="T344">
        <v>70</v>
      </c>
      <c r="U344"/>
      <c r="V344">
        <v>350</v>
      </c>
      <c r="W344">
        <v>59</v>
      </c>
      <c r="X344">
        <v>35</v>
      </c>
      <c r="Z344">
        <v>3</v>
      </c>
      <c r="AA344" s="123">
        <f t="shared" si="25"/>
        <v>429.29585883816327</v>
      </c>
      <c r="AB344" s="123">
        <f t="shared" si="26"/>
        <v>68.706953911330814</v>
      </c>
      <c r="AC344" s="123">
        <f t="shared" si="27"/>
        <v>41.132449939351382</v>
      </c>
      <c r="AD344" s="29"/>
      <c r="AE344" s="29"/>
      <c r="AF344" s="29"/>
    </row>
    <row r="345" spans="1:32" s="28" customFormat="1" x14ac:dyDescent="0.25">
      <c r="A345"/>
      <c r="B345" s="1">
        <v>45204</v>
      </c>
      <c r="C345" s="31">
        <v>1750</v>
      </c>
      <c r="D345" s="31"/>
      <c r="E345" s="31">
        <v>4050.2</v>
      </c>
      <c r="F345" s="31">
        <v>5800.2</v>
      </c>
      <c r="G345" s="6" t="s">
        <v>578</v>
      </c>
      <c r="H345" s="6" t="s">
        <v>579</v>
      </c>
      <c r="I345" s="6" t="s">
        <v>580</v>
      </c>
      <c r="J345" s="6" t="s">
        <v>581</v>
      </c>
      <c r="K345" s="6">
        <v>43.451000000000001</v>
      </c>
      <c r="L345" s="6">
        <v>-97.636788999999993</v>
      </c>
      <c r="M345" s="6" t="s">
        <v>192</v>
      </c>
      <c r="N345" s="4" t="s">
        <v>163</v>
      </c>
      <c r="O345" t="s">
        <v>56</v>
      </c>
      <c r="P345" t="s">
        <v>57</v>
      </c>
      <c r="Q345" s="5">
        <v>340</v>
      </c>
      <c r="R345" s="1">
        <v>45204</v>
      </c>
      <c r="S345" s="1">
        <v>45204</v>
      </c>
      <c r="T345">
        <v>70</v>
      </c>
      <c r="U345"/>
      <c r="V345">
        <v>167</v>
      </c>
      <c r="W345">
        <v>31</v>
      </c>
      <c r="X345">
        <v>19</v>
      </c>
      <c r="Z345">
        <v>3</v>
      </c>
      <c r="AA345" s="124">
        <v>429.29585883816327</v>
      </c>
      <c r="AB345" s="124">
        <v>68.706953911330814</v>
      </c>
      <c r="AC345" s="124">
        <v>41.132449939351382</v>
      </c>
      <c r="AD345" s="29"/>
      <c r="AE345" s="29"/>
      <c r="AF345" s="29"/>
    </row>
    <row r="346" spans="1:32" s="28" customFormat="1" x14ac:dyDescent="0.25">
      <c r="A346"/>
      <c r="B346" s="11"/>
      <c r="C346" s="32"/>
      <c r="D346" s="32"/>
      <c r="E346" s="32"/>
      <c r="F346" s="32"/>
      <c r="G346" s="8" t="s">
        <v>578</v>
      </c>
      <c r="H346" s="8" t="s">
        <v>579</v>
      </c>
      <c r="I346" s="8" t="s">
        <v>580</v>
      </c>
      <c r="J346" s="8" t="s">
        <v>581</v>
      </c>
      <c r="K346" s="8">
        <v>43.451000000000001</v>
      </c>
      <c r="L346" s="8">
        <v>-97.636788999999993</v>
      </c>
      <c r="M346" s="8" t="s">
        <v>192</v>
      </c>
      <c r="N346" s="10" t="s">
        <v>163</v>
      </c>
      <c r="O346" s="11" t="s">
        <v>105</v>
      </c>
      <c r="P346" s="11" t="s">
        <v>741</v>
      </c>
      <c r="Q346" s="12">
        <v>528</v>
      </c>
      <c r="R346" s="13">
        <v>45108</v>
      </c>
      <c r="S346" s="13">
        <v>45204</v>
      </c>
      <c r="T346" s="11">
        <v>70</v>
      </c>
      <c r="U346" s="11"/>
      <c r="V346" s="11"/>
      <c r="W346" s="11"/>
      <c r="X346" s="11"/>
      <c r="Z346">
        <v>3</v>
      </c>
      <c r="AA346" s="124">
        <v>429.29585883816327</v>
      </c>
      <c r="AB346" s="124">
        <v>68.706953911330814</v>
      </c>
      <c r="AC346" s="124">
        <v>41.132449939351382</v>
      </c>
      <c r="AD346" s="29"/>
      <c r="AE346" s="29"/>
      <c r="AF346" s="29"/>
    </row>
    <row r="347" spans="1:32" s="28" customFormat="1" x14ac:dyDescent="0.25">
      <c r="A347"/>
      <c r="B347"/>
      <c r="C347" s="31"/>
      <c r="D347" s="31"/>
      <c r="E347" s="31"/>
      <c r="F347" s="31"/>
      <c r="G347" s="20" t="s">
        <v>582</v>
      </c>
      <c r="H347" s="20" t="s">
        <v>583</v>
      </c>
      <c r="I347" s="20" t="s">
        <v>584</v>
      </c>
      <c r="J347" s="20" t="s">
        <v>585</v>
      </c>
      <c r="K347" s="20">
        <v>43.041584</v>
      </c>
      <c r="L347" s="20">
        <v>-98.323269999999994</v>
      </c>
      <c r="M347" s="20" t="s">
        <v>113</v>
      </c>
      <c r="N347" s="4" t="s">
        <v>586</v>
      </c>
      <c r="O347" t="s">
        <v>54</v>
      </c>
      <c r="P347" t="s">
        <v>55</v>
      </c>
      <c r="Q347" s="5">
        <v>329</v>
      </c>
      <c r="R347" s="1">
        <v>45566</v>
      </c>
      <c r="S347" s="1">
        <v>45615</v>
      </c>
      <c r="T347">
        <v>167</v>
      </c>
      <c r="U347"/>
      <c r="V347">
        <v>503</v>
      </c>
      <c r="W347">
        <v>105</v>
      </c>
      <c r="X347">
        <v>70</v>
      </c>
      <c r="Y347" s="132"/>
      <c r="Z347" s="14">
        <v>3</v>
      </c>
      <c r="AA347" s="133">
        <v>1324.6843644149039</v>
      </c>
      <c r="AB347" s="133">
        <v>408.74814954029006</v>
      </c>
      <c r="AC347" s="133">
        <v>287.92714957545962</v>
      </c>
      <c r="AD347" s="29"/>
      <c r="AE347" s="29"/>
      <c r="AF347" s="29"/>
    </row>
    <row r="348" spans="1:32" s="28" customFormat="1" x14ac:dyDescent="0.25">
      <c r="A348"/>
      <c r="B348" s="13">
        <v>45580</v>
      </c>
      <c r="C348" s="32">
        <v>4480</v>
      </c>
      <c r="D348" s="32"/>
      <c r="E348" s="32">
        <v>3935.1</v>
      </c>
      <c r="F348" s="32">
        <v>8415.1</v>
      </c>
      <c r="G348" s="8" t="s">
        <v>582</v>
      </c>
      <c r="H348" s="8" t="s">
        <v>583</v>
      </c>
      <c r="I348" s="8" t="s">
        <v>584</v>
      </c>
      <c r="J348" s="8" t="s">
        <v>585</v>
      </c>
      <c r="K348" s="8">
        <v>43.041584</v>
      </c>
      <c r="L348" s="8">
        <v>-98.323269999999994</v>
      </c>
      <c r="M348" s="8" t="s">
        <v>113</v>
      </c>
      <c r="N348" s="10" t="s">
        <v>586</v>
      </c>
      <c r="O348" s="11" t="s">
        <v>56</v>
      </c>
      <c r="P348" s="11" t="s">
        <v>57</v>
      </c>
      <c r="Q348" s="12">
        <v>340</v>
      </c>
      <c r="R348" s="13">
        <v>45574</v>
      </c>
      <c r="S348" s="13">
        <v>45580</v>
      </c>
      <c r="T348" s="11">
        <v>167</v>
      </c>
      <c r="U348" s="11"/>
      <c r="V348" s="11">
        <v>1080</v>
      </c>
      <c r="W348" s="11">
        <v>351</v>
      </c>
      <c r="X348" s="11">
        <v>245</v>
      </c>
      <c r="Y348" s="36"/>
      <c r="Z348" s="11">
        <v>3</v>
      </c>
      <c r="AA348" s="135">
        <f t="shared" si="25"/>
        <v>1324.6843644149039</v>
      </c>
      <c r="AB348" s="135">
        <f t="shared" si="26"/>
        <v>408.74814954029006</v>
      </c>
      <c r="AC348" s="135">
        <f t="shared" si="27"/>
        <v>287.92714957545962</v>
      </c>
      <c r="AD348" s="29"/>
      <c r="AE348" s="29"/>
      <c r="AF348" s="29"/>
    </row>
    <row r="349" spans="1:32" s="28" customFormat="1" x14ac:dyDescent="0.25">
      <c r="A349"/>
      <c r="B349"/>
      <c r="C349" s="31"/>
      <c r="D349" s="31"/>
      <c r="E349" s="31"/>
      <c r="F349" s="31"/>
      <c r="G349" s="20" t="s">
        <v>582</v>
      </c>
      <c r="H349" s="20" t="s">
        <v>587</v>
      </c>
      <c r="I349" s="20" t="s">
        <v>588</v>
      </c>
      <c r="J349" s="20" t="s">
        <v>585</v>
      </c>
      <c r="K349" s="20">
        <v>43.073557000000001</v>
      </c>
      <c r="L349" s="20">
        <v>-98.103380000000001</v>
      </c>
      <c r="M349" s="20" t="s">
        <v>113</v>
      </c>
      <c r="N349" s="4" t="s">
        <v>589</v>
      </c>
      <c r="O349" t="s">
        <v>54</v>
      </c>
      <c r="P349" t="s">
        <v>55</v>
      </c>
      <c r="Q349" s="5">
        <v>329</v>
      </c>
      <c r="R349" s="1">
        <v>45536</v>
      </c>
      <c r="S349" s="1">
        <v>45610</v>
      </c>
      <c r="T349">
        <v>160</v>
      </c>
      <c r="U349"/>
      <c r="V349">
        <v>563</v>
      </c>
      <c r="W349">
        <v>127</v>
      </c>
      <c r="X349">
        <v>88</v>
      </c>
      <c r="Z349">
        <v>3</v>
      </c>
      <c r="AA349" s="123">
        <v>1568.7697241543167</v>
      </c>
      <c r="AB349" s="123">
        <v>497.25202237522467</v>
      </c>
      <c r="AC349" s="123">
        <v>242.09384821446812</v>
      </c>
      <c r="AD349" s="29"/>
      <c r="AE349" s="29"/>
      <c r="AF349" s="29"/>
    </row>
    <row r="350" spans="1:32" s="28" customFormat="1" x14ac:dyDescent="0.25">
      <c r="A350"/>
      <c r="B350" s="13">
        <v>45580</v>
      </c>
      <c r="C350" s="32">
        <v>4000</v>
      </c>
      <c r="D350" s="32"/>
      <c r="E350" s="32">
        <v>4001.6</v>
      </c>
      <c r="F350" s="32">
        <v>8001.6</v>
      </c>
      <c r="G350" s="8" t="s">
        <v>582</v>
      </c>
      <c r="H350" s="8" t="s">
        <v>587</v>
      </c>
      <c r="I350" s="8" t="s">
        <v>588</v>
      </c>
      <c r="J350" s="8" t="s">
        <v>585</v>
      </c>
      <c r="K350" s="8">
        <v>43.073557000000001</v>
      </c>
      <c r="L350" s="8">
        <v>-98.103380000000001</v>
      </c>
      <c r="M350" s="8" t="s">
        <v>113</v>
      </c>
      <c r="N350" s="10" t="s">
        <v>589</v>
      </c>
      <c r="O350" s="11" t="s">
        <v>56</v>
      </c>
      <c r="P350" s="11" t="s">
        <v>57</v>
      </c>
      <c r="Q350" s="12">
        <v>340</v>
      </c>
      <c r="R350" s="13">
        <v>45573</v>
      </c>
      <c r="S350" s="13">
        <v>45580</v>
      </c>
      <c r="T350" s="11">
        <v>160</v>
      </c>
      <c r="U350" s="11"/>
      <c r="V350" s="11">
        <v>1279</v>
      </c>
      <c r="W350" s="11">
        <v>427</v>
      </c>
      <c r="X350" s="11">
        <v>206</v>
      </c>
      <c r="Z350">
        <v>3</v>
      </c>
      <c r="AA350" s="124">
        <f t="shared" si="25"/>
        <v>1568.7697241543167</v>
      </c>
      <c r="AB350" s="124">
        <f t="shared" si="26"/>
        <v>497.25202237522467</v>
      </c>
      <c r="AC350" s="124">
        <f t="shared" si="27"/>
        <v>242.09384821446812</v>
      </c>
      <c r="AD350" s="29"/>
      <c r="AE350" s="29"/>
      <c r="AF350" s="29"/>
    </row>
    <row r="351" spans="1:32" s="28" customFormat="1" x14ac:dyDescent="0.25">
      <c r="A351"/>
      <c r="B351"/>
      <c r="C351" s="31"/>
      <c r="D351" s="31"/>
      <c r="E351" s="31"/>
      <c r="F351" s="31"/>
      <c r="G351" s="20" t="s">
        <v>582</v>
      </c>
      <c r="H351" s="20" t="s">
        <v>590</v>
      </c>
      <c r="I351" s="20" t="s">
        <v>584</v>
      </c>
      <c r="J351" s="20" t="s">
        <v>585</v>
      </c>
      <c r="K351" s="20">
        <v>43.122312999999998</v>
      </c>
      <c r="L351" s="20">
        <v>-98.439615000000003</v>
      </c>
      <c r="M351" s="20" t="s">
        <v>113</v>
      </c>
      <c r="N351" s="4" t="s">
        <v>591</v>
      </c>
      <c r="O351" t="s">
        <v>54</v>
      </c>
      <c r="P351" t="s">
        <v>55</v>
      </c>
      <c r="Q351" s="5">
        <v>329</v>
      </c>
      <c r="R351" s="1">
        <v>45566</v>
      </c>
      <c r="S351" s="1">
        <v>45615</v>
      </c>
      <c r="T351">
        <v>167</v>
      </c>
      <c r="U351"/>
      <c r="V351">
        <v>563</v>
      </c>
      <c r="W351">
        <v>137</v>
      </c>
      <c r="X351">
        <v>88</v>
      </c>
      <c r="Y351" s="132"/>
      <c r="Z351" s="14">
        <v>3</v>
      </c>
      <c r="AA351" s="133">
        <v>1568.7697241543167</v>
      </c>
      <c r="AB351" s="133">
        <v>497.25202237522467</v>
      </c>
      <c r="AC351" s="133">
        <v>359.61513375547207</v>
      </c>
      <c r="AD351" s="29"/>
      <c r="AE351" s="29"/>
      <c r="AF351" s="29"/>
    </row>
    <row r="352" spans="1:32" s="28" customFormat="1" x14ac:dyDescent="0.25">
      <c r="A352"/>
      <c r="B352" s="13">
        <v>45580</v>
      </c>
      <c r="C352" s="32">
        <v>4000</v>
      </c>
      <c r="D352" s="32"/>
      <c r="E352" s="32">
        <v>4001.6</v>
      </c>
      <c r="F352" s="32">
        <v>8001.6</v>
      </c>
      <c r="G352" s="8" t="s">
        <v>582</v>
      </c>
      <c r="H352" s="8" t="s">
        <v>590</v>
      </c>
      <c r="I352" s="8" t="s">
        <v>584</v>
      </c>
      <c r="J352" s="8" t="s">
        <v>585</v>
      </c>
      <c r="K352" s="8">
        <v>43.122312999999998</v>
      </c>
      <c r="L352" s="8">
        <v>-98.439615000000003</v>
      </c>
      <c r="M352" s="8" t="s">
        <v>113</v>
      </c>
      <c r="N352" s="10" t="s">
        <v>591</v>
      </c>
      <c r="O352" s="11" t="s">
        <v>56</v>
      </c>
      <c r="P352" s="11" t="s">
        <v>57</v>
      </c>
      <c r="Q352" s="12">
        <v>340</v>
      </c>
      <c r="R352" s="13">
        <v>45567</v>
      </c>
      <c r="S352" s="13">
        <v>45580</v>
      </c>
      <c r="T352" s="11">
        <v>167</v>
      </c>
      <c r="U352" s="11"/>
      <c r="V352" s="11">
        <v>1279</v>
      </c>
      <c r="W352" s="11">
        <v>427</v>
      </c>
      <c r="X352" s="11">
        <v>306</v>
      </c>
      <c r="Y352" s="36"/>
      <c r="Z352" s="11">
        <v>3</v>
      </c>
      <c r="AA352" s="135">
        <f t="shared" si="25"/>
        <v>1568.7697241543167</v>
      </c>
      <c r="AB352" s="135">
        <f t="shared" si="26"/>
        <v>497.25202237522467</v>
      </c>
      <c r="AC352" s="135">
        <f t="shared" si="27"/>
        <v>359.61513375547207</v>
      </c>
      <c r="AD352" s="29"/>
      <c r="AE352" s="29"/>
      <c r="AF352" s="29"/>
    </row>
    <row r="353" spans="1:32" s="28" customFormat="1" x14ac:dyDescent="0.25">
      <c r="A353"/>
      <c r="B353"/>
      <c r="C353" s="31"/>
      <c r="D353" s="31"/>
      <c r="E353" s="31"/>
      <c r="F353" s="31"/>
      <c r="G353" s="20" t="s">
        <v>582</v>
      </c>
      <c r="H353" s="20" t="s">
        <v>592</v>
      </c>
      <c r="I353" s="20" t="s">
        <v>593</v>
      </c>
      <c r="J353" s="20" t="s">
        <v>585</v>
      </c>
      <c r="K353" s="20">
        <v>43.050083000000001</v>
      </c>
      <c r="L353" s="20">
        <v>-98.086907999999994</v>
      </c>
      <c r="M353" s="20" t="s">
        <v>113</v>
      </c>
      <c r="N353" s="4" t="s">
        <v>594</v>
      </c>
      <c r="O353" t="s">
        <v>54</v>
      </c>
      <c r="P353" t="s">
        <v>55</v>
      </c>
      <c r="Q353" s="5">
        <v>329</v>
      </c>
      <c r="R353" s="1">
        <v>45566</v>
      </c>
      <c r="S353" s="1">
        <v>45611</v>
      </c>
      <c r="T353">
        <v>137</v>
      </c>
      <c r="U353"/>
      <c r="V353">
        <v>467</v>
      </c>
      <c r="W353">
        <v>106</v>
      </c>
      <c r="X353">
        <v>74</v>
      </c>
      <c r="Z353">
        <v>3</v>
      </c>
      <c r="AA353" s="123">
        <v>1311.1922088514186</v>
      </c>
      <c r="AB353" s="123">
        <v>418.06434668080948</v>
      </c>
      <c r="AC353" s="123">
        <v>303.20491669579019</v>
      </c>
      <c r="AD353" s="29"/>
      <c r="AE353" s="29"/>
      <c r="AF353" s="29"/>
    </row>
    <row r="354" spans="1:32" s="28" customFormat="1" x14ac:dyDescent="0.25">
      <c r="A354"/>
      <c r="B354" s="13">
        <v>45580</v>
      </c>
      <c r="C354" s="32">
        <v>4000</v>
      </c>
      <c r="D354" s="32"/>
      <c r="E354" s="32">
        <v>4350.32</v>
      </c>
      <c r="F354" s="32">
        <v>8350.32</v>
      </c>
      <c r="G354" s="8" t="s">
        <v>582</v>
      </c>
      <c r="H354" s="8" t="s">
        <v>592</v>
      </c>
      <c r="I354" s="8" t="s">
        <v>593</v>
      </c>
      <c r="J354" s="8" t="s">
        <v>585</v>
      </c>
      <c r="K354" s="8">
        <v>43.050083000000001</v>
      </c>
      <c r="L354" s="8">
        <v>-98.086907999999994</v>
      </c>
      <c r="M354" s="8" t="s">
        <v>113</v>
      </c>
      <c r="N354" s="10" t="s">
        <v>594</v>
      </c>
      <c r="O354" s="11" t="s">
        <v>56</v>
      </c>
      <c r="P354" s="11" t="s">
        <v>57</v>
      </c>
      <c r="Q354" s="12">
        <v>340</v>
      </c>
      <c r="R354" s="13">
        <v>45566</v>
      </c>
      <c r="S354" s="13">
        <v>45580</v>
      </c>
      <c r="T354" s="11">
        <v>137</v>
      </c>
      <c r="U354" s="11"/>
      <c r="V354" s="11">
        <v>1069</v>
      </c>
      <c r="W354" s="11">
        <v>359</v>
      </c>
      <c r="X354" s="11">
        <v>258</v>
      </c>
      <c r="Z354">
        <v>3</v>
      </c>
      <c r="AA354" s="124">
        <f t="shared" si="25"/>
        <v>1311.1922088514186</v>
      </c>
      <c r="AB354" s="124">
        <f t="shared" si="26"/>
        <v>418.06434668080948</v>
      </c>
      <c r="AC354" s="124">
        <f t="shared" si="27"/>
        <v>303.20491669579019</v>
      </c>
      <c r="AD354" s="29"/>
      <c r="AE354" s="29"/>
      <c r="AF354" s="29"/>
    </row>
    <row r="355" spans="1:32" s="28" customFormat="1" x14ac:dyDescent="0.25">
      <c r="A355"/>
      <c r="B355"/>
      <c r="C355" s="31"/>
      <c r="D355" s="31"/>
      <c r="E355" s="31"/>
      <c r="F355" s="31"/>
      <c r="G355" s="20" t="s">
        <v>582</v>
      </c>
      <c r="H355" s="20" t="s">
        <v>595</v>
      </c>
      <c r="I355" s="20" t="s">
        <v>584</v>
      </c>
      <c r="J355" s="20" t="s">
        <v>585</v>
      </c>
      <c r="K355" s="20">
        <v>43.591461000000002</v>
      </c>
      <c r="L355" s="20">
        <v>-96.778142000000003</v>
      </c>
      <c r="M355" s="20" t="s">
        <v>156</v>
      </c>
      <c r="N355" s="4" t="s">
        <v>596</v>
      </c>
      <c r="O355" t="s">
        <v>54</v>
      </c>
      <c r="P355" t="s">
        <v>55</v>
      </c>
      <c r="Q355" s="5">
        <v>329</v>
      </c>
      <c r="R355" s="1">
        <v>45569</v>
      </c>
      <c r="S355" s="1">
        <v>45580</v>
      </c>
      <c r="T355">
        <v>160</v>
      </c>
      <c r="U355"/>
      <c r="V355">
        <v>548</v>
      </c>
      <c r="W355">
        <v>120</v>
      </c>
      <c r="X355">
        <v>83</v>
      </c>
      <c r="Y355" s="132"/>
      <c r="Z355" s="14">
        <v>3</v>
      </c>
      <c r="AA355" s="133">
        <v>1496.4027079501691</v>
      </c>
      <c r="AB355" s="133">
        <v>471.63248023879623</v>
      </c>
      <c r="AC355" s="133">
        <v>337.28608950268131</v>
      </c>
      <c r="AD355" s="29"/>
      <c r="AE355" s="29"/>
      <c r="AF355" s="29"/>
    </row>
    <row r="356" spans="1:32" s="28" customFormat="1" x14ac:dyDescent="0.25">
      <c r="A356"/>
      <c r="B356" s="13">
        <v>45580</v>
      </c>
      <c r="C356" s="32">
        <v>3415.75</v>
      </c>
      <c r="D356" s="32"/>
      <c r="E356" s="32">
        <v>3437.16</v>
      </c>
      <c r="F356" s="32">
        <v>6852.91</v>
      </c>
      <c r="G356" s="8" t="s">
        <v>582</v>
      </c>
      <c r="H356" s="8" t="s">
        <v>595</v>
      </c>
      <c r="I356" s="8" t="s">
        <v>584</v>
      </c>
      <c r="J356" s="8" t="s">
        <v>585</v>
      </c>
      <c r="K356" s="8">
        <v>43.591461000000002</v>
      </c>
      <c r="L356" s="8">
        <v>-96.778142000000003</v>
      </c>
      <c r="M356" s="8" t="s">
        <v>156</v>
      </c>
      <c r="N356" s="10" t="s">
        <v>596</v>
      </c>
      <c r="O356" s="11" t="s">
        <v>56</v>
      </c>
      <c r="P356" s="11" t="s">
        <v>57</v>
      </c>
      <c r="Q356" s="12">
        <v>340</v>
      </c>
      <c r="R356" s="13">
        <v>45569</v>
      </c>
      <c r="S356" s="13">
        <v>45580</v>
      </c>
      <c r="T356" s="11">
        <v>160</v>
      </c>
      <c r="U356" s="11"/>
      <c r="V356" s="11">
        <v>1220</v>
      </c>
      <c r="W356" s="11">
        <v>405</v>
      </c>
      <c r="X356" s="11">
        <v>287</v>
      </c>
      <c r="Y356" s="36"/>
      <c r="Z356" s="11">
        <v>3</v>
      </c>
      <c r="AA356" s="135">
        <f t="shared" si="25"/>
        <v>1496.4027079501691</v>
      </c>
      <c r="AB356" s="135">
        <f t="shared" si="26"/>
        <v>471.63248023879623</v>
      </c>
      <c r="AC356" s="135">
        <f t="shared" si="27"/>
        <v>337.28608950268131</v>
      </c>
      <c r="AD356" s="29"/>
      <c r="AE356" s="29"/>
      <c r="AF356" s="29"/>
    </row>
    <row r="357" spans="1:32" s="28" customFormat="1" x14ac:dyDescent="0.25">
      <c r="A357"/>
      <c r="B357"/>
      <c r="C357" s="31"/>
      <c r="D357" s="31"/>
      <c r="E357" s="31"/>
      <c r="F357" s="31"/>
      <c r="G357" s="20" t="s">
        <v>597</v>
      </c>
      <c r="H357" s="20" t="s">
        <v>261</v>
      </c>
      <c r="I357" s="20" t="s">
        <v>598</v>
      </c>
      <c r="J357" s="20" t="s">
        <v>427</v>
      </c>
      <c r="K357" s="20">
        <v>43.709344999999999</v>
      </c>
      <c r="L357" s="20">
        <v>-97.133640999999997</v>
      </c>
      <c r="M357" s="20" t="s">
        <v>599</v>
      </c>
      <c r="N357" s="4" t="s">
        <v>600</v>
      </c>
      <c r="O357" t="s">
        <v>83</v>
      </c>
      <c r="P357" t="s">
        <v>84</v>
      </c>
      <c r="Q357" s="5">
        <v>328</v>
      </c>
      <c r="R357" s="1">
        <v>45505</v>
      </c>
      <c r="S357" s="1">
        <v>45708</v>
      </c>
      <c r="T357">
        <v>65</v>
      </c>
      <c r="U357"/>
      <c r="V357"/>
      <c r="W357"/>
      <c r="X357"/>
      <c r="Z357">
        <v>3</v>
      </c>
      <c r="AA357" s="123">
        <v>382.68659416430557</v>
      </c>
      <c r="AB357" s="123">
        <v>111.79436568623318</v>
      </c>
      <c r="AC357" s="123">
        <v>72.863197035422445</v>
      </c>
      <c r="AD357" s="29"/>
      <c r="AE357" s="29"/>
      <c r="AF357" s="29"/>
    </row>
    <row r="358" spans="1:32" s="28" customFormat="1" x14ac:dyDescent="0.25">
      <c r="A358"/>
      <c r="B358"/>
      <c r="C358" s="31"/>
      <c r="D358" s="31"/>
      <c r="E358" s="31"/>
      <c r="F358" s="31"/>
      <c r="G358" s="6" t="s">
        <v>597</v>
      </c>
      <c r="H358" s="6" t="s">
        <v>261</v>
      </c>
      <c r="I358" s="6" t="s">
        <v>598</v>
      </c>
      <c r="J358" s="6" t="s">
        <v>427</v>
      </c>
      <c r="K358" s="6">
        <v>43.709344999999999</v>
      </c>
      <c r="L358" s="6">
        <v>-97.133640999999997</v>
      </c>
      <c r="M358" s="6" t="s">
        <v>599</v>
      </c>
      <c r="N358" s="4" t="s">
        <v>600</v>
      </c>
      <c r="O358" t="s">
        <v>54</v>
      </c>
      <c r="P358" t="s">
        <v>55</v>
      </c>
      <c r="Q358" s="5">
        <v>329</v>
      </c>
      <c r="R358" s="1">
        <v>45505</v>
      </c>
      <c r="S358" s="1">
        <v>45708</v>
      </c>
      <c r="T358">
        <v>65</v>
      </c>
      <c r="U358"/>
      <c r="V358">
        <v>164</v>
      </c>
      <c r="W358">
        <v>29</v>
      </c>
      <c r="X358">
        <v>18</v>
      </c>
      <c r="Z358">
        <v>3</v>
      </c>
      <c r="AA358" s="124">
        <v>382.68659416430557</v>
      </c>
      <c r="AB358" s="124">
        <v>111.79436568623318</v>
      </c>
      <c r="AC358" s="124">
        <v>72.863197035422445</v>
      </c>
      <c r="AD358" s="29"/>
      <c r="AE358" s="29"/>
      <c r="AF358" s="29"/>
    </row>
    <row r="359" spans="1:32" s="28" customFormat="1" x14ac:dyDescent="0.25">
      <c r="A359"/>
      <c r="B359" s="13">
        <v>45575</v>
      </c>
      <c r="C359" s="32">
        <v>1607.13</v>
      </c>
      <c r="D359" s="32"/>
      <c r="E359" s="32">
        <v>1607.13</v>
      </c>
      <c r="F359" s="32">
        <v>3214.26</v>
      </c>
      <c r="G359" s="8" t="s">
        <v>597</v>
      </c>
      <c r="H359" s="8" t="s">
        <v>261</v>
      </c>
      <c r="I359" s="8" t="s">
        <v>598</v>
      </c>
      <c r="J359" s="8" t="s">
        <v>427</v>
      </c>
      <c r="K359" s="8">
        <v>43.709344999999999</v>
      </c>
      <c r="L359" s="8">
        <v>-97.133640999999997</v>
      </c>
      <c r="M359" s="8" t="s">
        <v>599</v>
      </c>
      <c r="N359" s="10" t="s">
        <v>600</v>
      </c>
      <c r="O359" s="11" t="s">
        <v>56</v>
      </c>
      <c r="P359" s="11" t="s">
        <v>57</v>
      </c>
      <c r="Q359" s="12">
        <v>340</v>
      </c>
      <c r="R359" s="13">
        <v>45488</v>
      </c>
      <c r="S359" s="13">
        <v>45560</v>
      </c>
      <c r="T359" s="11">
        <v>65</v>
      </c>
      <c r="U359" s="11"/>
      <c r="V359" s="11">
        <v>312</v>
      </c>
      <c r="W359" s="11">
        <v>96</v>
      </c>
      <c r="X359" s="11">
        <v>62</v>
      </c>
      <c r="Z359">
        <v>3</v>
      </c>
      <c r="AA359" s="124">
        <f t="shared" si="25"/>
        <v>382.68659416430557</v>
      </c>
      <c r="AB359" s="124">
        <f t="shared" si="26"/>
        <v>111.79436568623318</v>
      </c>
      <c r="AC359" s="124">
        <f t="shared" si="27"/>
        <v>72.863197035422445</v>
      </c>
      <c r="AD359" s="29"/>
      <c r="AE359" s="29"/>
      <c r="AF359" s="29"/>
    </row>
    <row r="360" spans="1:32" s="28" customFormat="1" x14ac:dyDescent="0.25">
      <c r="A360"/>
      <c r="B360"/>
      <c r="C360" s="31"/>
      <c r="D360" s="31"/>
      <c r="E360" s="31"/>
      <c r="F360" s="31"/>
      <c r="G360" s="20" t="s">
        <v>597</v>
      </c>
      <c r="H360" s="20" t="s">
        <v>601</v>
      </c>
      <c r="I360" s="20" t="s">
        <v>602</v>
      </c>
      <c r="J360" s="20" t="s">
        <v>427</v>
      </c>
      <c r="K360" s="20">
        <v>43.724487000000003</v>
      </c>
      <c r="L360" s="20">
        <v>-97.181922999999998</v>
      </c>
      <c r="M360" s="20" t="s">
        <v>130</v>
      </c>
      <c r="N360" s="4" t="s">
        <v>603</v>
      </c>
      <c r="O360" t="s">
        <v>54</v>
      </c>
      <c r="P360" t="s">
        <v>55</v>
      </c>
      <c r="Q360" s="5">
        <v>329</v>
      </c>
      <c r="R360" s="1">
        <v>45505</v>
      </c>
      <c r="S360" s="1">
        <v>45566</v>
      </c>
      <c r="T360">
        <v>63.2</v>
      </c>
      <c r="U360"/>
      <c r="V360">
        <v>262</v>
      </c>
      <c r="W360">
        <v>69</v>
      </c>
      <c r="X360">
        <v>45</v>
      </c>
      <c r="Y360" s="132"/>
      <c r="Z360" s="14">
        <v>3</v>
      </c>
      <c r="AA360" s="133">
        <v>402.31154771119304</v>
      </c>
      <c r="AB360" s="133">
        <v>121.11056282675261</v>
      </c>
      <c r="AC360" s="133">
        <v>79.914474167882673</v>
      </c>
      <c r="AD360" s="29"/>
      <c r="AE360" s="29"/>
      <c r="AF360" s="29"/>
    </row>
    <row r="361" spans="1:32" s="28" customFormat="1" x14ac:dyDescent="0.25">
      <c r="A361"/>
      <c r="B361" s="13">
        <v>45623</v>
      </c>
      <c r="C361" s="32">
        <v>3902.91</v>
      </c>
      <c r="D361" s="32"/>
      <c r="E361" s="32">
        <v>3902.91</v>
      </c>
      <c r="F361" s="32">
        <v>7805.83</v>
      </c>
      <c r="G361" s="8" t="s">
        <v>597</v>
      </c>
      <c r="H361" s="8" t="s">
        <v>601</v>
      </c>
      <c r="I361" s="8" t="s">
        <v>602</v>
      </c>
      <c r="J361" s="8" t="s">
        <v>427</v>
      </c>
      <c r="K361" s="8">
        <v>43.724487000000003</v>
      </c>
      <c r="L361" s="8">
        <v>-97.181922999999998</v>
      </c>
      <c r="M361" s="8" t="s">
        <v>130</v>
      </c>
      <c r="N361" s="10" t="s">
        <v>603</v>
      </c>
      <c r="O361" s="11" t="s">
        <v>132</v>
      </c>
      <c r="P361" s="11" t="s">
        <v>133</v>
      </c>
      <c r="Q361" s="12"/>
      <c r="R361" s="13">
        <v>45505</v>
      </c>
      <c r="S361" s="13">
        <v>45566</v>
      </c>
      <c r="T361" s="11">
        <v>63.2</v>
      </c>
      <c r="U361" s="11"/>
      <c r="V361" s="11">
        <v>328</v>
      </c>
      <c r="W361" s="11">
        <v>104</v>
      </c>
      <c r="X361" s="11">
        <v>68</v>
      </c>
      <c r="Y361" s="36"/>
      <c r="Z361" s="11">
        <v>3</v>
      </c>
      <c r="AA361" s="135">
        <f t="shared" si="25"/>
        <v>402.31154771119304</v>
      </c>
      <c r="AB361" s="135">
        <f t="shared" si="26"/>
        <v>121.11056282675261</v>
      </c>
      <c r="AC361" s="135">
        <f t="shared" si="27"/>
        <v>79.914474167882673</v>
      </c>
      <c r="AD361" s="29"/>
      <c r="AE361" s="29"/>
      <c r="AF361" s="29"/>
    </row>
    <row r="362" spans="1:32" s="28" customFormat="1" x14ac:dyDescent="0.25">
      <c r="A362"/>
      <c r="B362"/>
      <c r="C362" s="31"/>
      <c r="D362" s="31"/>
      <c r="E362" s="31"/>
      <c r="F362" s="31"/>
      <c r="G362" s="20" t="s">
        <v>597</v>
      </c>
      <c r="H362" s="20" t="s">
        <v>444</v>
      </c>
      <c r="I362" s="20" t="s">
        <v>604</v>
      </c>
      <c r="J362" s="20" t="s">
        <v>291</v>
      </c>
      <c r="K362" s="20">
        <v>44.517601999999997</v>
      </c>
      <c r="L362" s="20">
        <v>-97.294883999999996</v>
      </c>
      <c r="M362" s="20" t="s">
        <v>128</v>
      </c>
      <c r="N362" s="4" t="s">
        <v>365</v>
      </c>
      <c r="O362" t="s">
        <v>83</v>
      </c>
      <c r="P362" t="s">
        <v>84</v>
      </c>
      <c r="Q362" s="5">
        <v>328</v>
      </c>
      <c r="R362" s="1">
        <v>45383</v>
      </c>
      <c r="S362" s="1">
        <v>45392</v>
      </c>
      <c r="T362">
        <v>152</v>
      </c>
      <c r="U362"/>
      <c r="V362"/>
      <c r="W362"/>
      <c r="X362"/>
      <c r="Z362">
        <v>3</v>
      </c>
      <c r="AA362" s="120">
        <v>540</v>
      </c>
      <c r="AB362" s="120">
        <v>200</v>
      </c>
      <c r="AC362" s="120">
        <v>137</v>
      </c>
      <c r="AD362" s="38">
        <f>AA362/V363</f>
        <v>1.3012048192771084</v>
      </c>
      <c r="AE362" s="38">
        <f t="shared" ref="AE362:AF362" si="28">AB362/W363</f>
        <v>1.1494252873563218</v>
      </c>
      <c r="AF362" s="38">
        <f t="shared" si="28"/>
        <v>1.1416666666666666</v>
      </c>
    </row>
    <row r="363" spans="1:32" s="28" customFormat="1" x14ac:dyDescent="0.25">
      <c r="A363"/>
      <c r="B363"/>
      <c r="C363" s="31"/>
      <c r="D363" s="31"/>
      <c r="E363" s="31"/>
      <c r="F363" s="31"/>
      <c r="G363" s="6" t="s">
        <v>597</v>
      </c>
      <c r="H363" s="6" t="s">
        <v>444</v>
      </c>
      <c r="I363" s="6" t="s">
        <v>604</v>
      </c>
      <c r="J363" s="6" t="s">
        <v>291</v>
      </c>
      <c r="K363" s="6">
        <v>44.517601999999997</v>
      </c>
      <c r="L363" s="6">
        <v>-97.294883999999996</v>
      </c>
      <c r="M363" s="6" t="s">
        <v>128</v>
      </c>
      <c r="N363" s="4" t="s">
        <v>365</v>
      </c>
      <c r="O363" t="s">
        <v>54</v>
      </c>
      <c r="P363" t="s">
        <v>55</v>
      </c>
      <c r="Q363" s="5">
        <v>329</v>
      </c>
      <c r="R363" s="1">
        <v>45383</v>
      </c>
      <c r="S363" s="1">
        <v>45392</v>
      </c>
      <c r="T363">
        <v>152</v>
      </c>
      <c r="U363"/>
      <c r="V363" s="41">
        <v>415</v>
      </c>
      <c r="W363" s="41">
        <v>174</v>
      </c>
      <c r="X363" s="41">
        <v>120</v>
      </c>
      <c r="Z363">
        <v>3</v>
      </c>
      <c r="AA363" s="38">
        <v>540</v>
      </c>
      <c r="AB363" s="38">
        <v>200</v>
      </c>
      <c r="AC363" s="38">
        <v>137</v>
      </c>
      <c r="AD363" s="38"/>
      <c r="AE363" s="38"/>
      <c r="AF363" s="38"/>
    </row>
    <row r="364" spans="1:32" s="28" customFormat="1" x14ac:dyDescent="0.25">
      <c r="A364"/>
      <c r="B364" s="13">
        <v>45387</v>
      </c>
      <c r="C364" s="32">
        <v>15200</v>
      </c>
      <c r="D364" s="36"/>
      <c r="E364" s="32">
        <v>25241.119999999999</v>
      </c>
      <c r="F364" s="32">
        <v>40441.120000000003</v>
      </c>
      <c r="G364" s="8" t="s">
        <v>597</v>
      </c>
      <c r="H364" s="8" t="s">
        <v>444</v>
      </c>
      <c r="I364" s="8" t="s">
        <v>604</v>
      </c>
      <c r="J364" s="8" t="s">
        <v>291</v>
      </c>
      <c r="K364" s="8">
        <v>44.517601999999997</v>
      </c>
      <c r="L364" s="8">
        <v>-97.294883999999996</v>
      </c>
      <c r="M364" s="8" t="s">
        <v>128</v>
      </c>
      <c r="N364" s="10" t="s">
        <v>365</v>
      </c>
      <c r="O364" s="11" t="s">
        <v>132</v>
      </c>
      <c r="P364" s="11" t="s">
        <v>133</v>
      </c>
      <c r="Q364" s="12"/>
      <c r="R364" s="13">
        <v>45355</v>
      </c>
      <c r="S364" s="13">
        <v>45397</v>
      </c>
      <c r="T364" s="11">
        <v>152</v>
      </c>
      <c r="U364" s="11"/>
      <c r="V364" s="11">
        <v>350</v>
      </c>
      <c r="W364" s="11">
        <v>59</v>
      </c>
      <c r="X364" s="11">
        <v>35</v>
      </c>
      <c r="Z364">
        <v>3</v>
      </c>
      <c r="AA364" s="38">
        <v>540</v>
      </c>
      <c r="AB364" s="38">
        <v>200</v>
      </c>
      <c r="AC364" s="38">
        <v>137</v>
      </c>
      <c r="AD364" s="38"/>
      <c r="AE364" s="38"/>
      <c r="AF364" s="38"/>
    </row>
    <row r="365" spans="1:32" s="28" customFormat="1" x14ac:dyDescent="0.25">
      <c r="A365"/>
      <c r="B365"/>
      <c r="C365" s="31"/>
      <c r="D365" s="31"/>
      <c r="E365" s="31"/>
      <c r="F365" s="31"/>
      <c r="G365" s="20" t="s">
        <v>597</v>
      </c>
      <c r="H365" s="20" t="s">
        <v>567</v>
      </c>
      <c r="I365" s="20" t="s">
        <v>598</v>
      </c>
      <c r="J365" s="20" t="s">
        <v>291</v>
      </c>
      <c r="K365" s="20">
        <v>44.584667000000003</v>
      </c>
      <c r="L365" s="20">
        <v>-97.306381999999999</v>
      </c>
      <c r="M365" s="20" t="s">
        <v>128</v>
      </c>
      <c r="N365" s="4" t="s">
        <v>605</v>
      </c>
      <c r="O365" t="s">
        <v>83</v>
      </c>
      <c r="P365" t="s">
        <v>84</v>
      </c>
      <c r="Q365" s="5">
        <v>328</v>
      </c>
      <c r="R365" s="1">
        <v>45356</v>
      </c>
      <c r="S365" s="1">
        <v>45397</v>
      </c>
      <c r="T365">
        <v>95</v>
      </c>
      <c r="U365"/>
      <c r="V365"/>
      <c r="W365"/>
      <c r="X365"/>
      <c r="Y365" s="132"/>
      <c r="Z365" s="14">
        <v>3</v>
      </c>
      <c r="AA365" s="134">
        <v>354</v>
      </c>
      <c r="AB365" s="134">
        <v>131</v>
      </c>
      <c r="AC365" s="134">
        <v>91</v>
      </c>
      <c r="AD365" s="38">
        <f>AA365/V366</f>
        <v>1.2919708029197081</v>
      </c>
      <c r="AE365" s="38">
        <f t="shared" ref="AE365:AF365" si="29">AB365/W366</f>
        <v>1.1491228070175439</v>
      </c>
      <c r="AF365" s="38">
        <f t="shared" si="29"/>
        <v>1.1518987341772151</v>
      </c>
    </row>
    <row r="366" spans="1:32" s="28" customFormat="1" x14ac:dyDescent="0.25">
      <c r="A366"/>
      <c r="B366"/>
      <c r="C366" s="31"/>
      <c r="D366" s="31"/>
      <c r="E366" s="31"/>
      <c r="F366" s="31"/>
      <c r="G366" s="6" t="s">
        <v>597</v>
      </c>
      <c r="H366" s="6" t="s">
        <v>567</v>
      </c>
      <c r="I366" s="6" t="s">
        <v>598</v>
      </c>
      <c r="J366" s="6" t="s">
        <v>291</v>
      </c>
      <c r="K366" s="6">
        <v>44.584667000000003</v>
      </c>
      <c r="L366" s="6">
        <v>-97.306381999999999</v>
      </c>
      <c r="M366" s="6" t="s">
        <v>128</v>
      </c>
      <c r="N366" s="4" t="s">
        <v>605</v>
      </c>
      <c r="O366" t="s">
        <v>54</v>
      </c>
      <c r="P366" t="s">
        <v>55</v>
      </c>
      <c r="Q366" s="5">
        <v>329</v>
      </c>
      <c r="R366" s="1">
        <v>45356</v>
      </c>
      <c r="S366" s="1">
        <v>45397</v>
      </c>
      <c r="T366">
        <v>95</v>
      </c>
      <c r="U366"/>
      <c r="V366" s="41">
        <v>274</v>
      </c>
      <c r="W366" s="41">
        <v>114</v>
      </c>
      <c r="X366" s="41">
        <v>79</v>
      </c>
      <c r="Z366">
        <v>3</v>
      </c>
      <c r="AA366" s="38">
        <v>354</v>
      </c>
      <c r="AB366" s="38">
        <v>131</v>
      </c>
      <c r="AC366" s="38">
        <v>91</v>
      </c>
      <c r="AD366" s="38"/>
      <c r="AE366" s="38"/>
      <c r="AF366" s="38"/>
    </row>
    <row r="367" spans="1:32" s="28" customFormat="1" x14ac:dyDescent="0.25">
      <c r="A367"/>
      <c r="B367" s="13">
        <v>45387</v>
      </c>
      <c r="C367" s="32">
        <v>9500</v>
      </c>
      <c r="D367" s="37"/>
      <c r="E367" s="32">
        <v>12958.4</v>
      </c>
      <c r="F367" s="32">
        <v>22458.400000000001</v>
      </c>
      <c r="G367" s="8" t="s">
        <v>597</v>
      </c>
      <c r="H367" s="8" t="s">
        <v>567</v>
      </c>
      <c r="I367" s="8" t="s">
        <v>598</v>
      </c>
      <c r="J367" s="8" t="s">
        <v>291</v>
      </c>
      <c r="K367" s="8">
        <v>44.584667000000003</v>
      </c>
      <c r="L367" s="8">
        <v>-97.306381999999999</v>
      </c>
      <c r="M367" s="8" t="s">
        <v>128</v>
      </c>
      <c r="N367" s="10" t="s">
        <v>605</v>
      </c>
      <c r="O367" s="11" t="s">
        <v>132</v>
      </c>
      <c r="P367" s="11" t="s">
        <v>133</v>
      </c>
      <c r="Q367" s="12"/>
      <c r="R367" s="13">
        <v>45356</v>
      </c>
      <c r="S367" s="13">
        <v>45397</v>
      </c>
      <c r="T367" s="11">
        <v>95</v>
      </c>
      <c r="U367" s="11"/>
      <c r="V367" s="11">
        <v>205</v>
      </c>
      <c r="W367" s="11">
        <v>33</v>
      </c>
      <c r="X367" s="11">
        <v>19</v>
      </c>
      <c r="Y367" s="36"/>
      <c r="Z367" s="11">
        <v>3</v>
      </c>
      <c r="AA367" s="39">
        <v>354</v>
      </c>
      <c r="AB367" s="39">
        <v>131</v>
      </c>
      <c r="AC367" s="39">
        <v>91</v>
      </c>
      <c r="AD367" s="38"/>
      <c r="AE367" s="38"/>
      <c r="AF367" s="38"/>
    </row>
    <row r="368" spans="1:32" s="28" customFormat="1" x14ac:dyDescent="0.25">
      <c r="A368"/>
      <c r="B368"/>
      <c r="C368" s="31"/>
      <c r="D368" s="31"/>
      <c r="E368" s="31"/>
      <c r="F368" s="31"/>
      <c r="G368" s="20" t="s">
        <v>606</v>
      </c>
      <c r="H368" s="20" t="s">
        <v>607</v>
      </c>
      <c r="I368" s="20" t="s">
        <v>608</v>
      </c>
      <c r="J368" s="20" t="s">
        <v>572</v>
      </c>
      <c r="K368" s="20">
        <v>43.130637</v>
      </c>
      <c r="L368" s="20">
        <v>-97.609910999999997</v>
      </c>
      <c r="M368" s="20" t="s">
        <v>137</v>
      </c>
      <c r="N368" s="4" t="s">
        <v>609</v>
      </c>
      <c r="O368" t="s">
        <v>54</v>
      </c>
      <c r="P368" t="s">
        <v>55</v>
      </c>
      <c r="Q368" s="5">
        <v>329</v>
      </c>
      <c r="R368" s="1">
        <v>45505</v>
      </c>
      <c r="S368" s="1">
        <v>45723</v>
      </c>
      <c r="T368">
        <v>79</v>
      </c>
      <c r="U368"/>
      <c r="V368">
        <v>515</v>
      </c>
      <c r="W368">
        <v>158</v>
      </c>
      <c r="X368">
        <v>113</v>
      </c>
      <c r="Z368">
        <v>3</v>
      </c>
      <c r="AA368" s="123">
        <v>847.55268130620243</v>
      </c>
      <c r="AB368" s="123">
        <v>275.99234028788817</v>
      </c>
      <c r="AC368" s="123">
        <v>200.96139827511675</v>
      </c>
      <c r="AD368" s="29"/>
      <c r="AE368" s="29"/>
      <c r="AF368" s="29"/>
    </row>
    <row r="369" spans="1:32" s="28" customFormat="1" x14ac:dyDescent="0.25">
      <c r="A369"/>
      <c r="B369" s="1">
        <v>45512</v>
      </c>
      <c r="C369" s="31">
        <v>1975</v>
      </c>
      <c r="E369" s="31">
        <v>3298</v>
      </c>
      <c r="F369" s="31">
        <v>5273</v>
      </c>
      <c r="G369" s="6" t="s">
        <v>606</v>
      </c>
      <c r="H369" s="6" t="s">
        <v>607</v>
      </c>
      <c r="I369" s="6" t="s">
        <v>608</v>
      </c>
      <c r="J369" s="6" t="s">
        <v>572</v>
      </c>
      <c r="K369" s="6">
        <v>43.130637</v>
      </c>
      <c r="L369" s="6">
        <v>-97.609910999999997</v>
      </c>
      <c r="M369" s="6" t="s">
        <v>137</v>
      </c>
      <c r="N369" s="4" t="s">
        <v>609</v>
      </c>
      <c r="O369" t="s">
        <v>56</v>
      </c>
      <c r="P369" t="s">
        <v>57</v>
      </c>
      <c r="Q369" s="5">
        <v>340</v>
      </c>
      <c r="R369" s="1">
        <v>45498</v>
      </c>
      <c r="S369" s="1">
        <v>45512</v>
      </c>
      <c r="T369">
        <v>79</v>
      </c>
      <c r="U369"/>
      <c r="V369">
        <v>691</v>
      </c>
      <c r="W369">
        <v>237</v>
      </c>
      <c r="X369">
        <v>171</v>
      </c>
      <c r="Z369">
        <v>3</v>
      </c>
      <c r="AA369" s="124">
        <f t="shared" ref="AA369:AA389" si="30">V369*$AD$1</f>
        <v>847.55268130620243</v>
      </c>
      <c r="AB369" s="124">
        <f t="shared" ref="AB369:AB389" si="31">W369*$AE$1</f>
        <v>275.99234028788817</v>
      </c>
      <c r="AC369" s="124">
        <f t="shared" ref="AC369:AC389" si="32">X369*$AF$1</f>
        <v>200.96139827511675</v>
      </c>
      <c r="AD369" s="29"/>
      <c r="AE369" s="29"/>
      <c r="AF369" s="29"/>
    </row>
    <row r="370" spans="1:32" s="28" customFormat="1" x14ac:dyDescent="0.25">
      <c r="A370"/>
      <c r="B370" s="11"/>
      <c r="C370" s="32"/>
      <c r="D370" s="32"/>
      <c r="E370" s="32"/>
      <c r="F370" s="32"/>
      <c r="G370" s="8" t="s">
        <v>606</v>
      </c>
      <c r="H370" s="8" t="s">
        <v>607</v>
      </c>
      <c r="I370" s="8" t="s">
        <v>608</v>
      </c>
      <c r="J370" s="8" t="s">
        <v>572</v>
      </c>
      <c r="K370" s="8">
        <v>43.130637</v>
      </c>
      <c r="L370" s="8">
        <v>-97.609910999999997</v>
      </c>
      <c r="M370" s="8" t="s">
        <v>137</v>
      </c>
      <c r="N370" s="10" t="s">
        <v>609</v>
      </c>
      <c r="O370" s="11" t="s">
        <v>105</v>
      </c>
      <c r="P370" s="11" t="s">
        <v>741</v>
      </c>
      <c r="Q370" s="12">
        <v>528</v>
      </c>
      <c r="R370" s="13">
        <v>45505</v>
      </c>
      <c r="S370" s="13">
        <v>45723</v>
      </c>
      <c r="T370" s="11">
        <v>79</v>
      </c>
      <c r="U370" s="11"/>
      <c r="V370" s="11"/>
      <c r="W370" s="11"/>
      <c r="X370" s="11"/>
      <c r="Z370">
        <v>3</v>
      </c>
      <c r="AA370" s="124">
        <v>847.55268130620243</v>
      </c>
      <c r="AB370" s="124">
        <v>275.99234028788817</v>
      </c>
      <c r="AC370" s="124">
        <v>200.96139827511675</v>
      </c>
      <c r="AD370" s="29"/>
      <c r="AE370" s="29"/>
      <c r="AF370" s="29"/>
    </row>
    <row r="371" spans="1:32" s="28" customFormat="1" x14ac:dyDescent="0.25">
      <c r="A371"/>
      <c r="B371"/>
      <c r="C371" s="31"/>
      <c r="D371" s="31"/>
      <c r="E371" s="31"/>
      <c r="F371" s="31"/>
      <c r="G371" s="20" t="s">
        <v>357</v>
      </c>
      <c r="H371" s="20" t="s">
        <v>610</v>
      </c>
      <c r="I371" s="20" t="s">
        <v>611</v>
      </c>
      <c r="J371" s="20" t="s">
        <v>268</v>
      </c>
      <c r="K371" s="20">
        <v>43.478054999999998</v>
      </c>
      <c r="L371" s="20">
        <v>-99.115500999999995</v>
      </c>
      <c r="M371" s="20" t="s">
        <v>269</v>
      </c>
      <c r="N371" s="4" t="s">
        <v>612</v>
      </c>
      <c r="O371" t="s">
        <v>54</v>
      </c>
      <c r="P371" t="s">
        <v>55</v>
      </c>
      <c r="Q371" s="5">
        <v>329</v>
      </c>
      <c r="R371" s="1">
        <v>45536</v>
      </c>
      <c r="S371" s="1">
        <v>45566</v>
      </c>
      <c r="T371">
        <v>191</v>
      </c>
      <c r="U371"/>
      <c r="V371">
        <v>1017</v>
      </c>
      <c r="W371">
        <v>296</v>
      </c>
      <c r="X371">
        <v>205</v>
      </c>
      <c r="Y371" s="132"/>
      <c r="Z371" s="14">
        <v>3</v>
      </c>
      <c r="AA371" s="133">
        <v>1633.7773827783815</v>
      </c>
      <c r="AB371" s="133">
        <v>515.88441665626351</v>
      </c>
      <c r="AC371" s="133">
        <v>363.14077232170217</v>
      </c>
      <c r="AD371" s="29"/>
      <c r="AE371" s="29"/>
      <c r="AF371" s="29"/>
    </row>
    <row r="372" spans="1:32" s="28" customFormat="1" x14ac:dyDescent="0.25">
      <c r="A372"/>
      <c r="B372" s="13">
        <v>45565</v>
      </c>
      <c r="C372" s="32">
        <v>3890.6</v>
      </c>
      <c r="D372" s="32"/>
      <c r="E372" s="32">
        <v>3890.6</v>
      </c>
      <c r="F372" s="32">
        <v>7781.2</v>
      </c>
      <c r="G372" s="8" t="s">
        <v>357</v>
      </c>
      <c r="H372" s="8" t="s">
        <v>610</v>
      </c>
      <c r="I372" s="8" t="s">
        <v>611</v>
      </c>
      <c r="J372" s="8" t="s">
        <v>268</v>
      </c>
      <c r="K372" s="8">
        <v>43.478054999999998</v>
      </c>
      <c r="L372" s="8">
        <v>-99.115500999999995</v>
      </c>
      <c r="M372" s="8" t="s">
        <v>269</v>
      </c>
      <c r="N372" s="10" t="s">
        <v>612</v>
      </c>
      <c r="O372" s="11" t="s">
        <v>56</v>
      </c>
      <c r="P372" s="11" t="s">
        <v>57</v>
      </c>
      <c r="Q372" s="12">
        <v>340</v>
      </c>
      <c r="R372" s="13">
        <v>45505</v>
      </c>
      <c r="S372" s="13">
        <v>45545</v>
      </c>
      <c r="T372" s="11">
        <v>191</v>
      </c>
      <c r="U372" s="11"/>
      <c r="V372" s="11">
        <v>1332</v>
      </c>
      <c r="W372" s="11">
        <v>443</v>
      </c>
      <c r="X372" s="11">
        <v>309</v>
      </c>
      <c r="Y372" s="36"/>
      <c r="Z372" s="11">
        <v>3</v>
      </c>
      <c r="AA372" s="135">
        <f t="shared" si="30"/>
        <v>1633.7773827783815</v>
      </c>
      <c r="AB372" s="135">
        <f t="shared" si="31"/>
        <v>515.88441665626351</v>
      </c>
      <c r="AC372" s="135">
        <f t="shared" si="32"/>
        <v>363.14077232170217</v>
      </c>
      <c r="AD372" s="29"/>
      <c r="AE372" s="29"/>
      <c r="AF372" s="29"/>
    </row>
    <row r="373" spans="1:32" s="28" customFormat="1" x14ac:dyDescent="0.25">
      <c r="A373"/>
      <c r="B373"/>
      <c r="C373" s="31"/>
      <c r="D373" s="31"/>
      <c r="E373" s="31"/>
      <c r="F373" s="31"/>
      <c r="G373" s="34" t="s">
        <v>357</v>
      </c>
      <c r="H373" s="34" t="s">
        <v>272</v>
      </c>
      <c r="I373" s="34" t="s">
        <v>613</v>
      </c>
      <c r="J373" s="34" t="s">
        <v>268</v>
      </c>
      <c r="K373" s="34">
        <v>43.373806000000002</v>
      </c>
      <c r="L373" s="34">
        <v>-99.006247999999999</v>
      </c>
      <c r="M373" s="34" t="s">
        <v>269</v>
      </c>
      <c r="N373" s="4" t="s">
        <v>614</v>
      </c>
      <c r="O373" t="s">
        <v>54</v>
      </c>
      <c r="P373" t="s">
        <v>55</v>
      </c>
      <c r="Q373" s="5">
        <v>329</v>
      </c>
      <c r="R373" s="1">
        <v>45536</v>
      </c>
      <c r="S373" s="1">
        <v>45580</v>
      </c>
      <c r="T373">
        <v>206</v>
      </c>
      <c r="U373"/>
      <c r="V373">
        <v>910</v>
      </c>
      <c r="W373">
        <v>247</v>
      </c>
      <c r="X373">
        <v>163</v>
      </c>
      <c r="Z373">
        <v>3</v>
      </c>
      <c r="AA373" s="123">
        <v>1415.4497745692584</v>
      </c>
      <c r="AB373" s="123">
        <v>430.8741177490237</v>
      </c>
      <c r="AC373" s="123">
        <v>289.10236243086968</v>
      </c>
      <c r="AD373" s="29"/>
      <c r="AE373" s="29"/>
      <c r="AF373" s="29"/>
    </row>
    <row r="374" spans="1:32" s="28" customFormat="1" x14ac:dyDescent="0.25">
      <c r="A374"/>
      <c r="B374" s="13">
        <v>45565</v>
      </c>
      <c r="C374" s="32">
        <v>4480</v>
      </c>
      <c r="D374" s="32"/>
      <c r="E374" s="32">
        <v>3935.1</v>
      </c>
      <c r="F374" s="32">
        <v>8415.1</v>
      </c>
      <c r="G374" s="8" t="s">
        <v>357</v>
      </c>
      <c r="H374" s="8" t="s">
        <v>272</v>
      </c>
      <c r="I374" s="8" t="s">
        <v>613</v>
      </c>
      <c r="J374" s="8" t="s">
        <v>268</v>
      </c>
      <c r="K374" s="8">
        <v>43.373806000000002</v>
      </c>
      <c r="L374" s="8">
        <v>-99.006247999999999</v>
      </c>
      <c r="M374" s="8" t="s">
        <v>269</v>
      </c>
      <c r="N374" s="10" t="s">
        <v>614</v>
      </c>
      <c r="O374" s="11" t="s">
        <v>56</v>
      </c>
      <c r="P374" s="11" t="s">
        <v>57</v>
      </c>
      <c r="Q374" s="12">
        <v>340</v>
      </c>
      <c r="R374" s="13">
        <v>45505</v>
      </c>
      <c r="S374" s="13">
        <v>45545</v>
      </c>
      <c r="T374" s="11">
        <v>206</v>
      </c>
      <c r="U374" s="11"/>
      <c r="V374" s="11">
        <v>1154</v>
      </c>
      <c r="W374" s="11">
        <v>370</v>
      </c>
      <c r="X374" s="11">
        <v>246</v>
      </c>
      <c r="Z374">
        <v>3</v>
      </c>
      <c r="AA374" s="124">
        <f t="shared" si="30"/>
        <v>1415.4497745692584</v>
      </c>
      <c r="AB374" s="124">
        <f t="shared" si="31"/>
        <v>430.8741177490237</v>
      </c>
      <c r="AC374" s="124">
        <f t="shared" si="32"/>
        <v>289.10236243086968</v>
      </c>
      <c r="AD374" s="29"/>
      <c r="AE374" s="29"/>
      <c r="AF374" s="29"/>
    </row>
    <row r="375" spans="1:32" s="28" customFormat="1" x14ac:dyDescent="0.25">
      <c r="A375"/>
      <c r="B375"/>
      <c r="C375" s="31"/>
      <c r="D375" s="31"/>
      <c r="E375" s="31"/>
      <c r="F375" s="31"/>
      <c r="G375" s="20" t="s">
        <v>615</v>
      </c>
      <c r="H375" s="20" t="s">
        <v>616</v>
      </c>
      <c r="I375" s="20" t="s">
        <v>617</v>
      </c>
      <c r="J375" s="20" t="s">
        <v>518</v>
      </c>
      <c r="K375" s="20">
        <v>43.080862000000003</v>
      </c>
      <c r="L375" s="20">
        <v>-96.954374000000001</v>
      </c>
      <c r="M375" s="20" t="s">
        <v>100</v>
      </c>
      <c r="N375" s="4" t="s">
        <v>618</v>
      </c>
      <c r="O375" t="s">
        <v>83</v>
      </c>
      <c r="P375" t="s">
        <v>84</v>
      </c>
      <c r="Q375" s="5">
        <v>328</v>
      </c>
      <c r="R375" s="1">
        <v>45444</v>
      </c>
      <c r="S375" s="1">
        <v>45602</v>
      </c>
      <c r="T375">
        <v>107</v>
      </c>
      <c r="U375"/>
      <c r="V375"/>
      <c r="W375"/>
      <c r="X375"/>
      <c r="Y375" s="132"/>
      <c r="Z375" s="14">
        <v>3</v>
      </c>
      <c r="AA375" s="133">
        <v>631.67819229044028</v>
      </c>
      <c r="AB375" s="133">
        <v>178.17227031243414</v>
      </c>
      <c r="AC375" s="133">
        <v>111.64522126395374</v>
      </c>
      <c r="AD375" s="29"/>
      <c r="AE375" s="29"/>
      <c r="AF375" s="29"/>
    </row>
    <row r="376" spans="1:32" s="28" customFormat="1" x14ac:dyDescent="0.25">
      <c r="A376"/>
      <c r="B376"/>
      <c r="C376" s="31"/>
      <c r="D376" s="31"/>
      <c r="E376" s="31"/>
      <c r="F376" s="31"/>
      <c r="G376" s="6" t="s">
        <v>615</v>
      </c>
      <c r="H376" s="6" t="s">
        <v>616</v>
      </c>
      <c r="I376" s="6" t="s">
        <v>617</v>
      </c>
      <c r="J376" s="6" t="s">
        <v>518</v>
      </c>
      <c r="K376" s="6">
        <v>43.080862000000003</v>
      </c>
      <c r="L376" s="6">
        <v>-96.954374000000001</v>
      </c>
      <c r="M376" s="6" t="s">
        <v>100</v>
      </c>
      <c r="N376" s="4" t="s">
        <v>618</v>
      </c>
      <c r="O376" t="s">
        <v>54</v>
      </c>
      <c r="P376" t="s">
        <v>55</v>
      </c>
      <c r="Q376" s="5">
        <v>329</v>
      </c>
      <c r="R376" s="1">
        <v>45444</v>
      </c>
      <c r="S376" s="1">
        <v>45602</v>
      </c>
      <c r="T376">
        <v>107</v>
      </c>
      <c r="U376"/>
      <c r="V376">
        <v>286</v>
      </c>
      <c r="W376">
        <v>47</v>
      </c>
      <c r="X376">
        <v>27</v>
      </c>
      <c r="Z376">
        <v>3</v>
      </c>
      <c r="AA376" s="124">
        <v>631.67819229044028</v>
      </c>
      <c r="AB376" s="124">
        <v>178.17227031243414</v>
      </c>
      <c r="AC376" s="124">
        <v>111.64522126395374</v>
      </c>
      <c r="AD376" s="29"/>
      <c r="AE376" s="29"/>
      <c r="AF376" s="29"/>
    </row>
    <row r="377" spans="1:32" s="28" customFormat="1" ht="14.4" thickBot="1" x14ac:dyDescent="0.3">
      <c r="A377"/>
      <c r="B377" s="1">
        <v>45534</v>
      </c>
      <c r="C377" s="31">
        <v>2669.25</v>
      </c>
      <c r="D377" s="31"/>
      <c r="E377" s="31">
        <v>4965.41</v>
      </c>
      <c r="F377" s="31">
        <v>7634.66</v>
      </c>
      <c r="G377" s="6" t="s">
        <v>615</v>
      </c>
      <c r="H377" s="6" t="s">
        <v>616</v>
      </c>
      <c r="I377" s="6" t="s">
        <v>617</v>
      </c>
      <c r="J377" s="6" t="s">
        <v>518</v>
      </c>
      <c r="K377" s="6">
        <v>43.080862000000003</v>
      </c>
      <c r="L377" s="6">
        <v>-96.954374000000001</v>
      </c>
      <c r="M377" s="6" t="s">
        <v>100</v>
      </c>
      <c r="N377" s="4" t="s">
        <v>618</v>
      </c>
      <c r="O377" t="s">
        <v>56</v>
      </c>
      <c r="P377" t="s">
        <v>57</v>
      </c>
      <c r="Q377" s="5">
        <v>340</v>
      </c>
      <c r="R377" s="1">
        <v>45448</v>
      </c>
      <c r="S377" s="1">
        <v>45534</v>
      </c>
      <c r="T377">
        <v>107</v>
      </c>
      <c r="U377"/>
      <c r="V377">
        <v>515</v>
      </c>
      <c r="W377">
        <v>153</v>
      </c>
      <c r="X377">
        <v>95</v>
      </c>
      <c r="Y377"/>
      <c r="Z377">
        <v>3</v>
      </c>
      <c r="AA377" s="124">
        <f t="shared" si="30"/>
        <v>631.67819229044028</v>
      </c>
      <c r="AB377" s="124">
        <f t="shared" si="31"/>
        <v>178.17227031243414</v>
      </c>
      <c r="AC377" s="124">
        <f t="shared" si="32"/>
        <v>111.64522126395374</v>
      </c>
      <c r="AD377" s="29"/>
      <c r="AE377" s="29"/>
      <c r="AF377" s="29"/>
    </row>
    <row r="378" spans="1:32" s="53" customFormat="1" x14ac:dyDescent="0.25">
      <c r="A378" s="46"/>
      <c r="B378" s="109" t="s">
        <v>666</v>
      </c>
      <c r="C378" s="110"/>
      <c r="D378" s="110"/>
      <c r="E378" s="110"/>
      <c r="F378" s="110"/>
      <c r="G378" s="111" t="s">
        <v>615</v>
      </c>
      <c r="H378" s="111" t="s">
        <v>616</v>
      </c>
      <c r="I378" s="111" t="s">
        <v>617</v>
      </c>
      <c r="J378" s="111" t="s">
        <v>518</v>
      </c>
      <c r="K378" s="111">
        <v>43.0809</v>
      </c>
      <c r="L378" s="111">
        <v>-96.953999999999994</v>
      </c>
      <c r="M378" s="111" t="s">
        <v>100</v>
      </c>
      <c r="N378" s="112"/>
      <c r="O378" s="113" t="s">
        <v>75</v>
      </c>
      <c r="P378" s="113" t="s">
        <v>307</v>
      </c>
      <c r="Q378" s="114">
        <v>614</v>
      </c>
      <c r="R378" s="109"/>
      <c r="S378" s="109"/>
      <c r="T378" s="113"/>
      <c r="U378" s="113"/>
      <c r="V378" s="113"/>
      <c r="W378" s="113"/>
      <c r="X378" s="113"/>
      <c r="Y378" s="136"/>
      <c r="Z378" s="136"/>
      <c r="AA378" s="128"/>
      <c r="AB378" s="128"/>
      <c r="AC378" s="128"/>
      <c r="AD378" s="29"/>
      <c r="AE378" s="29"/>
      <c r="AF378" s="29"/>
    </row>
    <row r="379" spans="1:32" s="28" customFormat="1" x14ac:dyDescent="0.25">
      <c r="A379"/>
      <c r="B379"/>
      <c r="C379" s="31"/>
      <c r="D379" s="31"/>
      <c r="E379" s="31"/>
      <c r="F379" s="31"/>
      <c r="G379" s="20" t="s">
        <v>619</v>
      </c>
      <c r="H379" s="20" t="s">
        <v>456</v>
      </c>
      <c r="I379" s="20" t="s">
        <v>620</v>
      </c>
      <c r="J379" s="20" t="s">
        <v>200</v>
      </c>
      <c r="K379" s="20">
        <v>43.370832</v>
      </c>
      <c r="L379" s="20">
        <v>-97.155732999999998</v>
      </c>
      <c r="M379" s="20" t="s">
        <v>100</v>
      </c>
      <c r="N379" s="4" t="s">
        <v>621</v>
      </c>
      <c r="O379" t="s">
        <v>83</v>
      </c>
      <c r="P379" t="s">
        <v>84</v>
      </c>
      <c r="Q379" s="5">
        <v>328</v>
      </c>
      <c r="R379" s="1">
        <v>45474</v>
      </c>
      <c r="S379" s="1">
        <v>45737</v>
      </c>
      <c r="T379">
        <v>72</v>
      </c>
      <c r="U379"/>
      <c r="V379"/>
      <c r="W379"/>
      <c r="X379"/>
      <c r="Z379">
        <v>3</v>
      </c>
      <c r="AA379" s="123">
        <v>403.53810730787347</v>
      </c>
      <c r="AB379" s="123">
        <v>115.28793961392796</v>
      </c>
      <c r="AC379" s="123">
        <v>72.863197035422445</v>
      </c>
      <c r="AD379" s="29"/>
      <c r="AE379" s="29"/>
      <c r="AF379" s="29"/>
    </row>
    <row r="380" spans="1:32" s="28" customFormat="1" x14ac:dyDescent="0.25">
      <c r="A380"/>
      <c r="B380"/>
      <c r="C380" s="31"/>
      <c r="D380" s="31"/>
      <c r="E380" s="31"/>
      <c r="F380" s="31"/>
      <c r="G380" s="6" t="s">
        <v>619</v>
      </c>
      <c r="H380" s="6" t="s">
        <v>456</v>
      </c>
      <c r="I380" s="6" t="s">
        <v>620</v>
      </c>
      <c r="J380" s="6" t="s">
        <v>200</v>
      </c>
      <c r="K380" s="6">
        <v>43.370832</v>
      </c>
      <c r="L380" s="6">
        <v>-97.155732999999998</v>
      </c>
      <c r="M380" s="6" t="s">
        <v>100</v>
      </c>
      <c r="N380" s="4" t="s">
        <v>621</v>
      </c>
      <c r="O380" t="s">
        <v>54</v>
      </c>
      <c r="P380" t="s">
        <v>55</v>
      </c>
      <c r="Q380" s="5">
        <v>329</v>
      </c>
      <c r="R380" s="1">
        <v>45474</v>
      </c>
      <c r="S380" s="1">
        <v>45737</v>
      </c>
      <c r="T380">
        <v>72</v>
      </c>
      <c r="U380"/>
      <c r="V380">
        <v>180</v>
      </c>
      <c r="W380">
        <v>30</v>
      </c>
      <c r="X380">
        <v>18</v>
      </c>
      <c r="Z380">
        <v>3</v>
      </c>
      <c r="AA380" s="124">
        <v>403.53810730787347</v>
      </c>
      <c r="AB380" s="124">
        <v>115.28793961392796</v>
      </c>
      <c r="AC380" s="124">
        <v>72.863197035422445</v>
      </c>
      <c r="AD380" s="29"/>
      <c r="AE380" s="29"/>
      <c r="AF380" s="29"/>
    </row>
    <row r="381" spans="1:32" s="28" customFormat="1" x14ac:dyDescent="0.25">
      <c r="A381"/>
      <c r="B381" s="13">
        <v>45501</v>
      </c>
      <c r="C381" s="32">
        <v>1800</v>
      </c>
      <c r="D381" s="32"/>
      <c r="E381" s="32">
        <v>3948</v>
      </c>
      <c r="F381" s="32">
        <v>5748</v>
      </c>
      <c r="G381" s="8" t="s">
        <v>619</v>
      </c>
      <c r="H381" s="8" t="s">
        <v>456</v>
      </c>
      <c r="I381" s="8" t="s">
        <v>620</v>
      </c>
      <c r="J381" s="8" t="s">
        <v>200</v>
      </c>
      <c r="K381" s="8">
        <v>43.370832</v>
      </c>
      <c r="L381" s="8">
        <v>-97.155732999999998</v>
      </c>
      <c r="M381" s="8" t="s">
        <v>100</v>
      </c>
      <c r="N381" s="10" t="s">
        <v>621</v>
      </c>
      <c r="O381" s="11" t="s">
        <v>56</v>
      </c>
      <c r="P381" s="11" t="s">
        <v>57</v>
      </c>
      <c r="Q381" s="12">
        <v>340</v>
      </c>
      <c r="R381" s="13">
        <v>45488</v>
      </c>
      <c r="S381" s="13">
        <v>45503</v>
      </c>
      <c r="T381" s="11">
        <v>72</v>
      </c>
      <c r="U381" s="11"/>
      <c r="V381" s="11">
        <v>329</v>
      </c>
      <c r="W381" s="11">
        <v>99</v>
      </c>
      <c r="X381" s="11">
        <v>62</v>
      </c>
      <c r="Z381">
        <v>3</v>
      </c>
      <c r="AA381" s="124">
        <f t="shared" si="30"/>
        <v>403.53810730787347</v>
      </c>
      <c r="AB381" s="124">
        <f t="shared" si="31"/>
        <v>115.28793961392796</v>
      </c>
      <c r="AC381" s="124">
        <f t="shared" si="32"/>
        <v>72.863197035422445</v>
      </c>
      <c r="AD381" s="29"/>
      <c r="AE381" s="29"/>
      <c r="AF381" s="29"/>
    </row>
    <row r="382" spans="1:32" s="28" customFormat="1" x14ac:dyDescent="0.25">
      <c r="A382"/>
      <c r="B382" s="1">
        <v>45545</v>
      </c>
      <c r="C382" s="31">
        <v>7259.83</v>
      </c>
      <c r="D382" s="31"/>
      <c r="E382" s="31">
        <v>14519.66</v>
      </c>
      <c r="F382" s="31">
        <v>21779.49</v>
      </c>
      <c r="G382" s="20" t="s">
        <v>622</v>
      </c>
      <c r="H382" s="20" t="s">
        <v>335</v>
      </c>
      <c r="I382" s="20" t="s">
        <v>622</v>
      </c>
      <c r="J382" s="20" t="s">
        <v>316</v>
      </c>
      <c r="K382" s="20">
        <v>44.694017000000002</v>
      </c>
      <c r="L382" s="20">
        <v>-103.356981</v>
      </c>
      <c r="M382" s="20" t="s">
        <v>623</v>
      </c>
      <c r="N382" s="4" t="s">
        <v>624</v>
      </c>
      <c r="O382" t="s">
        <v>75</v>
      </c>
      <c r="P382" t="s">
        <v>305</v>
      </c>
      <c r="Q382" s="5">
        <v>382</v>
      </c>
      <c r="R382" s="1">
        <v>45527</v>
      </c>
      <c r="S382" s="1">
        <v>45575</v>
      </c>
      <c r="T382">
        <v>70</v>
      </c>
      <c r="U382"/>
      <c r="V382"/>
      <c r="W382"/>
      <c r="X382"/>
      <c r="Y382" s="132"/>
      <c r="Z382" s="14">
        <v>3</v>
      </c>
      <c r="AA382" s="133"/>
      <c r="AB382" s="133"/>
      <c r="AC382" s="133"/>
      <c r="AD382" s="29"/>
      <c r="AE382" s="29"/>
      <c r="AF382" s="29"/>
    </row>
    <row r="383" spans="1:32" s="28" customFormat="1" x14ac:dyDescent="0.25">
      <c r="A383"/>
      <c r="B383" s="1">
        <v>45552</v>
      </c>
      <c r="C383" s="31">
        <v>3000</v>
      </c>
      <c r="E383" s="31">
        <v>12409.47</v>
      </c>
      <c r="F383" s="31">
        <v>15409.47</v>
      </c>
      <c r="G383" s="6" t="s">
        <v>622</v>
      </c>
      <c r="H383" s="6" t="s">
        <v>335</v>
      </c>
      <c r="I383" s="6" t="s">
        <v>622</v>
      </c>
      <c r="J383" s="6" t="s">
        <v>316</v>
      </c>
      <c r="K383" s="6">
        <v>44.694017000000002</v>
      </c>
      <c r="L383" s="6">
        <v>-103.356981</v>
      </c>
      <c r="M383" s="6" t="s">
        <v>623</v>
      </c>
      <c r="N383" s="4" t="s">
        <v>624</v>
      </c>
      <c r="O383" t="s">
        <v>75</v>
      </c>
      <c r="P383" t="s">
        <v>304</v>
      </c>
      <c r="Q383" s="5">
        <v>516</v>
      </c>
      <c r="R383" s="1">
        <v>45530</v>
      </c>
      <c r="S383" s="1">
        <v>45575</v>
      </c>
      <c r="T383">
        <v>70</v>
      </c>
      <c r="U383"/>
      <c r="V383"/>
      <c r="W383"/>
      <c r="X383"/>
      <c r="Z383">
        <v>3</v>
      </c>
      <c r="AA383" s="123"/>
      <c r="AB383" s="123"/>
      <c r="AC383" s="123"/>
      <c r="AD383" s="29"/>
      <c r="AE383" s="29"/>
      <c r="AF383" s="29"/>
    </row>
    <row r="384" spans="1:32" s="28" customFormat="1" x14ac:dyDescent="0.25">
      <c r="A384"/>
      <c r="B384" s="13">
        <v>45575</v>
      </c>
      <c r="C384" s="32">
        <v>1370.17</v>
      </c>
      <c r="D384" s="32"/>
      <c r="E384" s="32">
        <v>1322.96</v>
      </c>
      <c r="F384" s="32">
        <v>2693.13</v>
      </c>
      <c r="G384" s="8" t="s">
        <v>622</v>
      </c>
      <c r="H384" s="8" t="s">
        <v>335</v>
      </c>
      <c r="I384" s="8" t="s">
        <v>622</v>
      </c>
      <c r="J384" s="8" t="s">
        <v>316</v>
      </c>
      <c r="K384" s="8">
        <v>44.694017000000002</v>
      </c>
      <c r="L384" s="8">
        <v>-103.356981</v>
      </c>
      <c r="M384" s="8" t="s">
        <v>623</v>
      </c>
      <c r="N384" s="10" t="s">
        <v>624</v>
      </c>
      <c r="O384" s="11" t="s">
        <v>75</v>
      </c>
      <c r="P384" s="11" t="s">
        <v>307</v>
      </c>
      <c r="Q384" s="12">
        <v>614</v>
      </c>
      <c r="R384" s="13">
        <v>45530</v>
      </c>
      <c r="S384" s="13">
        <v>45575</v>
      </c>
      <c r="T384" s="11">
        <v>70</v>
      </c>
      <c r="U384" s="11"/>
      <c r="V384" s="11"/>
      <c r="W384" s="11"/>
      <c r="X384" s="11"/>
      <c r="Y384" s="36"/>
      <c r="Z384" s="11">
        <v>3</v>
      </c>
      <c r="AA384" s="128"/>
      <c r="AB384" s="128"/>
      <c r="AC384" s="128"/>
      <c r="AD384" s="29"/>
      <c r="AE384" s="29"/>
      <c r="AF384" s="29"/>
    </row>
    <row r="385" spans="1:32" s="28" customFormat="1" x14ac:dyDescent="0.25">
      <c r="A385"/>
      <c r="B385"/>
      <c r="C385" s="31"/>
      <c r="D385" s="31"/>
      <c r="E385" s="31"/>
      <c r="F385" s="31"/>
      <c r="G385" s="20" t="s">
        <v>625</v>
      </c>
      <c r="H385" s="20" t="s">
        <v>626</v>
      </c>
      <c r="I385" s="20" t="s">
        <v>627</v>
      </c>
      <c r="J385" s="20" t="s">
        <v>628</v>
      </c>
      <c r="K385" s="20">
        <v>42.842393000000001</v>
      </c>
      <c r="L385" s="20">
        <v>-96.563044000000005</v>
      </c>
      <c r="M385" s="20" t="s">
        <v>629</v>
      </c>
      <c r="N385" s="4" t="s">
        <v>630</v>
      </c>
      <c r="O385" t="s">
        <v>54</v>
      </c>
      <c r="P385" t="s">
        <v>55</v>
      </c>
      <c r="Q385" s="5">
        <v>329</v>
      </c>
      <c r="R385" s="1">
        <v>45496</v>
      </c>
      <c r="S385" s="1">
        <v>45553</v>
      </c>
      <c r="T385">
        <v>71.900000000000006</v>
      </c>
      <c r="U385"/>
      <c r="V385">
        <v>317</v>
      </c>
      <c r="W385">
        <v>79</v>
      </c>
      <c r="X385">
        <v>57</v>
      </c>
      <c r="Z385">
        <v>3</v>
      </c>
      <c r="AA385" s="123">
        <v>953.03680662072247</v>
      </c>
      <c r="AB385" s="123">
        <v>312.09260420740094</v>
      </c>
      <c r="AC385" s="123">
        <v>197.43575970888662</v>
      </c>
      <c r="AD385" s="29"/>
      <c r="AE385" s="29"/>
      <c r="AF385" s="29"/>
    </row>
    <row r="386" spans="1:32" s="28" customFormat="1" x14ac:dyDescent="0.25">
      <c r="A386"/>
      <c r="B386" s="13">
        <v>45512</v>
      </c>
      <c r="C386" s="32">
        <v>1797.5</v>
      </c>
      <c r="D386" s="32"/>
      <c r="E386" s="32">
        <v>2352.6999999999998</v>
      </c>
      <c r="F386" s="32">
        <v>4150.2</v>
      </c>
      <c r="G386" s="8" t="s">
        <v>625</v>
      </c>
      <c r="H386" s="8" t="s">
        <v>626</v>
      </c>
      <c r="I386" s="8" t="s">
        <v>627</v>
      </c>
      <c r="J386" s="8" t="s">
        <v>628</v>
      </c>
      <c r="K386" s="8">
        <v>42.842393000000001</v>
      </c>
      <c r="L386" s="8">
        <v>-96.563044000000005</v>
      </c>
      <c r="M386" s="8" t="s">
        <v>629</v>
      </c>
      <c r="N386" s="10" t="s">
        <v>630</v>
      </c>
      <c r="O386" s="11" t="s">
        <v>56</v>
      </c>
      <c r="P386" s="11" t="s">
        <v>57</v>
      </c>
      <c r="Q386" s="12">
        <v>340</v>
      </c>
      <c r="R386" s="13">
        <v>45496</v>
      </c>
      <c r="S386" s="13">
        <v>45553</v>
      </c>
      <c r="T386" s="11">
        <v>71.900000000000006</v>
      </c>
      <c r="U386" s="11"/>
      <c r="V386" s="11">
        <v>777</v>
      </c>
      <c r="W386" s="11">
        <v>268</v>
      </c>
      <c r="X386" s="11">
        <v>168</v>
      </c>
      <c r="Z386">
        <v>3</v>
      </c>
      <c r="AA386" s="124">
        <f t="shared" si="30"/>
        <v>953.03680662072247</v>
      </c>
      <c r="AB386" s="124">
        <f t="shared" si="31"/>
        <v>312.09260420740094</v>
      </c>
      <c r="AC386" s="124">
        <f t="shared" si="32"/>
        <v>197.43575970888662</v>
      </c>
      <c r="AD386" s="29"/>
      <c r="AE386" s="29"/>
      <c r="AF386" s="29"/>
    </row>
    <row r="387" spans="1:32" s="28" customFormat="1" x14ac:dyDescent="0.25">
      <c r="A387"/>
      <c r="B387"/>
      <c r="C387" s="31"/>
      <c r="D387" s="31"/>
      <c r="E387" s="31"/>
      <c r="F387" s="31"/>
      <c r="G387" s="20" t="s">
        <v>631</v>
      </c>
      <c r="H387" s="20" t="s">
        <v>329</v>
      </c>
      <c r="I387" s="20" t="s">
        <v>632</v>
      </c>
      <c r="J387" s="20" t="s">
        <v>427</v>
      </c>
      <c r="K387" s="20">
        <v>43.699703999999997</v>
      </c>
      <c r="L387" s="20">
        <v>-97.144850000000005</v>
      </c>
      <c r="M387" s="20" t="s">
        <v>599</v>
      </c>
      <c r="N387" s="4" t="s">
        <v>633</v>
      </c>
      <c r="O387" t="s">
        <v>54</v>
      </c>
      <c r="P387" t="s">
        <v>55</v>
      </c>
      <c r="Q387" s="5">
        <v>329</v>
      </c>
      <c r="R387" s="1">
        <v>45505</v>
      </c>
      <c r="S387" s="1">
        <v>45708</v>
      </c>
      <c r="T387">
        <v>160</v>
      </c>
      <c r="U387"/>
      <c r="V387">
        <v>388</v>
      </c>
      <c r="W387">
        <v>66</v>
      </c>
      <c r="X387">
        <v>40</v>
      </c>
      <c r="Y387" s="132"/>
      <c r="Z387" s="14">
        <v>3</v>
      </c>
      <c r="AA387" s="133">
        <v>876.99011162653358</v>
      </c>
      <c r="AB387" s="133">
        <v>250.37279815145973</v>
      </c>
      <c r="AC387" s="133">
        <v>159.82894833576535</v>
      </c>
      <c r="AD387" s="29"/>
      <c r="AE387" s="29"/>
      <c r="AF387" s="29"/>
    </row>
    <row r="388" spans="1:32" s="28" customFormat="1" x14ac:dyDescent="0.25">
      <c r="A388"/>
      <c r="B388" s="13">
        <v>45575</v>
      </c>
      <c r="C388" s="32">
        <v>3177.25</v>
      </c>
      <c r="D388" s="32"/>
      <c r="E388" s="32">
        <v>3177.25</v>
      </c>
      <c r="F388" s="32">
        <v>6354.5</v>
      </c>
      <c r="G388" s="8" t="s">
        <v>631</v>
      </c>
      <c r="H388" s="8" t="s">
        <v>329</v>
      </c>
      <c r="I388" s="8" t="s">
        <v>632</v>
      </c>
      <c r="J388" s="8" t="s">
        <v>427</v>
      </c>
      <c r="K388" s="8">
        <v>43.699703999999997</v>
      </c>
      <c r="L388" s="8">
        <v>-97.144850000000005</v>
      </c>
      <c r="M388" s="8" t="s">
        <v>599</v>
      </c>
      <c r="N388" s="10" t="s">
        <v>633</v>
      </c>
      <c r="O388" s="11" t="s">
        <v>56</v>
      </c>
      <c r="P388" s="11" t="s">
        <v>57</v>
      </c>
      <c r="Q388" s="12">
        <v>340</v>
      </c>
      <c r="R388" s="13">
        <v>45534</v>
      </c>
      <c r="S388" s="13">
        <v>45575</v>
      </c>
      <c r="T388" s="11">
        <v>160</v>
      </c>
      <c r="U388" s="11"/>
      <c r="V388" s="11">
        <v>715</v>
      </c>
      <c r="W388" s="11">
        <v>215</v>
      </c>
      <c r="X388" s="11">
        <v>136</v>
      </c>
      <c r="Y388" s="36"/>
      <c r="Z388" s="11">
        <v>3</v>
      </c>
      <c r="AA388" s="135">
        <f t="shared" si="30"/>
        <v>876.99011162653358</v>
      </c>
      <c r="AB388" s="135">
        <f t="shared" si="31"/>
        <v>250.37279815145973</v>
      </c>
      <c r="AC388" s="135">
        <f t="shared" si="32"/>
        <v>159.82894833576535</v>
      </c>
      <c r="AD388" s="29"/>
      <c r="AE388" s="29"/>
      <c r="AF388" s="29"/>
    </row>
    <row r="389" spans="1:32" s="28" customFormat="1" x14ac:dyDescent="0.25">
      <c r="A389" t="s">
        <v>145</v>
      </c>
      <c r="B389" s="1">
        <v>43304</v>
      </c>
      <c r="C389" s="31">
        <v>0</v>
      </c>
      <c r="D389" s="31">
        <v>0</v>
      </c>
      <c r="E389" s="31">
        <v>84513.74</v>
      </c>
      <c r="F389" s="31">
        <v>84513.74</v>
      </c>
      <c r="G389" s="18" t="s">
        <v>634</v>
      </c>
      <c r="H389" s="18" t="s">
        <v>635</v>
      </c>
      <c r="I389" s="18" t="s">
        <v>636</v>
      </c>
      <c r="J389" s="18" t="s">
        <v>637</v>
      </c>
      <c r="K389" s="18">
        <v>45.805222000000001</v>
      </c>
      <c r="L389" s="18">
        <v>-100.805126</v>
      </c>
      <c r="M389" s="18" t="s">
        <v>638</v>
      </c>
      <c r="N389" s="16">
        <v>2</v>
      </c>
      <c r="O389" s="24" t="s">
        <v>54</v>
      </c>
      <c r="P389" s="14" t="s">
        <v>57</v>
      </c>
      <c r="Q389" s="17">
        <v>340</v>
      </c>
      <c r="R389" s="15">
        <v>43313</v>
      </c>
      <c r="S389" s="15">
        <v>43507</v>
      </c>
      <c r="T389" s="14">
        <v>556</v>
      </c>
      <c r="U389" s="14"/>
      <c r="V389" s="100">
        <v>197</v>
      </c>
      <c r="W389" s="100">
        <v>40</v>
      </c>
      <c r="X389" s="100">
        <v>28</v>
      </c>
      <c r="Z389">
        <v>1</v>
      </c>
      <c r="AA389" s="123">
        <f t="shared" si="30"/>
        <v>241.63224054605192</v>
      </c>
      <c r="AB389" s="123">
        <f t="shared" si="31"/>
        <v>46.580985702597161</v>
      </c>
      <c r="AC389" s="123">
        <f t="shared" si="32"/>
        <v>32.905959951481101</v>
      </c>
      <c r="AD389" s="29"/>
      <c r="AE389" s="29"/>
      <c r="AF389" s="29"/>
    </row>
    <row r="390" spans="1:32" s="28" customFormat="1" x14ac:dyDescent="0.25">
      <c r="A390" t="s">
        <v>145</v>
      </c>
      <c r="B390" s="15">
        <v>43673</v>
      </c>
      <c r="C390" s="40">
        <v>0</v>
      </c>
      <c r="D390" s="40">
        <v>0</v>
      </c>
      <c r="E390" s="40">
        <v>0</v>
      </c>
      <c r="F390" s="40">
        <v>5848.84</v>
      </c>
      <c r="G390" s="18" t="s">
        <v>639</v>
      </c>
      <c r="H390" s="18" t="s">
        <v>640</v>
      </c>
      <c r="I390" s="18" t="s">
        <v>639</v>
      </c>
      <c r="J390" s="18" t="s">
        <v>503</v>
      </c>
      <c r="K390" s="18">
        <v>45.490411000000002</v>
      </c>
      <c r="L390" s="18">
        <v>-97.291543000000004</v>
      </c>
      <c r="M390" s="18" t="s">
        <v>223</v>
      </c>
      <c r="N390" s="16">
        <v>11</v>
      </c>
      <c r="O390" t="s">
        <v>56</v>
      </c>
      <c r="P390" s="14" t="s">
        <v>57</v>
      </c>
      <c r="Q390" s="17">
        <v>340</v>
      </c>
      <c r="R390" s="15">
        <v>43308</v>
      </c>
      <c r="S390" s="15">
        <v>43752</v>
      </c>
      <c r="T390" s="14">
        <v>500</v>
      </c>
      <c r="U390" s="14"/>
      <c r="V390" s="100">
        <v>241</v>
      </c>
      <c r="W390" s="100">
        <v>47</v>
      </c>
      <c r="X390" s="100">
        <v>32</v>
      </c>
      <c r="Y390" s="132"/>
      <c r="Z390" s="14">
        <v>1</v>
      </c>
      <c r="AA390" s="134">
        <v>1644</v>
      </c>
      <c r="AB390" s="134">
        <v>476</v>
      </c>
      <c r="AC390" s="134">
        <v>302</v>
      </c>
      <c r="AD390" s="38">
        <f>AA390/V391</f>
        <v>1.038534428300695</v>
      </c>
      <c r="AE390" s="38">
        <f t="shared" ref="AE390:AF390" si="33">AB390/W391</f>
        <v>1.0258620689655173</v>
      </c>
      <c r="AF390" s="38">
        <f t="shared" si="33"/>
        <v>1.0272108843537415</v>
      </c>
    </row>
    <row r="391" spans="1:32" s="28" customFormat="1" x14ac:dyDescent="0.25">
      <c r="A391" t="s">
        <v>145</v>
      </c>
      <c r="B391" s="1">
        <v>43468</v>
      </c>
      <c r="C391" s="31">
        <v>0</v>
      </c>
      <c r="D391" s="31">
        <v>0</v>
      </c>
      <c r="E391" s="31">
        <v>0</v>
      </c>
      <c r="F391" s="31">
        <v>10673.52</v>
      </c>
      <c r="G391" s="6" t="s">
        <v>639</v>
      </c>
      <c r="H391" s="6" t="s">
        <v>640</v>
      </c>
      <c r="I391" s="6" t="s">
        <v>639</v>
      </c>
      <c r="J391" s="6" t="s">
        <v>503</v>
      </c>
      <c r="K391" s="6">
        <v>45.490411000000002</v>
      </c>
      <c r="L391" s="6">
        <v>-97.291543000000004</v>
      </c>
      <c r="M391" s="6" t="s">
        <v>223</v>
      </c>
      <c r="N391" s="4">
        <v>11</v>
      </c>
      <c r="O391" t="s">
        <v>75</v>
      </c>
      <c r="P391" t="s">
        <v>305</v>
      </c>
      <c r="Q391" s="5">
        <v>382</v>
      </c>
      <c r="R391" s="1">
        <v>43385</v>
      </c>
      <c r="S391" s="1">
        <v>43468</v>
      </c>
      <c r="T391">
        <v>616</v>
      </c>
      <c r="U391"/>
      <c r="V391" s="41">
        <v>1583</v>
      </c>
      <c r="W391" s="41">
        <v>464</v>
      </c>
      <c r="X391" s="41">
        <v>294</v>
      </c>
      <c r="Z391">
        <v>1</v>
      </c>
      <c r="AA391" s="38">
        <v>1644</v>
      </c>
      <c r="AB391" s="38">
        <v>476</v>
      </c>
      <c r="AC391" s="38">
        <v>302</v>
      </c>
      <c r="AD391" s="38"/>
      <c r="AE391" s="38"/>
      <c r="AF391" s="38"/>
    </row>
    <row r="392" spans="1:32" s="28" customFormat="1" x14ac:dyDescent="0.25">
      <c r="A392" t="s">
        <v>145</v>
      </c>
      <c r="B392" s="1">
        <v>43676</v>
      </c>
      <c r="C392" s="31">
        <v>0</v>
      </c>
      <c r="D392" s="31">
        <v>0</v>
      </c>
      <c r="E392" s="31">
        <v>0</v>
      </c>
      <c r="F392" s="31">
        <v>24545.67</v>
      </c>
      <c r="G392" s="6" t="s">
        <v>639</v>
      </c>
      <c r="H392" s="6" t="s">
        <v>640</v>
      </c>
      <c r="I392" s="6" t="s">
        <v>639</v>
      </c>
      <c r="J392" s="6" t="s">
        <v>503</v>
      </c>
      <c r="K392" s="6">
        <v>45.490411000000002</v>
      </c>
      <c r="L392" s="6">
        <v>-97.291543000000004</v>
      </c>
      <c r="M392" s="6" t="s">
        <v>223</v>
      </c>
      <c r="N392" s="4">
        <v>11</v>
      </c>
      <c r="O392" t="s">
        <v>75</v>
      </c>
      <c r="P392" t="s">
        <v>304</v>
      </c>
      <c r="Q392" s="5">
        <v>516</v>
      </c>
      <c r="R392" s="1">
        <v>43387</v>
      </c>
      <c r="S392" s="1">
        <v>43752</v>
      </c>
      <c r="T392">
        <v>616</v>
      </c>
      <c r="U392"/>
      <c r="V392"/>
      <c r="W392"/>
      <c r="X392"/>
      <c r="Z392">
        <v>1</v>
      </c>
      <c r="AA392" s="38">
        <v>1644</v>
      </c>
      <c r="AB392" s="38">
        <v>476</v>
      </c>
      <c r="AC392" s="38">
        <v>302</v>
      </c>
      <c r="AD392" s="38"/>
      <c r="AE392" s="38"/>
      <c r="AF392" s="38"/>
    </row>
    <row r="393" spans="1:32" s="28" customFormat="1" x14ac:dyDescent="0.25">
      <c r="A393"/>
      <c r="B393" s="11"/>
      <c r="C393" s="32"/>
      <c r="D393" s="32"/>
      <c r="E393" s="32"/>
      <c r="F393" s="32"/>
      <c r="G393" s="8" t="s">
        <v>639</v>
      </c>
      <c r="H393" s="8" t="s">
        <v>640</v>
      </c>
      <c r="I393" s="8" t="s">
        <v>639</v>
      </c>
      <c r="J393" s="8" t="s">
        <v>503</v>
      </c>
      <c r="K393" s="8">
        <v>45.490411000000002</v>
      </c>
      <c r="L393" s="8">
        <v>-97.291543000000004</v>
      </c>
      <c r="M393" s="8" t="s">
        <v>223</v>
      </c>
      <c r="N393" s="10">
        <v>11</v>
      </c>
      <c r="O393" s="11" t="s">
        <v>105</v>
      </c>
      <c r="P393" s="11" t="s">
        <v>741</v>
      </c>
      <c r="Q393" s="12">
        <v>528</v>
      </c>
      <c r="R393" s="13">
        <v>43193</v>
      </c>
      <c r="S393" s="13">
        <v>43465</v>
      </c>
      <c r="T393" s="11">
        <v>616</v>
      </c>
      <c r="U393" s="11"/>
      <c r="V393" s="11"/>
      <c r="W393" s="11"/>
      <c r="X393" s="11"/>
      <c r="Y393" s="36"/>
      <c r="Z393" s="11">
        <v>1</v>
      </c>
      <c r="AA393" s="39">
        <v>1644</v>
      </c>
      <c r="AB393" s="39">
        <v>476</v>
      </c>
      <c r="AC393" s="39">
        <v>302</v>
      </c>
      <c r="AD393" s="38"/>
      <c r="AE393" s="38"/>
      <c r="AF393" s="38"/>
    </row>
    <row r="394" spans="1:32" s="28" customFormat="1" x14ac:dyDescent="0.25">
      <c r="A394"/>
      <c r="B394"/>
      <c r="C394" s="31"/>
      <c r="D394" s="31"/>
      <c r="E394" s="31"/>
      <c r="F394" s="31"/>
      <c r="G394" s="20" t="s">
        <v>641</v>
      </c>
      <c r="H394" s="20" t="s">
        <v>642</v>
      </c>
      <c r="I394" s="20" t="s">
        <v>643</v>
      </c>
      <c r="J394" s="20" t="s">
        <v>139</v>
      </c>
      <c r="K394">
        <v>43.070583999999997</v>
      </c>
      <c r="L394">
        <v>-97.341564000000005</v>
      </c>
      <c r="M394" t="s">
        <v>137</v>
      </c>
      <c r="N394" s="4" t="s">
        <v>644</v>
      </c>
      <c r="O394" t="s">
        <v>83</v>
      </c>
      <c r="P394" t="s">
        <v>84</v>
      </c>
      <c r="Q394" s="5">
        <v>328</v>
      </c>
      <c r="R394" s="1">
        <v>45413</v>
      </c>
      <c r="S394" s="1">
        <v>45806</v>
      </c>
      <c r="T394">
        <v>36</v>
      </c>
      <c r="U394"/>
      <c r="V394"/>
      <c r="W394"/>
      <c r="X394"/>
      <c r="Z394">
        <v>3</v>
      </c>
      <c r="AA394" s="123">
        <v>375.32723658422276</v>
      </c>
      <c r="AB394" s="123">
        <v>121.11056282675261</v>
      </c>
      <c r="AC394" s="123">
        <v>88.140964155752954</v>
      </c>
      <c r="AD394" s="29"/>
      <c r="AE394" s="29"/>
      <c r="AF394" s="29"/>
    </row>
    <row r="395" spans="1:32" s="28" customFormat="1" x14ac:dyDescent="0.25">
      <c r="A395"/>
      <c r="B395"/>
      <c r="C395" s="31"/>
      <c r="D395" s="31"/>
      <c r="E395" s="31"/>
      <c r="F395" s="31"/>
      <c r="G395" s="6" t="s">
        <v>641</v>
      </c>
      <c r="H395" s="6" t="s">
        <v>642</v>
      </c>
      <c r="I395" s="6" t="s">
        <v>643</v>
      </c>
      <c r="J395" s="6" t="s">
        <v>139</v>
      </c>
      <c r="K395" s="6">
        <v>43.070583999999997</v>
      </c>
      <c r="L395" s="6">
        <v>-97.341564000000005</v>
      </c>
      <c r="M395" s="6" t="s">
        <v>137</v>
      </c>
      <c r="N395" s="4" t="s">
        <v>644</v>
      </c>
      <c r="O395" t="s">
        <v>54</v>
      </c>
      <c r="P395" t="s">
        <v>55</v>
      </c>
      <c r="Q395" s="5">
        <v>329</v>
      </c>
      <c r="R395" s="1">
        <v>45413</v>
      </c>
      <c r="S395" s="1">
        <v>45806</v>
      </c>
      <c r="T395">
        <v>36</v>
      </c>
      <c r="U395"/>
      <c r="V395">
        <v>130</v>
      </c>
      <c r="W395">
        <v>31</v>
      </c>
      <c r="X395">
        <v>22</v>
      </c>
      <c r="Z395">
        <v>3</v>
      </c>
      <c r="AA395" s="124">
        <v>375.32723658422276</v>
      </c>
      <c r="AB395" s="124">
        <v>121.11056282675261</v>
      </c>
      <c r="AC395" s="124">
        <v>88.140964155752954</v>
      </c>
      <c r="AD395" s="29"/>
      <c r="AE395" s="29"/>
      <c r="AF395" s="29"/>
    </row>
    <row r="396" spans="1:32" ht="14.4" thickBot="1" x14ac:dyDescent="0.3">
      <c r="B396" s="91">
        <v>45776</v>
      </c>
      <c r="C396" s="93">
        <v>2651.5</v>
      </c>
      <c r="D396" s="93"/>
      <c r="E396" s="93">
        <v>2651.5</v>
      </c>
      <c r="F396" s="93">
        <v>5303</v>
      </c>
      <c r="G396" s="61" t="s">
        <v>641</v>
      </c>
      <c r="H396" s="61" t="s">
        <v>642</v>
      </c>
      <c r="I396" s="61" t="s">
        <v>643</v>
      </c>
      <c r="J396" s="61" t="s">
        <v>139</v>
      </c>
      <c r="K396" s="61">
        <v>43.070583999999997</v>
      </c>
      <c r="L396" s="61">
        <v>-97.341564000000005</v>
      </c>
      <c r="M396" s="61" t="s">
        <v>137</v>
      </c>
      <c r="N396" s="95" t="s">
        <v>644</v>
      </c>
      <c r="O396" s="11" t="s">
        <v>132</v>
      </c>
      <c r="P396" s="92" t="s">
        <v>133</v>
      </c>
      <c r="Q396" s="96"/>
      <c r="R396" s="91">
        <v>45749</v>
      </c>
      <c r="S396" s="91">
        <v>45777</v>
      </c>
      <c r="T396" s="92">
        <v>36</v>
      </c>
      <c r="U396" s="92"/>
      <c r="V396" s="92">
        <v>306</v>
      </c>
      <c r="W396" s="92">
        <v>104</v>
      </c>
      <c r="X396" s="92">
        <v>75</v>
      </c>
      <c r="Z396">
        <v>3</v>
      </c>
      <c r="AA396" s="124">
        <f t="shared" ref="AA396" si="34">V396*$AD$1</f>
        <v>375.32723658422276</v>
      </c>
      <c r="AB396" s="124">
        <f t="shared" ref="AB396" si="35">W396*$AE$1</f>
        <v>121.11056282675261</v>
      </c>
      <c r="AC396" s="124">
        <f t="shared" ref="AC396" si="36">X396*$AF$1</f>
        <v>88.140964155752954</v>
      </c>
    </row>
    <row r="397" spans="1:32" x14ac:dyDescent="0.25">
      <c r="A397" s="46"/>
      <c r="B397" s="58" t="s">
        <v>663</v>
      </c>
      <c r="C397" s="55"/>
      <c r="D397" s="55"/>
      <c r="E397" s="55"/>
      <c r="F397" s="55"/>
      <c r="G397" s="94" t="s">
        <v>641</v>
      </c>
      <c r="H397" s="94" t="s">
        <v>642</v>
      </c>
      <c r="I397" s="94" t="s">
        <v>643</v>
      </c>
      <c r="J397" s="94" t="s">
        <v>139</v>
      </c>
      <c r="K397" s="54">
        <v>43.070583999999997</v>
      </c>
      <c r="L397" s="54">
        <v>-97.341564000000005</v>
      </c>
      <c r="M397" s="54" t="s">
        <v>137</v>
      </c>
      <c r="N397" s="56"/>
      <c r="O397" s="54" t="s">
        <v>54</v>
      </c>
      <c r="P397" s="54" t="s">
        <v>57</v>
      </c>
      <c r="Q397" s="57">
        <v>340</v>
      </c>
      <c r="R397" s="58">
        <v>44820</v>
      </c>
      <c r="S397" s="58">
        <v>44827</v>
      </c>
      <c r="T397" s="54">
        <v>160</v>
      </c>
      <c r="U397" s="54"/>
      <c r="V397" s="54"/>
      <c r="W397" s="54"/>
      <c r="X397" s="54"/>
      <c r="Z397" s="46">
        <v>2</v>
      </c>
      <c r="AA397" s="123"/>
      <c r="AB397" s="123"/>
      <c r="AC397" s="123"/>
    </row>
    <row r="398" spans="1:32" x14ac:dyDescent="0.25">
      <c r="G398" s="20" t="s">
        <v>645</v>
      </c>
      <c r="H398" s="20" t="s">
        <v>646</v>
      </c>
      <c r="I398" s="20" t="s">
        <v>647</v>
      </c>
      <c r="J398" s="20" t="s">
        <v>648</v>
      </c>
      <c r="K398">
        <v>44.648105999999999</v>
      </c>
      <c r="L398">
        <v>-97.316018</v>
      </c>
      <c r="M398" t="s">
        <v>128</v>
      </c>
      <c r="N398" s="4" t="s">
        <v>649</v>
      </c>
      <c r="O398" t="s">
        <v>83</v>
      </c>
      <c r="P398" t="s">
        <v>84</v>
      </c>
      <c r="Q398" s="5">
        <v>328</v>
      </c>
      <c r="R398" s="1">
        <v>45717</v>
      </c>
      <c r="S398" s="1">
        <v>45831</v>
      </c>
      <c r="T398">
        <v>100</v>
      </c>
      <c r="Y398" s="132"/>
      <c r="Z398" s="14">
        <v>3</v>
      </c>
      <c r="AA398" s="134">
        <v>394</v>
      </c>
      <c r="AB398" s="134">
        <v>139</v>
      </c>
      <c r="AC398" s="134">
        <v>96</v>
      </c>
      <c r="AD398" s="38">
        <f>AA398/V399</f>
        <v>1.372822299651568</v>
      </c>
      <c r="AE398" s="38">
        <f t="shared" ref="AE398:AF398" si="37">AB398/W399</f>
        <v>1.1583333333333334</v>
      </c>
      <c r="AF398" s="38">
        <f t="shared" si="37"/>
        <v>1.1566265060240963</v>
      </c>
    </row>
    <row r="399" spans="1:32" x14ac:dyDescent="0.25">
      <c r="G399" s="6" t="s">
        <v>645</v>
      </c>
      <c r="H399" s="6" t="s">
        <v>646</v>
      </c>
      <c r="I399" s="6" t="s">
        <v>647</v>
      </c>
      <c r="J399" s="6" t="s">
        <v>648</v>
      </c>
      <c r="K399" s="6">
        <v>44.648105999999999</v>
      </c>
      <c r="L399" s="6">
        <v>-97.316018</v>
      </c>
      <c r="M399" s="6" t="s">
        <v>128</v>
      </c>
      <c r="N399" s="4" t="s">
        <v>649</v>
      </c>
      <c r="O399" t="s">
        <v>54</v>
      </c>
      <c r="P399" t="s">
        <v>55</v>
      </c>
      <c r="Q399" s="5">
        <v>329</v>
      </c>
      <c r="R399" s="1">
        <v>45717</v>
      </c>
      <c r="S399" s="1">
        <v>45831</v>
      </c>
      <c r="T399">
        <v>100</v>
      </c>
      <c r="V399" s="41">
        <v>287</v>
      </c>
      <c r="W399" s="41">
        <v>120</v>
      </c>
      <c r="X399" s="41">
        <v>83</v>
      </c>
      <c r="Z399">
        <v>3</v>
      </c>
      <c r="AA399" s="38">
        <v>394</v>
      </c>
      <c r="AB399" s="38">
        <v>139</v>
      </c>
      <c r="AC399" s="38">
        <v>96</v>
      </c>
    </row>
    <row r="400" spans="1:32" x14ac:dyDescent="0.25">
      <c r="B400" s="13">
        <v>45741</v>
      </c>
      <c r="C400" s="32">
        <v>9610</v>
      </c>
      <c r="D400" s="32"/>
      <c r="E400" s="32">
        <v>14415</v>
      </c>
      <c r="F400" s="32">
        <v>24025</v>
      </c>
      <c r="G400" s="8" t="s">
        <v>645</v>
      </c>
      <c r="H400" s="8" t="s">
        <v>646</v>
      </c>
      <c r="I400" s="8" t="s">
        <v>647</v>
      </c>
      <c r="J400" s="8" t="s">
        <v>648</v>
      </c>
      <c r="K400" s="8">
        <v>44.648105999999999</v>
      </c>
      <c r="L400" s="8">
        <v>-97.316018</v>
      </c>
      <c r="M400" s="8" t="s">
        <v>128</v>
      </c>
      <c r="N400" s="10" t="s">
        <v>649</v>
      </c>
      <c r="O400" s="11" t="s">
        <v>132</v>
      </c>
      <c r="P400" s="11" t="s">
        <v>133</v>
      </c>
      <c r="Q400" s="12"/>
      <c r="R400" s="13">
        <v>45749</v>
      </c>
      <c r="S400" s="13">
        <v>45791</v>
      </c>
      <c r="T400" s="11">
        <v>100</v>
      </c>
      <c r="U400" s="11"/>
      <c r="V400" s="141">
        <v>233</v>
      </c>
      <c r="W400" s="141">
        <v>80</v>
      </c>
      <c r="X400" s="141">
        <v>56</v>
      </c>
      <c r="Y400" s="36"/>
      <c r="Z400" s="11">
        <v>3</v>
      </c>
      <c r="AA400" s="39">
        <v>394</v>
      </c>
      <c r="AB400" s="39">
        <v>139</v>
      </c>
      <c r="AC400" s="39">
        <v>96</v>
      </c>
    </row>
    <row r="401" spans="1:32" x14ac:dyDescent="0.25">
      <c r="A401" s="41" t="s">
        <v>145</v>
      </c>
      <c r="B401" s="42">
        <v>43641</v>
      </c>
      <c r="C401" s="43">
        <v>0</v>
      </c>
      <c r="D401" s="43">
        <v>0</v>
      </c>
      <c r="E401" s="43">
        <v>10800</v>
      </c>
      <c r="F401" s="43">
        <v>10800</v>
      </c>
      <c r="G401" s="44" t="s">
        <v>650</v>
      </c>
      <c r="H401" s="44" t="s">
        <v>651</v>
      </c>
      <c r="I401" s="45" t="s">
        <v>652</v>
      </c>
      <c r="J401" s="45" t="s">
        <v>653</v>
      </c>
      <c r="K401" s="45"/>
      <c r="L401" s="45"/>
      <c r="M401" s="45"/>
      <c r="N401" s="25">
        <v>201846</v>
      </c>
      <c r="O401" s="24" t="s">
        <v>54</v>
      </c>
      <c r="P401" s="24" t="s">
        <v>57</v>
      </c>
      <c r="Q401" s="26">
        <v>340</v>
      </c>
      <c r="R401" s="27">
        <v>43556</v>
      </c>
      <c r="S401" s="27">
        <v>43801</v>
      </c>
      <c r="T401" s="24"/>
      <c r="U401" s="45" t="s">
        <v>145</v>
      </c>
      <c r="V401" s="45" t="s">
        <v>145</v>
      </c>
      <c r="W401" s="45" t="s">
        <v>145</v>
      </c>
      <c r="X401" s="45" t="s">
        <v>145</v>
      </c>
      <c r="Y401" s="36"/>
      <c r="Z401" s="11">
        <v>1</v>
      </c>
      <c r="AA401" s="128"/>
      <c r="AB401" s="128"/>
      <c r="AC401" s="128"/>
    </row>
    <row r="402" spans="1:32" x14ac:dyDescent="0.25">
      <c r="A402" t="s">
        <v>145</v>
      </c>
      <c r="B402" s="15">
        <v>43751</v>
      </c>
      <c r="C402" s="40">
        <v>0</v>
      </c>
      <c r="D402" s="40">
        <v>0</v>
      </c>
      <c r="E402" s="40">
        <v>31623.200000000001</v>
      </c>
      <c r="F402" s="40">
        <v>31623.200000000001</v>
      </c>
      <c r="G402" s="99" t="s">
        <v>654</v>
      </c>
      <c r="H402" s="99" t="s">
        <v>655</v>
      </c>
      <c r="I402" s="100" t="s">
        <v>656</v>
      </c>
      <c r="J402" s="100" t="s">
        <v>657</v>
      </c>
      <c r="K402" s="100"/>
      <c r="L402" s="100"/>
      <c r="M402" s="100"/>
      <c r="N402" s="16" t="s">
        <v>658</v>
      </c>
      <c r="O402" s="14" t="s">
        <v>54</v>
      </c>
      <c r="P402" s="14" t="s">
        <v>57</v>
      </c>
      <c r="Q402" s="17">
        <v>340</v>
      </c>
      <c r="R402" s="15">
        <v>43556</v>
      </c>
      <c r="S402" s="15">
        <v>43752</v>
      </c>
      <c r="T402" s="14"/>
      <c r="U402" s="100" t="s">
        <v>145</v>
      </c>
      <c r="V402" s="100" t="s">
        <v>145</v>
      </c>
      <c r="W402" s="100" t="s">
        <v>145</v>
      </c>
      <c r="X402" s="100" t="s">
        <v>145</v>
      </c>
      <c r="Y402" s="129"/>
      <c r="Z402" s="24">
        <v>1</v>
      </c>
      <c r="AA402" s="130"/>
      <c r="AB402" s="130"/>
      <c r="AC402" s="130"/>
    </row>
    <row r="403" spans="1:32" x14ac:dyDescent="0.25">
      <c r="A403" s="46"/>
      <c r="B403" s="76" t="s">
        <v>666</v>
      </c>
      <c r="C403" s="98"/>
      <c r="D403" s="98"/>
      <c r="E403" s="98"/>
      <c r="F403" s="98"/>
      <c r="G403" s="76" t="s">
        <v>186</v>
      </c>
      <c r="H403" s="76" t="s">
        <v>665</v>
      </c>
      <c r="I403" s="76"/>
      <c r="J403" s="76"/>
      <c r="K403" s="76"/>
      <c r="L403" s="76"/>
      <c r="M403" s="76"/>
      <c r="N403" s="75"/>
      <c r="O403" s="76" t="s">
        <v>54</v>
      </c>
      <c r="P403" s="76" t="s">
        <v>57</v>
      </c>
      <c r="Q403" s="77">
        <v>340</v>
      </c>
      <c r="R403" s="78">
        <v>45497</v>
      </c>
      <c r="S403" s="78">
        <v>45497</v>
      </c>
      <c r="T403" s="76">
        <v>90</v>
      </c>
      <c r="U403" s="76"/>
      <c r="V403" s="76"/>
      <c r="W403" s="76"/>
      <c r="X403" s="76"/>
      <c r="Y403" s="129"/>
      <c r="Z403" s="131">
        <v>3</v>
      </c>
      <c r="AA403" s="130"/>
      <c r="AB403" s="130"/>
      <c r="AC403" s="130"/>
    </row>
    <row r="404" spans="1:32" x14ac:dyDescent="0.25">
      <c r="A404" s="46"/>
      <c r="B404" s="76" t="s">
        <v>668</v>
      </c>
      <c r="C404" s="98"/>
      <c r="D404" s="98"/>
      <c r="E404" s="98"/>
      <c r="F404" s="98"/>
      <c r="G404" s="76" t="s">
        <v>667</v>
      </c>
      <c r="H404" s="76" t="s">
        <v>466</v>
      </c>
      <c r="I404" s="76"/>
      <c r="J404" s="76"/>
      <c r="K404" s="76"/>
      <c r="L404" s="76"/>
      <c r="M404" s="76"/>
      <c r="N404" s="75"/>
      <c r="O404" s="76" t="s">
        <v>54</v>
      </c>
      <c r="P404" s="76" t="s">
        <v>57</v>
      </c>
      <c r="Q404" s="77">
        <v>340</v>
      </c>
      <c r="R404" s="78">
        <v>45497</v>
      </c>
      <c r="S404" s="78">
        <v>45497</v>
      </c>
      <c r="T404" s="76"/>
      <c r="U404" s="76"/>
      <c r="V404" s="76"/>
      <c r="W404" s="76"/>
      <c r="X404" s="76"/>
      <c r="Y404" s="129"/>
      <c r="Z404" s="131">
        <v>3</v>
      </c>
      <c r="AA404" s="130"/>
      <c r="AB404" s="130"/>
      <c r="AC404" s="130"/>
    </row>
    <row r="405" spans="1:32" x14ac:dyDescent="0.25">
      <c r="A405" s="46"/>
      <c r="B405" s="76" t="s">
        <v>666</v>
      </c>
      <c r="C405" s="98"/>
      <c r="D405" s="98"/>
      <c r="E405" s="98"/>
      <c r="F405" s="98"/>
      <c r="G405" s="76" t="s">
        <v>669</v>
      </c>
      <c r="H405" s="76" t="s">
        <v>670</v>
      </c>
      <c r="I405" s="76"/>
      <c r="J405" s="76"/>
      <c r="K405" s="76"/>
      <c r="L405" s="76"/>
      <c r="M405" s="76"/>
      <c r="N405" s="75"/>
      <c r="O405" s="76"/>
      <c r="P405" s="76"/>
      <c r="Q405" s="77"/>
      <c r="R405" s="78">
        <v>45497</v>
      </c>
      <c r="S405" s="78">
        <v>45497</v>
      </c>
      <c r="T405" s="76"/>
      <c r="U405" s="76"/>
      <c r="V405" s="76"/>
      <c r="W405" s="76"/>
      <c r="X405" s="76"/>
      <c r="Y405" s="129"/>
      <c r="Z405" s="131">
        <v>3</v>
      </c>
      <c r="AA405" s="130"/>
      <c r="AB405" s="130"/>
      <c r="AC405" s="130"/>
    </row>
    <row r="406" spans="1:32" x14ac:dyDescent="0.25">
      <c r="A406" s="46"/>
      <c r="B406" s="76" t="s">
        <v>666</v>
      </c>
      <c r="C406" s="98"/>
      <c r="D406" s="98"/>
      <c r="E406" s="98"/>
      <c r="F406" s="98"/>
      <c r="G406" s="76" t="s">
        <v>671</v>
      </c>
      <c r="H406" s="76" t="s">
        <v>672</v>
      </c>
      <c r="I406" s="76"/>
      <c r="J406" s="76"/>
      <c r="K406" s="76"/>
      <c r="L406" s="76"/>
      <c r="M406" s="76"/>
      <c r="N406" s="75"/>
      <c r="O406" s="76" t="s">
        <v>54</v>
      </c>
      <c r="P406" s="76" t="s">
        <v>57</v>
      </c>
      <c r="Q406" s="77">
        <v>340</v>
      </c>
      <c r="R406" s="78">
        <v>45497</v>
      </c>
      <c r="S406" s="78">
        <v>45509</v>
      </c>
      <c r="T406" s="76">
        <v>160</v>
      </c>
      <c r="U406" s="76"/>
      <c r="V406" s="76"/>
      <c r="W406" s="76"/>
      <c r="X406" s="76"/>
      <c r="Y406" s="129"/>
      <c r="Z406" s="131">
        <v>3</v>
      </c>
      <c r="AA406" s="130"/>
      <c r="AB406" s="130"/>
      <c r="AC406" s="130"/>
    </row>
    <row r="407" spans="1:32" x14ac:dyDescent="0.25">
      <c r="A407" s="46"/>
      <c r="B407" s="76" t="s">
        <v>666</v>
      </c>
      <c r="C407" s="98"/>
      <c r="D407" s="98"/>
      <c r="E407" s="98"/>
      <c r="F407" s="98"/>
      <c r="G407" s="76" t="s">
        <v>673</v>
      </c>
      <c r="H407" s="76" t="s">
        <v>674</v>
      </c>
      <c r="I407" s="76"/>
      <c r="J407" s="76"/>
      <c r="K407" s="76"/>
      <c r="L407" s="76"/>
      <c r="M407" s="76"/>
      <c r="N407" s="75"/>
      <c r="O407" s="76" t="s">
        <v>54</v>
      </c>
      <c r="P407" s="76" t="s">
        <v>57</v>
      </c>
      <c r="Q407" s="77">
        <v>340</v>
      </c>
      <c r="R407" s="78"/>
      <c r="S407" s="78"/>
      <c r="T407" s="76">
        <v>160</v>
      </c>
      <c r="U407" s="76"/>
      <c r="V407" s="76"/>
      <c r="W407" s="76"/>
      <c r="X407" s="76"/>
      <c r="Y407" s="129"/>
      <c r="Z407" s="129"/>
      <c r="AA407" s="130"/>
      <c r="AB407" s="130"/>
      <c r="AC407" s="130"/>
    </row>
    <row r="408" spans="1:32" x14ac:dyDescent="0.25">
      <c r="A408" s="46"/>
      <c r="B408" s="76" t="s">
        <v>666</v>
      </c>
      <c r="C408" s="98"/>
      <c r="D408" s="98"/>
      <c r="E408" s="98"/>
      <c r="F408" s="98"/>
      <c r="G408" s="76" t="s">
        <v>675</v>
      </c>
      <c r="H408" s="76" t="s">
        <v>272</v>
      </c>
      <c r="I408" s="76"/>
      <c r="J408" s="76"/>
      <c r="K408" s="76"/>
      <c r="L408" s="76"/>
      <c r="M408" s="76"/>
      <c r="N408" s="75"/>
      <c r="O408" s="76" t="s">
        <v>54</v>
      </c>
      <c r="P408" s="76" t="s">
        <v>57</v>
      </c>
      <c r="Q408" s="77">
        <v>340</v>
      </c>
      <c r="R408" s="78"/>
      <c r="S408" s="78"/>
      <c r="T408" s="76">
        <v>160</v>
      </c>
      <c r="U408" s="76"/>
      <c r="V408" s="76"/>
      <c r="W408" s="76"/>
      <c r="X408" s="76"/>
      <c r="Y408" s="129"/>
      <c r="Z408" s="129"/>
      <c r="AA408" s="130"/>
      <c r="AB408" s="130"/>
      <c r="AC408" s="130"/>
    </row>
    <row r="409" spans="1:32" x14ac:dyDescent="0.25">
      <c r="A409" s="46"/>
      <c r="B409" s="76" t="s">
        <v>666</v>
      </c>
      <c r="C409" s="98"/>
      <c r="D409" s="98"/>
      <c r="E409" s="98"/>
      <c r="F409" s="98"/>
      <c r="G409" s="76" t="s">
        <v>676</v>
      </c>
      <c r="H409" s="76" t="s">
        <v>331</v>
      </c>
      <c r="I409" s="76"/>
      <c r="J409" s="76"/>
      <c r="K409" s="76"/>
      <c r="L409" s="76"/>
      <c r="M409" s="76"/>
      <c r="N409" s="75"/>
      <c r="O409" s="76" t="s">
        <v>75</v>
      </c>
      <c r="P409" s="76" t="s">
        <v>307</v>
      </c>
      <c r="Q409" s="77">
        <v>614</v>
      </c>
      <c r="R409" s="78"/>
      <c r="S409" s="78"/>
      <c r="T409" s="76">
        <v>160</v>
      </c>
      <c r="U409" s="76"/>
      <c r="V409" s="76"/>
      <c r="W409" s="76"/>
      <c r="X409" s="76"/>
      <c r="Y409" s="129"/>
      <c r="Z409" s="129"/>
      <c r="AA409" s="130"/>
      <c r="AB409" s="130"/>
      <c r="AC409" s="130"/>
    </row>
    <row r="410" spans="1:32" x14ac:dyDescent="0.25">
      <c r="B410" s="15">
        <v>45896</v>
      </c>
      <c r="C410" s="40">
        <v>2128.5</v>
      </c>
      <c r="D410" s="40">
        <v>0</v>
      </c>
      <c r="E410" s="40">
        <v>0</v>
      </c>
      <c r="F410" s="40">
        <v>0</v>
      </c>
      <c r="G410" s="99" t="s">
        <v>683</v>
      </c>
      <c r="H410" s="99" t="s">
        <v>684</v>
      </c>
      <c r="I410" s="100" t="s">
        <v>685</v>
      </c>
      <c r="J410" s="100" t="s">
        <v>686</v>
      </c>
      <c r="K410" s="100">
        <v>44.063547</v>
      </c>
      <c r="L410" s="100">
        <v>-98.314023000000006</v>
      </c>
      <c r="M410" s="100"/>
      <c r="N410" s="16" t="s">
        <v>687</v>
      </c>
      <c r="O410" s="14" t="s">
        <v>105</v>
      </c>
      <c r="P410" s="14" t="s">
        <v>304</v>
      </c>
      <c r="Q410" s="17">
        <v>516</v>
      </c>
      <c r="R410" s="15">
        <v>45814</v>
      </c>
      <c r="S410" s="15">
        <v>45896</v>
      </c>
      <c r="T410" s="14"/>
      <c r="U410" s="14" t="s">
        <v>145</v>
      </c>
      <c r="V410" s="14">
        <v>106</v>
      </c>
      <c r="W410" s="14">
        <v>37.6</v>
      </c>
      <c r="X410" s="14">
        <v>27.6</v>
      </c>
      <c r="Y410" s="36"/>
      <c r="Z410" s="11">
        <v>3</v>
      </c>
      <c r="AA410" s="128">
        <f t="shared" ref="AA410:AA411" si="38">V410*$AD$1</f>
        <v>130.01531724812946</v>
      </c>
      <c r="AB410" s="128">
        <f t="shared" ref="AB410:AB411" si="39">W410*$AE$1</f>
        <v>43.786126560441332</v>
      </c>
      <c r="AC410" s="128">
        <f t="shared" ref="AC410:AC411" si="40">X410*$AF$1</f>
        <v>32.435874809317092</v>
      </c>
    </row>
    <row r="411" spans="1:32" x14ac:dyDescent="0.25">
      <c r="B411" s="15">
        <v>45819</v>
      </c>
      <c r="C411" s="40">
        <v>1176</v>
      </c>
      <c r="D411" s="40">
        <v>1500</v>
      </c>
      <c r="E411" s="40">
        <v>0</v>
      </c>
      <c r="F411" s="40">
        <v>2676</v>
      </c>
      <c r="G411" s="99" t="s">
        <v>688</v>
      </c>
      <c r="H411" s="99" t="s">
        <v>665</v>
      </c>
      <c r="I411" s="100" t="s">
        <v>689</v>
      </c>
      <c r="J411" s="100" t="s">
        <v>310</v>
      </c>
      <c r="K411" s="100">
        <v>44.706671</v>
      </c>
      <c r="L411" s="100">
        <v>-103.572749</v>
      </c>
      <c r="M411" s="100"/>
      <c r="N411" s="16" t="s">
        <v>693</v>
      </c>
      <c r="O411" s="14" t="s">
        <v>54</v>
      </c>
      <c r="P411" s="14" t="s">
        <v>57</v>
      </c>
      <c r="Q411" s="17">
        <v>340</v>
      </c>
      <c r="R411" s="15">
        <v>45834</v>
      </c>
      <c r="S411" s="15">
        <v>45947</v>
      </c>
      <c r="T411" s="14">
        <v>46</v>
      </c>
      <c r="U411" s="14"/>
      <c r="V411" s="100">
        <v>21</v>
      </c>
      <c r="W411" s="100">
        <v>5.26</v>
      </c>
      <c r="X411" s="100">
        <v>3.9</v>
      </c>
      <c r="Y411" s="36"/>
      <c r="Z411" s="11">
        <v>3</v>
      </c>
      <c r="AA411" s="128">
        <f t="shared" si="38"/>
        <v>25.757751530289799</v>
      </c>
      <c r="AB411" s="128">
        <f t="shared" si="39"/>
        <v>6.1253996198915264</v>
      </c>
      <c r="AC411" s="128">
        <f t="shared" si="40"/>
        <v>4.5833301360991534</v>
      </c>
    </row>
    <row r="412" spans="1:32" x14ac:dyDescent="0.25">
      <c r="B412" s="15">
        <v>45764</v>
      </c>
      <c r="C412" s="152">
        <v>9300</v>
      </c>
      <c r="D412" s="152">
        <v>0</v>
      </c>
      <c r="E412" s="152">
        <v>10974.18</v>
      </c>
      <c r="F412" s="152">
        <v>20274.18</v>
      </c>
      <c r="G412" s="153" t="s">
        <v>646</v>
      </c>
      <c r="H412" s="153" t="s">
        <v>699</v>
      </c>
      <c r="I412" s="153" t="s">
        <v>702</v>
      </c>
      <c r="J412" s="100" t="s">
        <v>700</v>
      </c>
      <c r="K412" s="100">
        <v>44.319577000000002</v>
      </c>
      <c r="L412" s="100">
        <v>-97.239773999999997</v>
      </c>
      <c r="M412" s="100" t="s">
        <v>130</v>
      </c>
      <c r="N412" s="16" t="s">
        <v>701</v>
      </c>
      <c r="O412" s="14" t="s">
        <v>132</v>
      </c>
      <c r="P412" s="14" t="s">
        <v>133</v>
      </c>
      <c r="Q412" s="17"/>
      <c r="R412" s="15">
        <v>45870</v>
      </c>
      <c r="S412" s="15">
        <v>45966</v>
      </c>
      <c r="T412" s="14">
        <v>93</v>
      </c>
      <c r="U412" s="14"/>
      <c r="V412" s="14">
        <v>197</v>
      </c>
      <c r="W412" s="14">
        <v>67</v>
      </c>
      <c r="X412" s="14">
        <v>47</v>
      </c>
      <c r="Z412">
        <v>3</v>
      </c>
      <c r="AA412" s="127">
        <v>313</v>
      </c>
      <c r="AB412" s="127">
        <v>116</v>
      </c>
      <c r="AC412" s="127">
        <v>79</v>
      </c>
    </row>
    <row r="413" spans="1:32" x14ac:dyDescent="0.25">
      <c r="C413" s="154"/>
      <c r="D413" s="154"/>
      <c r="E413" s="154"/>
      <c r="F413" s="154"/>
      <c r="G413" s="6" t="s">
        <v>646</v>
      </c>
      <c r="H413" s="6" t="s">
        <v>699</v>
      </c>
      <c r="I413" s="6" t="s">
        <v>702</v>
      </c>
      <c r="J413" s="6" t="s">
        <v>700</v>
      </c>
      <c r="K413" s="6">
        <v>44.319577000000002</v>
      </c>
      <c r="L413" s="6">
        <v>-97.239773999999997</v>
      </c>
      <c r="M413" s="6" t="s">
        <v>130</v>
      </c>
      <c r="N413" s="4" t="s">
        <v>701</v>
      </c>
      <c r="O413" t="s">
        <v>54</v>
      </c>
      <c r="P413" t="s">
        <v>55</v>
      </c>
      <c r="Q413" s="5">
        <v>329</v>
      </c>
      <c r="R413" s="1">
        <v>45870</v>
      </c>
      <c r="S413" s="1">
        <v>45966</v>
      </c>
      <c r="T413">
        <v>93</v>
      </c>
      <c r="V413">
        <v>241</v>
      </c>
      <c r="W413">
        <v>101</v>
      </c>
      <c r="X413">
        <v>70</v>
      </c>
      <c r="Z413">
        <v>3</v>
      </c>
      <c r="AA413" s="124">
        <v>313</v>
      </c>
      <c r="AB413" s="124">
        <v>116</v>
      </c>
      <c r="AC413" s="124">
        <v>79</v>
      </c>
      <c r="AD413" s="38">
        <f>AVERAGE(AD66,AD70,AD148,AD262,AD362,AD365,AD390,AD398)</f>
        <v>1.2265595966804665</v>
      </c>
      <c r="AE413" s="38">
        <f>AVERAGE(AE66,AE70,AE148,AE262,AE362,AE365,AE390,AE398)</f>
        <v>1.1645246425649289</v>
      </c>
      <c r="AF413" s="38">
        <f>AVERAGE(AF66,AF70,AF148,AF262,AF362,AF365,AF390,AF398)</f>
        <v>1.1752128554100394</v>
      </c>
    </row>
    <row r="414" spans="1:32" x14ac:dyDescent="0.25">
      <c r="B414" s="15">
        <v>45926</v>
      </c>
      <c r="C414" s="152">
        <v>942.5</v>
      </c>
      <c r="D414" s="152"/>
      <c r="E414" s="152">
        <v>302.5</v>
      </c>
      <c r="F414" s="152">
        <v>1245</v>
      </c>
      <c r="G414" s="153" t="s">
        <v>704</v>
      </c>
      <c r="H414" s="153" t="s">
        <v>703</v>
      </c>
      <c r="I414" s="153" t="s">
        <v>706</v>
      </c>
      <c r="J414" s="14" t="s">
        <v>705</v>
      </c>
      <c r="K414" s="14">
        <v>43.143878999999998</v>
      </c>
      <c r="L414" s="14">
        <v>-97.353294000000005</v>
      </c>
      <c r="M414" s="14" t="s">
        <v>708</v>
      </c>
      <c r="N414" s="16" t="s">
        <v>707</v>
      </c>
      <c r="O414" s="14" t="s">
        <v>56</v>
      </c>
      <c r="P414" s="14" t="s">
        <v>57</v>
      </c>
      <c r="Q414" s="17">
        <v>340</v>
      </c>
      <c r="R414" s="15">
        <v>45870</v>
      </c>
      <c r="S414" s="15">
        <v>45926</v>
      </c>
      <c r="T414" s="14">
        <v>40</v>
      </c>
      <c r="U414" s="14"/>
      <c r="V414" s="14">
        <v>30</v>
      </c>
      <c r="W414" s="14">
        <v>7.26</v>
      </c>
      <c r="X414" s="14">
        <v>5.31</v>
      </c>
      <c r="Y414" s="132"/>
      <c r="Z414" s="14">
        <v>3</v>
      </c>
      <c r="AA414" s="134">
        <v>158</v>
      </c>
      <c r="AB414" s="134">
        <v>60</v>
      </c>
      <c r="AC414" s="134">
        <v>43</v>
      </c>
    </row>
    <row r="415" spans="1:32" x14ac:dyDescent="0.25">
      <c r="B415" s="11"/>
      <c r="C415" s="156"/>
      <c r="D415" s="156"/>
      <c r="E415" s="156"/>
      <c r="F415" s="156"/>
      <c r="G415" s="8" t="s">
        <v>704</v>
      </c>
      <c r="H415" s="8" t="s">
        <v>703</v>
      </c>
      <c r="I415" s="8" t="s">
        <v>706</v>
      </c>
      <c r="J415" s="39" t="s">
        <v>705</v>
      </c>
      <c r="K415" s="39">
        <v>43.143878999999998</v>
      </c>
      <c r="L415" s="39">
        <v>-97.353294000000005</v>
      </c>
      <c r="M415" s="39" t="s">
        <v>708</v>
      </c>
      <c r="N415" s="10" t="s">
        <v>707</v>
      </c>
      <c r="O415" s="11" t="s">
        <v>54</v>
      </c>
      <c r="P415" s="11" t="s">
        <v>55</v>
      </c>
      <c r="Q415" s="12">
        <v>329</v>
      </c>
      <c r="R415" s="13">
        <v>45870</v>
      </c>
      <c r="S415" s="13">
        <v>45926</v>
      </c>
      <c r="T415" s="11">
        <v>40</v>
      </c>
      <c r="U415" s="11"/>
      <c r="V415" s="11">
        <v>143</v>
      </c>
      <c r="W415" s="11">
        <v>59</v>
      </c>
      <c r="X415" s="11">
        <v>42</v>
      </c>
      <c r="Y415" s="36"/>
      <c r="Z415" s="11">
        <v>3</v>
      </c>
      <c r="AA415" s="39">
        <v>158</v>
      </c>
      <c r="AB415" s="39">
        <v>60</v>
      </c>
      <c r="AC415" s="39">
        <v>43</v>
      </c>
      <c r="AD415" s="38">
        <v>1.2265595966804665</v>
      </c>
      <c r="AE415" s="38">
        <v>1.1645246425649289</v>
      </c>
      <c r="AF415" s="38">
        <v>1.1752128554100394</v>
      </c>
    </row>
    <row r="416" spans="1:32" x14ac:dyDescent="0.25">
      <c r="B416" s="1">
        <v>45945</v>
      </c>
      <c r="C416" s="154">
        <v>4000</v>
      </c>
      <c r="D416" s="154"/>
      <c r="E416" s="154">
        <v>4600</v>
      </c>
      <c r="F416" s="154">
        <v>8600</v>
      </c>
      <c r="G416" s="155" t="s">
        <v>710</v>
      </c>
      <c r="H416" s="155" t="s">
        <v>709</v>
      </c>
      <c r="I416" s="155" t="s">
        <v>711</v>
      </c>
      <c r="J416" t="s">
        <v>80</v>
      </c>
      <c r="K416">
        <v>43.681514</v>
      </c>
      <c r="L416">
        <v>-96.661608999999999</v>
      </c>
      <c r="M416" t="s">
        <v>712</v>
      </c>
      <c r="N416" s="4" t="s">
        <v>713</v>
      </c>
      <c r="O416" s="14" t="s">
        <v>56</v>
      </c>
      <c r="P416" s="14" t="s">
        <v>57</v>
      </c>
      <c r="Q416" s="17">
        <v>340</v>
      </c>
      <c r="R416" s="1">
        <v>45853</v>
      </c>
      <c r="S416" s="1">
        <v>45904</v>
      </c>
      <c r="T416">
        <v>164</v>
      </c>
      <c r="V416">
        <v>169</v>
      </c>
      <c r="W416">
        <v>48</v>
      </c>
      <c r="X416">
        <v>36</v>
      </c>
      <c r="Z416">
        <v>3</v>
      </c>
      <c r="AA416" s="120">
        <v>1022</v>
      </c>
      <c r="AB416" s="120">
        <v>392</v>
      </c>
      <c r="AC416" s="120">
        <v>294</v>
      </c>
    </row>
    <row r="417" spans="1:32" x14ac:dyDescent="0.25">
      <c r="B417" s="11"/>
      <c r="C417" s="156"/>
      <c r="D417" s="156"/>
      <c r="E417" s="156"/>
      <c r="F417" s="156"/>
      <c r="G417" s="8" t="s">
        <v>710</v>
      </c>
      <c r="H417" s="8" t="s">
        <v>709</v>
      </c>
      <c r="I417" s="8" t="s">
        <v>711</v>
      </c>
      <c r="J417" s="39" t="s">
        <v>80</v>
      </c>
      <c r="K417" s="39">
        <v>43.681514</v>
      </c>
      <c r="L417" s="39">
        <v>-96.661608999999999</v>
      </c>
      <c r="M417" s="39" t="s">
        <v>712</v>
      </c>
      <c r="N417" s="143" t="s">
        <v>713</v>
      </c>
      <c r="O417" s="11" t="s">
        <v>54</v>
      </c>
      <c r="P417" s="11" t="s">
        <v>55</v>
      </c>
      <c r="Q417" s="12">
        <v>329</v>
      </c>
      <c r="R417" s="13">
        <v>45853</v>
      </c>
      <c r="S417" s="13">
        <v>45904</v>
      </c>
      <c r="T417" s="11">
        <v>164</v>
      </c>
      <c r="U417" s="11"/>
      <c r="V417" s="11">
        <v>951</v>
      </c>
      <c r="W417" s="11">
        <v>382</v>
      </c>
      <c r="X417" s="11">
        <v>286</v>
      </c>
      <c r="Y417" s="36"/>
      <c r="Z417" s="11">
        <v>3</v>
      </c>
      <c r="AA417" s="39">
        <v>1022</v>
      </c>
      <c r="AB417" s="39">
        <v>392</v>
      </c>
      <c r="AC417" s="39">
        <v>294</v>
      </c>
    </row>
    <row r="418" spans="1:32" x14ac:dyDescent="0.25">
      <c r="G418" s="155" t="s">
        <v>714</v>
      </c>
      <c r="H418" s="155" t="s">
        <v>640</v>
      </c>
      <c r="I418" s="155" t="s">
        <v>715</v>
      </c>
      <c r="J418" t="s">
        <v>518</v>
      </c>
      <c r="K418">
        <v>43.241253999999998</v>
      </c>
      <c r="L418">
        <v>-96.961027999999999</v>
      </c>
      <c r="M418" t="s">
        <v>100</v>
      </c>
      <c r="N418" s="4" t="s">
        <v>716</v>
      </c>
      <c r="O418" t="s">
        <v>83</v>
      </c>
      <c r="P418" t="s">
        <v>84</v>
      </c>
      <c r="Q418" s="5">
        <v>328</v>
      </c>
      <c r="R418" s="1">
        <v>45762</v>
      </c>
      <c r="S418" s="1">
        <v>45870</v>
      </c>
      <c r="T418">
        <v>33.36</v>
      </c>
      <c r="Z418">
        <v>3</v>
      </c>
      <c r="AA418" s="120">
        <v>100</v>
      </c>
      <c r="AB418" s="120">
        <v>38</v>
      </c>
      <c r="AC418" s="120">
        <v>26</v>
      </c>
    </row>
    <row r="419" spans="1:32" x14ac:dyDescent="0.25">
      <c r="G419" s="6" t="s">
        <v>714</v>
      </c>
      <c r="H419" s="6" t="s">
        <v>640</v>
      </c>
      <c r="I419" s="6" t="s">
        <v>715</v>
      </c>
      <c r="J419" s="38" t="s">
        <v>518</v>
      </c>
      <c r="K419" s="38">
        <v>43.241253999999998</v>
      </c>
      <c r="L419" s="38">
        <v>-96.961027999999999</v>
      </c>
      <c r="M419" s="38" t="s">
        <v>100</v>
      </c>
      <c r="N419" s="144" t="s">
        <v>716</v>
      </c>
      <c r="O419" t="s">
        <v>54</v>
      </c>
      <c r="P419" t="s">
        <v>55</v>
      </c>
      <c r="Q419" s="5">
        <v>329</v>
      </c>
      <c r="R419" s="1">
        <v>45762</v>
      </c>
      <c r="S419" s="1">
        <v>45870</v>
      </c>
      <c r="T419">
        <v>33.36</v>
      </c>
      <c r="V419">
        <v>88</v>
      </c>
      <c r="W419">
        <v>37</v>
      </c>
      <c r="X419">
        <v>25</v>
      </c>
      <c r="Z419">
        <v>3</v>
      </c>
      <c r="AA419" s="38">
        <v>100</v>
      </c>
      <c r="AB419" s="38">
        <v>38</v>
      </c>
      <c r="AC419" s="38">
        <v>26</v>
      </c>
    </row>
    <row r="420" spans="1:32" x14ac:dyDescent="0.25">
      <c r="B420" s="1">
        <v>45734</v>
      </c>
      <c r="C420" s="154">
        <v>1334.4</v>
      </c>
      <c r="D420" s="154"/>
      <c r="E420" s="154">
        <v>1414.8</v>
      </c>
      <c r="F420" s="154">
        <v>2749.2</v>
      </c>
      <c r="G420" s="6" t="s">
        <v>714</v>
      </c>
      <c r="H420" s="6" t="s">
        <v>640</v>
      </c>
      <c r="I420" s="6" t="s">
        <v>715</v>
      </c>
      <c r="J420" s="38" t="s">
        <v>518</v>
      </c>
      <c r="K420" s="38">
        <v>43.241253999999998</v>
      </c>
      <c r="L420" s="38">
        <v>-96.961027999999999</v>
      </c>
      <c r="M420" s="38" t="s">
        <v>100</v>
      </c>
      <c r="N420" s="144" t="s">
        <v>716</v>
      </c>
      <c r="O420" t="s">
        <v>56</v>
      </c>
      <c r="P420" t="s">
        <v>57</v>
      </c>
      <c r="Q420" s="5">
        <v>340</v>
      </c>
      <c r="R420" s="1">
        <v>45870</v>
      </c>
      <c r="S420" s="1">
        <v>45901</v>
      </c>
      <c r="T420">
        <v>33.36</v>
      </c>
      <c r="V420">
        <v>22</v>
      </c>
      <c r="W420">
        <v>4.54</v>
      </c>
      <c r="X420">
        <v>3.17</v>
      </c>
      <c r="Z420">
        <v>3</v>
      </c>
      <c r="AA420" s="38">
        <v>100</v>
      </c>
      <c r="AB420" s="38">
        <v>38</v>
      </c>
      <c r="AC420" s="38">
        <v>26</v>
      </c>
    </row>
    <row r="421" spans="1:32" x14ac:dyDescent="0.25">
      <c r="B421" s="11"/>
      <c r="C421" s="32"/>
      <c r="D421" s="32"/>
      <c r="E421" s="32"/>
      <c r="F421" s="32"/>
      <c r="G421" s="8" t="s">
        <v>714</v>
      </c>
      <c r="H421" s="8" t="s">
        <v>640</v>
      </c>
      <c r="I421" s="8" t="s">
        <v>715</v>
      </c>
      <c r="J421" s="39" t="s">
        <v>518</v>
      </c>
      <c r="K421" s="39">
        <v>43.241253999999998</v>
      </c>
      <c r="L421" s="39">
        <v>-96.961027999999999</v>
      </c>
      <c r="M421" s="39" t="s">
        <v>100</v>
      </c>
      <c r="N421" s="143" t="s">
        <v>716</v>
      </c>
      <c r="O421" s="11" t="s">
        <v>105</v>
      </c>
      <c r="P421" s="11" t="s">
        <v>741</v>
      </c>
      <c r="Q421" s="12">
        <v>528</v>
      </c>
      <c r="R421" s="13">
        <v>45931</v>
      </c>
      <c r="S421" s="13">
        <v>45961</v>
      </c>
      <c r="T421" s="11">
        <v>33.36</v>
      </c>
      <c r="U421" s="11"/>
      <c r="V421" s="11"/>
      <c r="W421" s="11"/>
      <c r="X421" s="11"/>
      <c r="Y421" s="11"/>
      <c r="Z421" s="11">
        <v>3</v>
      </c>
      <c r="AA421" s="39">
        <v>100</v>
      </c>
      <c r="AB421" s="39">
        <v>38</v>
      </c>
      <c r="AC421" s="39">
        <v>26</v>
      </c>
    </row>
    <row r="422" spans="1:32" x14ac:dyDescent="0.25">
      <c r="B422" s="1">
        <v>45938</v>
      </c>
      <c r="C422" s="154">
        <v>2048.75</v>
      </c>
      <c r="D422" s="154"/>
      <c r="E422" s="154">
        <v>2048.75</v>
      </c>
      <c r="F422" s="154">
        <v>4097.5</v>
      </c>
      <c r="G422" s="155" t="s">
        <v>717</v>
      </c>
      <c r="H422" s="155" t="s">
        <v>452</v>
      </c>
      <c r="I422" s="155" t="s">
        <v>718</v>
      </c>
      <c r="J422" t="s">
        <v>719</v>
      </c>
      <c r="K422">
        <v>43.555801000000002</v>
      </c>
      <c r="L422">
        <v>-96.499893999999998</v>
      </c>
      <c r="M422" t="s">
        <v>81</v>
      </c>
      <c r="N422" s="4" t="s">
        <v>720</v>
      </c>
      <c r="O422" t="s">
        <v>56</v>
      </c>
      <c r="P422" t="s">
        <v>57</v>
      </c>
      <c r="Q422" s="5">
        <v>340</v>
      </c>
      <c r="R422" s="1">
        <v>45854</v>
      </c>
      <c r="S422" s="1">
        <v>45910</v>
      </c>
      <c r="T422">
        <v>110</v>
      </c>
      <c r="V422">
        <v>120</v>
      </c>
      <c r="W422">
        <v>34</v>
      </c>
      <c r="X422">
        <v>26</v>
      </c>
      <c r="Y422"/>
      <c r="Z422">
        <v>3</v>
      </c>
      <c r="AA422" s="120">
        <v>721</v>
      </c>
      <c r="AB422" s="120">
        <v>277</v>
      </c>
      <c r="AC422" s="120">
        <v>207</v>
      </c>
    </row>
    <row r="423" spans="1:32" x14ac:dyDescent="0.25">
      <c r="B423" s="11"/>
      <c r="C423" s="32"/>
      <c r="D423" s="32"/>
      <c r="E423" s="32"/>
      <c r="F423" s="32"/>
      <c r="G423" s="8" t="s">
        <v>717</v>
      </c>
      <c r="H423" s="8" t="s">
        <v>452</v>
      </c>
      <c r="I423" s="8" t="s">
        <v>718</v>
      </c>
      <c r="J423" s="39" t="s">
        <v>719</v>
      </c>
      <c r="K423" s="39">
        <v>43.555801000000002</v>
      </c>
      <c r="L423" s="39">
        <v>-96.499893999999998</v>
      </c>
      <c r="M423" s="39" t="s">
        <v>81</v>
      </c>
      <c r="N423" s="143" t="s">
        <v>720</v>
      </c>
      <c r="O423" s="11" t="s">
        <v>54</v>
      </c>
      <c r="P423" s="11" t="s">
        <v>55</v>
      </c>
      <c r="Q423" s="12">
        <v>329</v>
      </c>
      <c r="R423" s="13">
        <v>45854</v>
      </c>
      <c r="S423" s="13">
        <v>45910</v>
      </c>
      <c r="T423" s="11">
        <v>110</v>
      </c>
      <c r="U423" s="11"/>
      <c r="V423" s="11">
        <v>671</v>
      </c>
      <c r="W423" s="11">
        <v>270</v>
      </c>
      <c r="X423" s="11">
        <v>202</v>
      </c>
      <c r="Y423" s="11"/>
      <c r="Z423" s="11">
        <v>3</v>
      </c>
      <c r="AA423" s="39">
        <v>721</v>
      </c>
      <c r="AB423" s="39">
        <v>277</v>
      </c>
      <c r="AC423" s="39">
        <v>207</v>
      </c>
    </row>
    <row r="424" spans="1:32" s="41" customFormat="1" x14ac:dyDescent="0.25">
      <c r="B424" s="148">
        <v>45748</v>
      </c>
      <c r="C424" s="154">
        <v>4000</v>
      </c>
      <c r="D424" s="154"/>
      <c r="E424" s="154">
        <v>5037.5</v>
      </c>
      <c r="F424" s="154">
        <v>9037.5</v>
      </c>
      <c r="G424" s="155" t="s">
        <v>721</v>
      </c>
      <c r="H424" s="155" t="s">
        <v>272</v>
      </c>
      <c r="I424" s="155" t="s">
        <v>722</v>
      </c>
      <c r="J424" s="41" t="s">
        <v>376</v>
      </c>
      <c r="K424" s="41">
        <v>43.714638999999998</v>
      </c>
      <c r="L424" s="41">
        <v>-97.413482000000002</v>
      </c>
      <c r="M424" s="41" t="s">
        <v>203</v>
      </c>
      <c r="N424" s="146" t="s">
        <v>723</v>
      </c>
      <c r="O424" t="s">
        <v>56</v>
      </c>
      <c r="P424" t="s">
        <v>57</v>
      </c>
      <c r="Q424" s="5">
        <v>340</v>
      </c>
      <c r="R424" s="148">
        <v>45748</v>
      </c>
      <c r="S424" s="148">
        <v>45894</v>
      </c>
      <c r="T424" s="41">
        <v>160</v>
      </c>
      <c r="V424" s="41">
        <v>88</v>
      </c>
      <c r="W424" s="41">
        <v>17</v>
      </c>
      <c r="X424" s="41">
        <v>11</v>
      </c>
      <c r="Y424" s="147"/>
      <c r="Z424" s="41">
        <v>3</v>
      </c>
      <c r="AA424" s="120">
        <v>690</v>
      </c>
      <c r="AB424" s="120">
        <v>252</v>
      </c>
      <c r="AC424" s="120">
        <v>163</v>
      </c>
    </row>
    <row r="425" spans="1:32" s="41" customFormat="1" x14ac:dyDescent="0.25">
      <c r="C425" s="145"/>
      <c r="D425" s="145"/>
      <c r="E425" s="145"/>
      <c r="F425" s="145"/>
      <c r="G425" s="6" t="s">
        <v>721</v>
      </c>
      <c r="H425" s="6" t="s">
        <v>272</v>
      </c>
      <c r="I425" s="6" t="s">
        <v>722</v>
      </c>
      <c r="J425" s="38" t="s">
        <v>376</v>
      </c>
      <c r="K425" s="38">
        <v>43.714638999999998</v>
      </c>
      <c r="L425" s="38">
        <v>-97.413482000000002</v>
      </c>
      <c r="M425" s="38" t="s">
        <v>203</v>
      </c>
      <c r="N425" s="146" t="s">
        <v>723</v>
      </c>
      <c r="O425" t="s">
        <v>105</v>
      </c>
      <c r="P425" s="11" t="s">
        <v>741</v>
      </c>
      <c r="Q425" s="12">
        <v>528</v>
      </c>
      <c r="R425" s="148">
        <v>45901</v>
      </c>
      <c r="S425" s="148">
        <v>45961</v>
      </c>
      <c r="T425" s="41">
        <v>160</v>
      </c>
      <c r="Y425" s="147"/>
      <c r="Z425" s="41">
        <v>3</v>
      </c>
      <c r="AA425" s="38">
        <v>690</v>
      </c>
      <c r="AB425" s="38">
        <v>252</v>
      </c>
      <c r="AC425" s="38">
        <v>163</v>
      </c>
    </row>
    <row r="426" spans="1:32" s="41" customFormat="1" x14ac:dyDescent="0.25">
      <c r="C426" s="145"/>
      <c r="D426" s="145"/>
      <c r="E426" s="145"/>
      <c r="F426" s="145"/>
      <c r="G426" s="6" t="s">
        <v>721</v>
      </c>
      <c r="H426" s="6" t="s">
        <v>272</v>
      </c>
      <c r="I426" s="6" t="s">
        <v>722</v>
      </c>
      <c r="J426" s="38" t="s">
        <v>376</v>
      </c>
      <c r="K426" s="38">
        <v>43.714638999999998</v>
      </c>
      <c r="L426" s="38">
        <v>-97.413482000000002</v>
      </c>
      <c r="M426" s="38" t="s">
        <v>203</v>
      </c>
      <c r="N426" s="146" t="s">
        <v>723</v>
      </c>
      <c r="O426" t="s">
        <v>54</v>
      </c>
      <c r="P426" t="s">
        <v>55</v>
      </c>
      <c r="Q426" s="5">
        <v>329</v>
      </c>
      <c r="R426" s="148">
        <v>46143</v>
      </c>
      <c r="S426" s="148">
        <v>46172</v>
      </c>
      <c r="T426" s="41">
        <v>160</v>
      </c>
      <c r="V426" s="41">
        <v>323</v>
      </c>
      <c r="W426" s="41">
        <v>139</v>
      </c>
      <c r="X426" s="41">
        <v>91</v>
      </c>
      <c r="Y426" s="147"/>
      <c r="Z426" s="41">
        <v>3</v>
      </c>
      <c r="AA426" s="38">
        <v>690</v>
      </c>
      <c r="AB426" s="38">
        <v>252</v>
      </c>
      <c r="AC426" s="38">
        <v>163</v>
      </c>
    </row>
    <row r="427" spans="1:32" x14ac:dyDescent="0.25">
      <c r="B427" s="13">
        <v>45748</v>
      </c>
      <c r="C427" s="156">
        <v>12600</v>
      </c>
      <c r="D427" s="156"/>
      <c r="E427" s="156">
        <v>8400</v>
      </c>
      <c r="F427" s="156">
        <v>21000</v>
      </c>
      <c r="G427" s="157" t="s">
        <v>721</v>
      </c>
      <c r="H427" s="157" t="s">
        <v>272</v>
      </c>
      <c r="I427" s="157" t="s">
        <v>722</v>
      </c>
      <c r="J427" s="141" t="s">
        <v>376</v>
      </c>
      <c r="K427" s="11">
        <v>43.706769000000001</v>
      </c>
      <c r="L427" s="11">
        <v>-97.422228000000004</v>
      </c>
      <c r="M427" s="141" t="s">
        <v>203</v>
      </c>
      <c r="N427" s="10" t="s">
        <v>724</v>
      </c>
      <c r="O427" s="11" t="s">
        <v>132</v>
      </c>
      <c r="P427" s="11" t="s">
        <v>133</v>
      </c>
      <c r="Q427" s="12"/>
      <c r="R427" s="149">
        <v>45748</v>
      </c>
      <c r="S427" s="149">
        <v>45752</v>
      </c>
      <c r="T427" s="11">
        <v>105</v>
      </c>
      <c r="U427" s="11"/>
      <c r="V427" s="11">
        <v>187</v>
      </c>
      <c r="W427" s="11">
        <v>62</v>
      </c>
      <c r="X427" s="11">
        <v>91</v>
      </c>
      <c r="Y427" s="36"/>
      <c r="Z427" s="11">
        <v>3</v>
      </c>
      <c r="AA427" s="39">
        <v>690</v>
      </c>
      <c r="AB427" s="39">
        <v>252</v>
      </c>
      <c r="AC427" s="39">
        <v>163</v>
      </c>
    </row>
    <row r="428" spans="1:32" s="41" customFormat="1" x14ac:dyDescent="0.25">
      <c r="B428" s="148">
        <v>45933</v>
      </c>
      <c r="C428" s="154">
        <v>2498.52</v>
      </c>
      <c r="D428" s="154"/>
      <c r="E428" s="154">
        <v>2498.52</v>
      </c>
      <c r="F428" s="154">
        <v>4997.04</v>
      </c>
      <c r="G428" s="155" t="s">
        <v>726</v>
      </c>
      <c r="H428" s="155" t="s">
        <v>725</v>
      </c>
      <c r="I428" s="155" t="s">
        <v>727</v>
      </c>
      <c r="J428" s="41" t="s">
        <v>69</v>
      </c>
      <c r="K428" s="41">
        <v>43.494835999999999</v>
      </c>
      <c r="L428" s="41">
        <v>-98.247945000000001</v>
      </c>
      <c r="M428" s="41" t="s">
        <v>64</v>
      </c>
      <c r="N428" s="146" t="s">
        <v>728</v>
      </c>
      <c r="O428" t="s">
        <v>54</v>
      </c>
      <c r="P428" t="s">
        <v>55</v>
      </c>
      <c r="Q428" s="5">
        <v>329</v>
      </c>
      <c r="R428" s="148">
        <v>45884</v>
      </c>
      <c r="S428" s="148">
        <v>45930</v>
      </c>
      <c r="T428" s="41">
        <v>140</v>
      </c>
      <c r="V428" s="41">
        <v>222</v>
      </c>
      <c r="W428" s="41">
        <v>99</v>
      </c>
      <c r="X428" s="41">
        <v>60</v>
      </c>
      <c r="Y428" s="147"/>
      <c r="Z428" s="41">
        <v>3</v>
      </c>
      <c r="AA428" s="120">
        <v>266</v>
      </c>
      <c r="AB428" s="120">
        <v>101</v>
      </c>
      <c r="AC428" s="120">
        <v>62</v>
      </c>
    </row>
    <row r="429" spans="1:32" x14ac:dyDescent="0.25">
      <c r="B429" s="11"/>
      <c r="C429" s="32"/>
      <c r="D429" s="32"/>
      <c r="E429" s="32"/>
      <c r="F429" s="32"/>
      <c r="G429" s="8" t="s">
        <v>726</v>
      </c>
      <c r="H429" s="8" t="s">
        <v>725</v>
      </c>
      <c r="I429" s="8" t="s">
        <v>727</v>
      </c>
      <c r="J429" s="39" t="s">
        <v>69</v>
      </c>
      <c r="K429" s="39">
        <v>43.494835999999999</v>
      </c>
      <c r="L429" s="39">
        <v>-98.247945000000001</v>
      </c>
      <c r="M429" s="39" t="s">
        <v>64</v>
      </c>
      <c r="N429" s="10" t="s">
        <v>728</v>
      </c>
      <c r="O429" s="11" t="s">
        <v>56</v>
      </c>
      <c r="P429" s="11" t="s">
        <v>57</v>
      </c>
      <c r="Q429" s="12">
        <v>340</v>
      </c>
      <c r="R429" s="149">
        <v>45884</v>
      </c>
      <c r="S429" s="149">
        <v>45930</v>
      </c>
      <c r="T429" s="141">
        <v>140</v>
      </c>
      <c r="U429" s="11"/>
      <c r="V429" s="11">
        <v>69</v>
      </c>
      <c r="W429" s="11">
        <v>12</v>
      </c>
      <c r="X429" s="11">
        <v>7.65</v>
      </c>
      <c r="Y429" s="36"/>
      <c r="Z429" s="141">
        <v>3</v>
      </c>
      <c r="AA429" s="38">
        <v>266</v>
      </c>
      <c r="AB429" s="38">
        <v>101</v>
      </c>
      <c r="AC429" s="38">
        <v>62</v>
      </c>
    </row>
    <row r="430" spans="1:32" s="53" customFormat="1" x14ac:dyDescent="0.25">
      <c r="A430" s="46"/>
      <c r="B430" s="46" t="s">
        <v>76</v>
      </c>
      <c r="C430" s="47"/>
      <c r="D430" s="47"/>
      <c r="E430" s="47"/>
      <c r="F430" s="47"/>
      <c r="G430" s="48" t="s">
        <v>366</v>
      </c>
      <c r="H430" s="48" t="s">
        <v>367</v>
      </c>
      <c r="I430" s="48" t="s">
        <v>368</v>
      </c>
      <c r="J430" s="48" t="s">
        <v>69</v>
      </c>
      <c r="K430" s="48">
        <v>43.783549999999998</v>
      </c>
      <c r="L430" s="48">
        <v>-98.135919999999999</v>
      </c>
      <c r="M430" s="48" t="s">
        <v>189</v>
      </c>
      <c r="N430" s="50" t="s">
        <v>144</v>
      </c>
      <c r="O430" s="46" t="s">
        <v>54</v>
      </c>
      <c r="P430" s="46" t="s">
        <v>55</v>
      </c>
      <c r="Q430" s="51">
        <v>329</v>
      </c>
      <c r="R430" s="52">
        <v>44287</v>
      </c>
      <c r="S430" s="52">
        <v>44409</v>
      </c>
      <c r="T430" s="46"/>
      <c r="U430" s="46" t="s">
        <v>145</v>
      </c>
      <c r="V430" s="46">
        <v>887</v>
      </c>
      <c r="W430" s="46">
        <v>109</v>
      </c>
      <c r="X430" s="46">
        <v>49</v>
      </c>
      <c r="Y430" s="137"/>
      <c r="Z430" s="76">
        <v>2</v>
      </c>
      <c r="AA430" s="133">
        <v>1723.3162333360556</v>
      </c>
      <c r="AB430" s="133">
        <v>444.84841345980283</v>
      </c>
      <c r="AC430" s="133">
        <v>227.99129394954764</v>
      </c>
      <c r="AD430" s="29"/>
      <c r="AE430" s="29"/>
      <c r="AF430" s="29"/>
    </row>
    <row r="431" spans="1:32" s="53" customFormat="1" x14ac:dyDescent="0.25">
      <c r="A431" s="46"/>
      <c r="B431" s="38" t="s">
        <v>76</v>
      </c>
      <c r="C431" s="82"/>
      <c r="D431" s="82"/>
      <c r="E431" s="82"/>
      <c r="F431" s="82"/>
      <c r="G431" s="6" t="s">
        <v>366</v>
      </c>
      <c r="H431" s="6" t="s">
        <v>367</v>
      </c>
      <c r="I431" s="6" t="s">
        <v>368</v>
      </c>
      <c r="J431" s="6" t="s">
        <v>69</v>
      </c>
      <c r="K431" s="6">
        <v>43.783549999999998</v>
      </c>
      <c r="L431" s="6">
        <v>-98.135919999999999</v>
      </c>
      <c r="M431" s="6" t="s">
        <v>189</v>
      </c>
      <c r="N431" s="50" t="s">
        <v>144</v>
      </c>
      <c r="O431" s="46" t="s">
        <v>56</v>
      </c>
      <c r="P431" s="46" t="s">
        <v>57</v>
      </c>
      <c r="Q431" s="51">
        <v>340</v>
      </c>
      <c r="R431" s="52">
        <v>44287</v>
      </c>
      <c r="S431" s="52">
        <v>44409</v>
      </c>
      <c r="T431" s="46"/>
      <c r="U431" s="46" t="s">
        <v>145</v>
      </c>
      <c r="V431" s="46">
        <v>1405</v>
      </c>
      <c r="W431" s="46">
        <v>382</v>
      </c>
      <c r="X431" s="46">
        <v>194</v>
      </c>
      <c r="Z431" s="46">
        <v>2</v>
      </c>
      <c r="AA431" s="124">
        <f>V431*$AD$1</f>
        <v>1723.3162333360556</v>
      </c>
      <c r="AB431" s="124">
        <f>W431*$AE$1</f>
        <v>444.84841345980283</v>
      </c>
      <c r="AC431" s="124">
        <f>X431*$AF$1</f>
        <v>227.99129394954764</v>
      </c>
      <c r="AD431" s="29"/>
      <c r="AE431" s="29"/>
      <c r="AF431" s="29"/>
    </row>
    <row r="432" spans="1:32" s="41" customFormat="1" x14ac:dyDescent="0.25">
      <c r="C432" s="145"/>
      <c r="D432" s="145"/>
      <c r="E432" s="145"/>
      <c r="F432" s="145"/>
      <c r="G432" s="155"/>
      <c r="H432" s="155"/>
      <c r="I432" s="158"/>
      <c r="N432" s="146" t="s">
        <v>729</v>
      </c>
      <c r="O432" s="41" t="s">
        <v>54</v>
      </c>
      <c r="P432" s="41" t="s">
        <v>55</v>
      </c>
      <c r="Q432" s="150">
        <v>329</v>
      </c>
      <c r="R432" s="148">
        <v>45905</v>
      </c>
      <c r="S432" s="148">
        <v>45923</v>
      </c>
      <c r="T432" s="41">
        <v>219</v>
      </c>
      <c r="V432" s="41">
        <v>253</v>
      </c>
      <c r="W432" s="41">
        <v>116</v>
      </c>
      <c r="X432" s="41">
        <v>66</v>
      </c>
      <c r="Y432" s="147"/>
      <c r="Z432" s="41">
        <v>3</v>
      </c>
      <c r="AA432" s="38">
        <v>314</v>
      </c>
      <c r="AB432" s="38">
        <v>120</v>
      </c>
      <c r="AC432" s="38">
        <v>68</v>
      </c>
    </row>
    <row r="433" spans="1:29" x14ac:dyDescent="0.25">
      <c r="A433" t="s">
        <v>731</v>
      </c>
      <c r="B433" s="13">
        <v>45923</v>
      </c>
      <c r="C433" s="156">
        <v>1435.2</v>
      </c>
      <c r="D433" s="156">
        <v>529.23</v>
      </c>
      <c r="E433" s="156">
        <v>1964.43</v>
      </c>
      <c r="F433" s="156">
        <v>3928.86</v>
      </c>
      <c r="G433" s="157" t="s">
        <v>366</v>
      </c>
      <c r="H433" s="157" t="s">
        <v>367</v>
      </c>
      <c r="I433" s="157" t="s">
        <v>368</v>
      </c>
      <c r="J433" s="159" t="s">
        <v>69</v>
      </c>
      <c r="K433" s="159">
        <v>43.876582999999997</v>
      </c>
      <c r="L433" s="159">
        <v>-98.079085000000006</v>
      </c>
      <c r="M433" s="159" t="s">
        <v>189</v>
      </c>
      <c r="N433" s="151" t="s">
        <v>729</v>
      </c>
      <c r="O433" s="11" t="s">
        <v>56</v>
      </c>
      <c r="P433" s="11" t="s">
        <v>57</v>
      </c>
      <c r="Q433" s="12">
        <v>340</v>
      </c>
      <c r="R433" s="149">
        <v>45905</v>
      </c>
      <c r="S433" s="149">
        <v>45923</v>
      </c>
      <c r="T433" s="141">
        <v>219</v>
      </c>
      <c r="U433" s="11"/>
      <c r="V433" s="11">
        <v>91</v>
      </c>
      <c r="W433" s="11">
        <v>14</v>
      </c>
      <c r="X433" s="11">
        <v>8.3800000000000008</v>
      </c>
      <c r="Y433" s="36"/>
      <c r="Z433" s="11">
        <v>3</v>
      </c>
      <c r="AA433" s="160">
        <v>314</v>
      </c>
      <c r="AB433" s="160">
        <v>120</v>
      </c>
      <c r="AC433" s="160">
        <v>68</v>
      </c>
    </row>
    <row r="434" spans="1:29" x14ac:dyDescent="0.25">
      <c r="G434" s="158" t="s">
        <v>732</v>
      </c>
      <c r="H434" s="158" t="s">
        <v>733</v>
      </c>
      <c r="I434" s="158" t="s">
        <v>734</v>
      </c>
      <c r="J434" t="s">
        <v>735</v>
      </c>
      <c r="K434">
        <v>43.191974999999999</v>
      </c>
      <c r="L434">
        <v>-96.535512999999995</v>
      </c>
      <c r="M434" t="s">
        <v>737</v>
      </c>
      <c r="N434" s="4" t="s">
        <v>736</v>
      </c>
      <c r="O434" t="s">
        <v>54</v>
      </c>
      <c r="P434" t="s">
        <v>55</v>
      </c>
      <c r="Q434" s="5">
        <v>329</v>
      </c>
      <c r="R434" s="1">
        <v>45925</v>
      </c>
      <c r="S434" s="1">
        <v>45965</v>
      </c>
      <c r="T434" s="41">
        <v>83</v>
      </c>
      <c r="V434">
        <v>524</v>
      </c>
      <c r="W434">
        <v>210</v>
      </c>
      <c r="X434">
        <v>158</v>
      </c>
      <c r="Z434">
        <v>3</v>
      </c>
      <c r="AA434" s="120">
        <v>543</v>
      </c>
      <c r="AB434" s="120">
        <v>213</v>
      </c>
      <c r="AC434" s="120">
        <v>160</v>
      </c>
    </row>
    <row r="435" spans="1:29" x14ac:dyDescent="0.25">
      <c r="B435" s="13">
        <v>45965</v>
      </c>
      <c r="C435" s="156">
        <v>1259.8599999999999</v>
      </c>
      <c r="D435" s="156"/>
      <c r="E435" s="156">
        <v>1259.8599999999999</v>
      </c>
      <c r="F435" s="156">
        <v>2519.71</v>
      </c>
      <c r="G435" s="39" t="s">
        <v>732</v>
      </c>
      <c r="H435" s="39" t="s">
        <v>733</v>
      </c>
      <c r="I435" s="39" t="s">
        <v>734</v>
      </c>
      <c r="J435" s="39" t="s">
        <v>735</v>
      </c>
      <c r="K435" s="39">
        <v>43.191974999999999</v>
      </c>
      <c r="L435" s="39">
        <v>-96.535512999999995</v>
      </c>
      <c r="M435" s="39" t="s">
        <v>737</v>
      </c>
      <c r="N435" s="10" t="s">
        <v>736</v>
      </c>
      <c r="O435" s="11" t="s">
        <v>56</v>
      </c>
      <c r="P435" s="11" t="s">
        <v>57</v>
      </c>
      <c r="Q435" s="12">
        <v>340</v>
      </c>
      <c r="R435" s="13">
        <v>45925</v>
      </c>
      <c r="S435" s="13">
        <v>45965</v>
      </c>
      <c r="T435" s="141">
        <v>83</v>
      </c>
      <c r="U435" s="11"/>
      <c r="V435" s="11">
        <v>93</v>
      </c>
      <c r="W435" s="11">
        <v>26</v>
      </c>
      <c r="X435" s="11">
        <v>20</v>
      </c>
      <c r="Y435" s="36"/>
      <c r="Z435" s="11">
        <v>3</v>
      </c>
      <c r="AA435" s="39">
        <v>543</v>
      </c>
      <c r="AB435" s="39">
        <v>213</v>
      </c>
      <c r="AC435" s="39">
        <v>160</v>
      </c>
    </row>
    <row r="436" spans="1:29" x14ac:dyDescent="0.25">
      <c r="G436" s="158" t="s">
        <v>732</v>
      </c>
      <c r="H436" s="158" t="s">
        <v>738</v>
      </c>
      <c r="I436" s="158" t="s">
        <v>739</v>
      </c>
      <c r="J436" t="s">
        <v>735</v>
      </c>
      <c r="K436">
        <v>43.123348</v>
      </c>
      <c r="L436">
        <v>-96.659215000000003</v>
      </c>
      <c r="M436" t="s">
        <v>418</v>
      </c>
      <c r="N436" s="4" t="s">
        <v>740</v>
      </c>
      <c r="O436" t="s">
        <v>54</v>
      </c>
      <c r="P436" t="s">
        <v>55</v>
      </c>
      <c r="Q436" s="5">
        <v>329</v>
      </c>
      <c r="R436" s="1">
        <v>45925</v>
      </c>
      <c r="S436" s="1">
        <v>45965</v>
      </c>
      <c r="T436" s="41">
        <v>65</v>
      </c>
      <c r="V436">
        <v>384</v>
      </c>
      <c r="W436">
        <v>155</v>
      </c>
      <c r="X436">
        <v>115</v>
      </c>
      <c r="Z436">
        <v>3</v>
      </c>
      <c r="AA436" s="120">
        <v>399</v>
      </c>
      <c r="AB436" s="120">
        <v>157</v>
      </c>
      <c r="AC436" s="120">
        <v>117</v>
      </c>
    </row>
    <row r="437" spans="1:29" x14ac:dyDescent="0.25">
      <c r="B437" s="13">
        <v>45965</v>
      </c>
      <c r="C437" s="156">
        <v>984.59</v>
      </c>
      <c r="D437" s="156"/>
      <c r="E437" s="156">
        <v>984.59</v>
      </c>
      <c r="F437" s="156">
        <v>1969.18</v>
      </c>
      <c r="G437" s="39" t="s">
        <v>732</v>
      </c>
      <c r="H437" s="39" t="s">
        <v>738</v>
      </c>
      <c r="I437" s="39" t="s">
        <v>739</v>
      </c>
      <c r="J437" s="39" t="s">
        <v>735</v>
      </c>
      <c r="K437" s="39">
        <v>43.123348</v>
      </c>
      <c r="L437" s="39">
        <v>-96.659215000000003</v>
      </c>
      <c r="M437" s="39" t="s">
        <v>418</v>
      </c>
      <c r="N437" s="10" t="s">
        <v>740</v>
      </c>
      <c r="O437" s="11" t="s">
        <v>56</v>
      </c>
      <c r="P437" s="11" t="s">
        <v>57</v>
      </c>
      <c r="Q437" s="12">
        <v>340</v>
      </c>
      <c r="R437" s="13">
        <v>45925</v>
      </c>
      <c r="S437" s="13">
        <v>45965</v>
      </c>
      <c r="T437" s="141">
        <v>65</v>
      </c>
      <c r="U437" s="11"/>
      <c r="V437" s="11">
        <v>70</v>
      </c>
      <c r="W437" s="11">
        <v>19</v>
      </c>
      <c r="X437" s="11">
        <v>15</v>
      </c>
      <c r="Y437" s="36"/>
      <c r="Z437" s="11">
        <v>3</v>
      </c>
      <c r="AA437" s="39">
        <v>399</v>
      </c>
      <c r="AB437" s="39">
        <v>157</v>
      </c>
      <c r="AC437" s="39">
        <v>117</v>
      </c>
    </row>
    <row r="438" spans="1:29" s="28" customFormat="1" x14ac:dyDescent="0.25">
      <c r="A438" s="161"/>
      <c r="G438" s="162" t="s">
        <v>742</v>
      </c>
      <c r="H438" s="162" t="s">
        <v>261</v>
      </c>
      <c r="I438" s="162" t="s">
        <v>491</v>
      </c>
      <c r="J438" s="162" t="s">
        <v>492</v>
      </c>
      <c r="K438" s="162">
        <v>42.988413999999999</v>
      </c>
      <c r="L438" s="162">
        <v>-97.539907999999997</v>
      </c>
      <c r="M438" s="162" t="s">
        <v>137</v>
      </c>
      <c r="N438" s="163" t="s">
        <v>493</v>
      </c>
      <c r="O438" s="161" t="s">
        <v>54</v>
      </c>
      <c r="P438" s="161" t="s">
        <v>55</v>
      </c>
      <c r="Q438" s="164">
        <v>329</v>
      </c>
      <c r="R438" s="165">
        <v>45474</v>
      </c>
      <c r="S438" s="165">
        <v>45546</v>
      </c>
      <c r="T438" s="161">
        <v>160</v>
      </c>
      <c r="U438" s="161"/>
      <c r="V438" s="161">
        <v>527</v>
      </c>
      <c r="W438" s="161">
        <v>116</v>
      </c>
      <c r="X438" s="161">
        <v>80</v>
      </c>
      <c r="Y438" s="132"/>
      <c r="Z438" s="166">
        <v>3</v>
      </c>
      <c r="AA438" s="133">
        <v>1370.0670694920811</v>
      </c>
      <c r="AB438" s="133">
        <v>455.32913524288722</v>
      </c>
      <c r="AC438" s="133">
        <v>326.70917380399095</v>
      </c>
    </row>
    <row r="439" spans="1:29" s="28" customFormat="1" x14ac:dyDescent="0.25">
      <c r="A439" s="161"/>
      <c r="B439" s="161" t="s">
        <v>743</v>
      </c>
      <c r="C439" s="167">
        <v>7220.8</v>
      </c>
      <c r="D439" s="167"/>
      <c r="E439" s="167">
        <v>7220.8</v>
      </c>
      <c r="F439" s="168">
        <v>14441.6</v>
      </c>
      <c r="G439" s="6" t="s">
        <v>742</v>
      </c>
      <c r="H439" s="6" t="s">
        <v>261</v>
      </c>
      <c r="I439" s="6" t="s">
        <v>491</v>
      </c>
      <c r="J439" s="6" t="s">
        <v>492</v>
      </c>
      <c r="K439" s="6">
        <v>42.988413999999999</v>
      </c>
      <c r="L439" s="6">
        <v>-97.539907999999997</v>
      </c>
      <c r="M439" s="6" t="s">
        <v>137</v>
      </c>
      <c r="N439" s="163" t="s">
        <v>493</v>
      </c>
      <c r="O439" s="161" t="s">
        <v>56</v>
      </c>
      <c r="P439" s="161" t="s">
        <v>57</v>
      </c>
      <c r="Q439" s="164">
        <v>340</v>
      </c>
      <c r="R439" s="165">
        <v>45474</v>
      </c>
      <c r="S439" s="165">
        <v>45546</v>
      </c>
      <c r="T439" s="161">
        <v>160</v>
      </c>
      <c r="U439" s="161"/>
      <c r="V439" s="161">
        <v>1117</v>
      </c>
      <c r="W439" s="161">
        <v>391</v>
      </c>
      <c r="X439" s="161">
        <v>278</v>
      </c>
      <c r="Z439" s="161">
        <v>3</v>
      </c>
      <c r="AA439" s="124">
        <f>V439*$AD$1</f>
        <v>1370.0670694920811</v>
      </c>
      <c r="AB439" s="124">
        <f>W439*$AE$1</f>
        <v>455.32913524288722</v>
      </c>
      <c r="AC439" s="124">
        <f>X439*$AF$1</f>
        <v>326.70917380399095</v>
      </c>
    </row>
    <row r="443" spans="1:29" x14ac:dyDescent="0.25">
      <c r="L443" s="31"/>
      <c r="M443" s="31"/>
    </row>
  </sheetData>
  <autoFilter ref="A1:AC437" xr:uid="{74C729E3-A2D6-4C67-B999-47DB31579828}"/>
  <phoneticPr fontId="2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29E3-A2D6-4C67-B999-47DB31579828}">
  <sheetPr codeName="Sheet3">
    <pageSetUpPr autoPageBreaks="0"/>
  </sheetPr>
  <dimension ref="A1:AD413"/>
  <sheetViews>
    <sheetView topLeftCell="D1" zoomScale="70" zoomScaleNormal="70" workbookViewId="0">
      <pane ySplit="1" topLeftCell="A2" activePane="bottomLeft" state="frozen"/>
      <selection pane="bottomLeft" activeCell="AD1" sqref="AD1"/>
    </sheetView>
  </sheetViews>
  <sheetFormatPr defaultRowHeight="13.8" x14ac:dyDescent="0.25"/>
  <cols>
    <col min="1" max="1" width="3" customWidth="1"/>
    <col min="2" max="2" width="10.19921875" bestFit="1" customWidth="1"/>
    <col min="3" max="6" width="9.59765625" style="31" customWidth="1"/>
    <col min="7" max="7" width="10.8984375" bestFit="1" customWidth="1"/>
    <col min="8" max="8" width="11.3984375" bestFit="1" customWidth="1"/>
    <col min="9" max="9" width="25.69921875" bestFit="1" customWidth="1"/>
    <col min="10" max="10" width="9.09765625" customWidth="1"/>
    <col min="11" max="11" width="8.796875" customWidth="1"/>
    <col min="14" max="14" width="12.296875" style="4" bestFit="1" customWidth="1"/>
    <col min="15" max="15" width="9.796875" bestFit="1" customWidth="1"/>
    <col min="16" max="16" width="11" customWidth="1"/>
    <col min="17" max="17" width="8.796875" style="5"/>
    <col min="18" max="18" width="9.3984375" bestFit="1" customWidth="1"/>
    <col min="19" max="19" width="10" bestFit="1" customWidth="1"/>
    <col min="21" max="21" width="2.796875" customWidth="1"/>
    <col min="25" max="25" width="8.796875" style="28"/>
    <col min="27" max="28" width="8.796875" style="120"/>
    <col min="29" max="29" width="8.796875" style="120" customWidth="1"/>
  </cols>
  <sheetData>
    <row r="1" spans="2:30" s="23" customFormat="1" x14ac:dyDescent="0.25">
      <c r="B1" s="2" t="s">
        <v>38</v>
      </c>
      <c r="C1" s="2" t="s">
        <v>40</v>
      </c>
      <c r="D1" s="2" t="s">
        <v>42</v>
      </c>
      <c r="E1" s="2" t="s">
        <v>43</v>
      </c>
      <c r="F1" s="2" t="s">
        <v>45</v>
      </c>
      <c r="G1" s="2" t="s">
        <v>47</v>
      </c>
      <c r="H1" s="2" t="s">
        <v>48</v>
      </c>
      <c r="I1" s="2" t="s">
        <v>0</v>
      </c>
      <c r="J1" s="2" t="s">
        <v>2</v>
      </c>
      <c r="K1" s="2" t="s">
        <v>4</v>
      </c>
      <c r="L1" s="2" t="s">
        <v>6</v>
      </c>
      <c r="M1" s="2" t="s">
        <v>8</v>
      </c>
      <c r="N1" s="3" t="s">
        <v>10</v>
      </c>
      <c r="O1" s="2" t="s">
        <v>12</v>
      </c>
      <c r="P1" s="2" t="s">
        <v>14</v>
      </c>
      <c r="Q1" s="3" t="s">
        <v>16</v>
      </c>
      <c r="R1" s="2" t="s">
        <v>18</v>
      </c>
      <c r="S1" s="2" t="s">
        <v>20</v>
      </c>
      <c r="T1" s="2" t="s">
        <v>22</v>
      </c>
      <c r="U1" s="2" t="s">
        <v>24</v>
      </c>
      <c r="V1" s="2" t="s">
        <v>30</v>
      </c>
      <c r="W1" s="2" t="s">
        <v>32</v>
      </c>
      <c r="X1" s="2" t="s">
        <v>34</v>
      </c>
      <c r="Y1" s="2" t="s">
        <v>36</v>
      </c>
      <c r="Z1" s="2" t="s">
        <v>680</v>
      </c>
      <c r="AA1" s="119" t="s">
        <v>690</v>
      </c>
      <c r="AB1" s="119" t="s">
        <v>691</v>
      </c>
      <c r="AC1" s="119" t="s">
        <v>692</v>
      </c>
      <c r="AD1" s="23" t="s">
        <v>694</v>
      </c>
    </row>
    <row r="2" spans="2:30" x14ac:dyDescent="0.25">
      <c r="G2" s="20" t="s">
        <v>49</v>
      </c>
      <c r="H2" s="20" t="s">
        <v>50</v>
      </c>
      <c r="I2" s="20" t="s">
        <v>51</v>
      </c>
      <c r="J2" s="21" t="s">
        <v>52</v>
      </c>
      <c r="K2" s="20">
        <v>44.229377999999997</v>
      </c>
      <c r="L2" s="20">
        <v>-98.130941000000007</v>
      </c>
      <c r="M2" s="20" t="s">
        <v>53</v>
      </c>
      <c r="N2" s="4">
        <v>20211</v>
      </c>
      <c r="O2" t="s">
        <v>54</v>
      </c>
      <c r="P2" t="s">
        <v>55</v>
      </c>
      <c r="Q2" s="5">
        <v>329</v>
      </c>
      <c r="R2" s="1">
        <v>44470</v>
      </c>
      <c r="S2" s="1">
        <v>44484</v>
      </c>
      <c r="T2">
        <v>56</v>
      </c>
      <c r="V2">
        <v>78</v>
      </c>
      <c r="W2">
        <v>14</v>
      </c>
      <c r="X2">
        <v>8</v>
      </c>
      <c r="Z2">
        <v>2</v>
      </c>
    </row>
    <row r="3" spans="2:30" x14ac:dyDescent="0.25">
      <c r="B3" s="1">
        <v>44453</v>
      </c>
      <c r="C3" s="31">
        <v>0</v>
      </c>
      <c r="D3" s="31">
        <v>0</v>
      </c>
      <c r="E3" s="31">
        <v>2972.58</v>
      </c>
      <c r="F3" s="31">
        <v>2972.58</v>
      </c>
      <c r="G3" s="6" t="s">
        <v>49</v>
      </c>
      <c r="H3" s="6" t="s">
        <v>50</v>
      </c>
      <c r="I3" s="6" t="s">
        <v>51</v>
      </c>
      <c r="J3" s="7" t="s">
        <v>52</v>
      </c>
      <c r="K3" s="6">
        <v>44.229377999999997</v>
      </c>
      <c r="L3" s="6">
        <v>-98.130941000000007</v>
      </c>
      <c r="M3" s="6" t="s">
        <v>53</v>
      </c>
      <c r="N3" s="4">
        <v>20211</v>
      </c>
      <c r="O3" t="s">
        <v>56</v>
      </c>
      <c r="P3" t="s">
        <v>57</v>
      </c>
      <c r="Q3" s="5">
        <v>340</v>
      </c>
      <c r="R3" s="1">
        <v>44470</v>
      </c>
      <c r="S3" s="1">
        <v>44501</v>
      </c>
      <c r="T3">
        <v>56</v>
      </c>
      <c r="V3">
        <v>160</v>
      </c>
      <c r="W3">
        <v>51</v>
      </c>
      <c r="X3">
        <v>33</v>
      </c>
      <c r="Z3">
        <v>2</v>
      </c>
    </row>
    <row r="4" spans="2:30" x14ac:dyDescent="0.25">
      <c r="B4" s="11"/>
      <c r="C4" s="32"/>
      <c r="D4" s="32"/>
      <c r="E4" s="32"/>
      <c r="F4" s="32"/>
      <c r="G4" s="8" t="s">
        <v>49</v>
      </c>
      <c r="H4" s="8" t="s">
        <v>50</v>
      </c>
      <c r="I4" s="8" t="s">
        <v>51</v>
      </c>
      <c r="J4" s="9" t="s">
        <v>52</v>
      </c>
      <c r="K4" s="8">
        <v>44.229377999999997</v>
      </c>
      <c r="L4" s="8">
        <v>-98.130941000000007</v>
      </c>
      <c r="M4" s="8" t="s">
        <v>53</v>
      </c>
      <c r="N4" s="10">
        <v>20211</v>
      </c>
      <c r="O4" s="11" t="s">
        <v>75</v>
      </c>
      <c r="P4" s="11" t="s">
        <v>677</v>
      </c>
      <c r="Q4" s="12">
        <v>556</v>
      </c>
      <c r="R4" s="13">
        <v>44470</v>
      </c>
      <c r="S4" s="13">
        <v>45154</v>
      </c>
      <c r="T4" s="11">
        <v>56</v>
      </c>
      <c r="U4" s="11"/>
      <c r="V4" s="11"/>
      <c r="W4" s="11"/>
      <c r="X4" s="11"/>
      <c r="Z4">
        <v>2</v>
      </c>
    </row>
    <row r="5" spans="2:30" x14ac:dyDescent="0.25">
      <c r="G5" s="18" t="s">
        <v>60</v>
      </c>
      <c r="H5" s="18" t="s">
        <v>61</v>
      </c>
      <c r="I5" s="18" t="s">
        <v>62</v>
      </c>
      <c r="J5" s="19" t="s">
        <v>63</v>
      </c>
      <c r="K5" s="18">
        <v>43.621378</v>
      </c>
      <c r="L5" s="18">
        <v>-98.079824000000002</v>
      </c>
      <c r="M5" s="18" t="s">
        <v>64</v>
      </c>
      <c r="N5" s="16" t="s">
        <v>65</v>
      </c>
      <c r="O5" s="14" t="s">
        <v>54</v>
      </c>
      <c r="P5" s="14" t="s">
        <v>55</v>
      </c>
      <c r="Q5" s="17">
        <v>329</v>
      </c>
      <c r="R5" s="15">
        <v>45117</v>
      </c>
      <c r="S5" s="15">
        <v>45111</v>
      </c>
      <c r="T5" s="14">
        <v>128</v>
      </c>
      <c r="U5" s="14"/>
      <c r="V5" s="14">
        <v>390.1</v>
      </c>
      <c r="W5" s="14">
        <v>93.9</v>
      </c>
      <c r="X5" s="14">
        <v>55.6</v>
      </c>
      <c r="Z5">
        <v>2</v>
      </c>
    </row>
    <row r="6" spans="2:30" x14ac:dyDescent="0.25">
      <c r="B6" s="13">
        <v>45096</v>
      </c>
      <c r="C6" s="32">
        <v>4770</v>
      </c>
      <c r="D6" s="32">
        <v>0</v>
      </c>
      <c r="E6" s="32">
        <v>7969.84</v>
      </c>
      <c r="F6" s="32">
        <v>12739.84</v>
      </c>
      <c r="G6" s="8" t="s">
        <v>60</v>
      </c>
      <c r="H6" s="8" t="s">
        <v>61</v>
      </c>
      <c r="I6" s="8" t="s">
        <v>62</v>
      </c>
      <c r="J6" s="9" t="s">
        <v>63</v>
      </c>
      <c r="K6" s="8">
        <v>43.621378</v>
      </c>
      <c r="L6" s="8">
        <v>-98.079824000000002</v>
      </c>
      <c r="M6" s="8" t="s">
        <v>64</v>
      </c>
      <c r="N6" s="10" t="s">
        <v>65</v>
      </c>
      <c r="O6" s="11" t="s">
        <v>56</v>
      </c>
      <c r="P6" s="11" t="s">
        <v>57</v>
      </c>
      <c r="Q6" s="12">
        <v>340</v>
      </c>
      <c r="R6" s="13">
        <v>45117</v>
      </c>
      <c r="S6" s="13">
        <v>45139</v>
      </c>
      <c r="T6" s="11">
        <v>128</v>
      </c>
      <c r="U6" s="11"/>
      <c r="V6" s="11">
        <v>469</v>
      </c>
      <c r="W6" s="11">
        <v>139</v>
      </c>
      <c r="X6" s="11">
        <v>83.9</v>
      </c>
      <c r="Z6">
        <v>2</v>
      </c>
    </row>
    <row r="7" spans="2:30" x14ac:dyDescent="0.25">
      <c r="G7" s="18" t="s">
        <v>66</v>
      </c>
      <c r="H7" s="18" t="s">
        <v>67</v>
      </c>
      <c r="I7" s="18" t="s">
        <v>68</v>
      </c>
      <c r="J7" s="19" t="s">
        <v>69</v>
      </c>
      <c r="K7" s="18">
        <v>43.655670000000001</v>
      </c>
      <c r="L7" s="18">
        <v>-97.899885999999995</v>
      </c>
      <c r="M7" s="18" t="s">
        <v>64</v>
      </c>
      <c r="N7" s="16" t="s">
        <v>70</v>
      </c>
      <c r="O7" s="14" t="s">
        <v>54</v>
      </c>
      <c r="P7" s="14" t="s">
        <v>55</v>
      </c>
      <c r="Q7" s="17">
        <v>329</v>
      </c>
      <c r="R7" s="15">
        <v>44317</v>
      </c>
      <c r="S7" s="15">
        <v>44501</v>
      </c>
      <c r="T7" s="14">
        <v>505</v>
      </c>
      <c r="U7" s="14"/>
      <c r="V7" s="14">
        <v>487</v>
      </c>
      <c r="W7" s="14">
        <v>68</v>
      </c>
      <c r="X7" s="14">
        <v>35</v>
      </c>
      <c r="Z7">
        <v>2</v>
      </c>
    </row>
    <row r="8" spans="2:30" x14ac:dyDescent="0.25">
      <c r="B8" s="1">
        <v>44335</v>
      </c>
      <c r="C8" s="31">
        <v>0</v>
      </c>
      <c r="D8" s="31">
        <v>1649.25</v>
      </c>
      <c r="E8" s="31">
        <v>2308.9499999999998</v>
      </c>
      <c r="F8" s="31">
        <v>4463</v>
      </c>
      <c r="G8" s="6" t="s">
        <v>66</v>
      </c>
      <c r="H8" s="6" t="s">
        <v>67</v>
      </c>
      <c r="I8" s="6" t="s">
        <v>68</v>
      </c>
      <c r="J8" s="7" t="s">
        <v>69</v>
      </c>
      <c r="K8" s="6">
        <v>43.655670000000001</v>
      </c>
      <c r="L8" s="6">
        <v>-97.899885999999995</v>
      </c>
      <c r="M8" s="6" t="s">
        <v>64</v>
      </c>
      <c r="N8" s="4" t="s">
        <v>70</v>
      </c>
      <c r="O8" t="s">
        <v>56</v>
      </c>
      <c r="P8" t="s">
        <v>57</v>
      </c>
      <c r="Q8" s="5">
        <v>340</v>
      </c>
      <c r="R8" s="1">
        <v>44317</v>
      </c>
      <c r="S8" s="1">
        <v>44453</v>
      </c>
      <c r="T8">
        <v>385</v>
      </c>
      <c r="V8">
        <v>405</v>
      </c>
      <c r="W8">
        <v>125</v>
      </c>
      <c r="X8">
        <v>80</v>
      </c>
      <c r="Z8">
        <v>2</v>
      </c>
    </row>
    <row r="9" spans="2:30" x14ac:dyDescent="0.25">
      <c r="G9" s="6" t="s">
        <v>66</v>
      </c>
      <c r="H9" s="6" t="s">
        <v>67</v>
      </c>
      <c r="I9" s="6" t="s">
        <v>68</v>
      </c>
      <c r="J9" s="7" t="s">
        <v>69</v>
      </c>
      <c r="K9" s="6">
        <v>43.655670000000001</v>
      </c>
      <c r="L9" s="6">
        <v>-97.899885999999995</v>
      </c>
      <c r="M9" s="6" t="s">
        <v>64</v>
      </c>
      <c r="N9" s="4" t="s">
        <v>70</v>
      </c>
      <c r="O9" t="s">
        <v>71</v>
      </c>
      <c r="P9" t="s">
        <v>72</v>
      </c>
      <c r="Q9" s="5" t="s">
        <v>73</v>
      </c>
      <c r="R9" s="1">
        <v>44317</v>
      </c>
      <c r="S9" s="1">
        <v>44392</v>
      </c>
      <c r="T9">
        <v>19.02</v>
      </c>
      <c r="V9">
        <v>42</v>
      </c>
      <c r="W9">
        <v>12</v>
      </c>
      <c r="X9">
        <v>7</v>
      </c>
      <c r="Z9">
        <v>2</v>
      </c>
    </row>
    <row r="10" spans="2:30" x14ac:dyDescent="0.25">
      <c r="G10" s="6" t="s">
        <v>66</v>
      </c>
      <c r="H10" s="6" t="s">
        <v>67</v>
      </c>
      <c r="I10" s="6" t="s">
        <v>68</v>
      </c>
      <c r="J10" s="7" t="s">
        <v>69</v>
      </c>
      <c r="K10" s="6">
        <v>43.655670000000001</v>
      </c>
      <c r="L10" s="6">
        <v>-97.899885999999995</v>
      </c>
      <c r="M10" s="6" t="s">
        <v>64</v>
      </c>
      <c r="N10" s="4" t="s">
        <v>74</v>
      </c>
      <c r="O10" t="s">
        <v>54</v>
      </c>
      <c r="P10" t="s">
        <v>55</v>
      </c>
      <c r="Q10" s="5">
        <v>329</v>
      </c>
      <c r="R10" s="1">
        <v>44682</v>
      </c>
      <c r="S10" s="1">
        <v>44845</v>
      </c>
      <c r="T10">
        <v>505</v>
      </c>
      <c r="V10">
        <v>270</v>
      </c>
      <c r="W10">
        <v>45</v>
      </c>
      <c r="X10">
        <v>26</v>
      </c>
      <c r="Z10">
        <v>2</v>
      </c>
    </row>
    <row r="11" spans="2:30" x14ac:dyDescent="0.25">
      <c r="B11" s="1">
        <v>44698</v>
      </c>
      <c r="C11" s="31">
        <v>0</v>
      </c>
      <c r="D11" s="31">
        <v>3000</v>
      </c>
      <c r="E11" s="31">
        <v>6129.95</v>
      </c>
      <c r="F11" s="31">
        <v>9129.9500000000007</v>
      </c>
      <c r="G11" s="6" t="s">
        <v>66</v>
      </c>
      <c r="H11" s="6" t="s">
        <v>67</v>
      </c>
      <c r="I11" s="6" t="s">
        <v>68</v>
      </c>
      <c r="J11" s="7" t="s">
        <v>69</v>
      </c>
      <c r="K11" s="6">
        <v>43.655670000000001</v>
      </c>
      <c r="L11" s="6">
        <v>-97.899885999999995</v>
      </c>
      <c r="M11" s="6" t="s">
        <v>64</v>
      </c>
      <c r="N11" s="4" t="s">
        <v>74</v>
      </c>
      <c r="O11" t="s">
        <v>56</v>
      </c>
      <c r="P11" t="s">
        <v>57</v>
      </c>
      <c r="Q11" s="5">
        <v>340</v>
      </c>
      <c r="R11" s="1">
        <v>44682</v>
      </c>
      <c r="S11" s="1">
        <v>44845</v>
      </c>
      <c r="T11">
        <v>385</v>
      </c>
      <c r="V11">
        <v>490</v>
      </c>
      <c r="W11">
        <v>146</v>
      </c>
      <c r="X11">
        <v>91</v>
      </c>
      <c r="Z11">
        <v>2</v>
      </c>
    </row>
    <row r="12" spans="2:30" x14ac:dyDescent="0.25">
      <c r="B12" s="11"/>
      <c r="C12" s="32"/>
      <c r="D12" s="32"/>
      <c r="E12" s="32"/>
      <c r="F12" s="32"/>
      <c r="G12" s="8" t="s">
        <v>66</v>
      </c>
      <c r="H12" s="8" t="s">
        <v>67</v>
      </c>
      <c r="I12" s="8" t="s">
        <v>68</v>
      </c>
      <c r="J12" s="9" t="s">
        <v>69</v>
      </c>
      <c r="K12" s="8">
        <v>43.655670000000001</v>
      </c>
      <c r="L12" s="8">
        <v>-97.899885999999995</v>
      </c>
      <c r="M12" s="8" t="s">
        <v>64</v>
      </c>
      <c r="N12" s="10" t="s">
        <v>74</v>
      </c>
      <c r="O12" s="11" t="s">
        <v>75</v>
      </c>
      <c r="P12" s="11" t="s">
        <v>677</v>
      </c>
      <c r="Q12" s="12">
        <v>556</v>
      </c>
      <c r="R12" s="13">
        <v>44682</v>
      </c>
      <c r="S12" s="13">
        <v>44845</v>
      </c>
      <c r="T12" s="11">
        <v>230</v>
      </c>
      <c r="U12" s="11"/>
      <c r="V12" s="11"/>
      <c r="W12" s="11"/>
      <c r="X12" s="11"/>
      <c r="Z12">
        <v>2</v>
      </c>
    </row>
    <row r="13" spans="2:30" s="46" customFormat="1" x14ac:dyDescent="0.25">
      <c r="B13" s="46" t="s">
        <v>76</v>
      </c>
      <c r="C13" s="47"/>
      <c r="D13" s="47"/>
      <c r="E13" s="47"/>
      <c r="F13" s="47"/>
      <c r="G13" s="73" t="s">
        <v>77</v>
      </c>
      <c r="H13" s="73" t="s">
        <v>78</v>
      </c>
      <c r="I13" s="73" t="s">
        <v>79</v>
      </c>
      <c r="J13" s="74" t="s">
        <v>80</v>
      </c>
      <c r="K13" s="73">
        <v>43.656303000000001</v>
      </c>
      <c r="L13" s="73">
        <v>-96.476612000000003</v>
      </c>
      <c r="M13" s="73" t="s">
        <v>81</v>
      </c>
      <c r="N13" s="75" t="s">
        <v>82</v>
      </c>
      <c r="O13" s="76" t="s">
        <v>83</v>
      </c>
      <c r="P13" s="76" t="s">
        <v>84</v>
      </c>
      <c r="Q13" s="77">
        <v>328</v>
      </c>
      <c r="R13" s="78">
        <v>44287</v>
      </c>
      <c r="S13" s="78">
        <v>44409</v>
      </c>
      <c r="T13" s="76">
        <v>160</v>
      </c>
      <c r="U13" s="76"/>
      <c r="V13" s="76"/>
      <c r="W13" s="76"/>
      <c r="X13" s="76"/>
      <c r="Y13" s="53"/>
      <c r="Z13" s="46">
        <v>2</v>
      </c>
      <c r="AA13" s="120"/>
      <c r="AB13" s="120"/>
      <c r="AC13" s="120"/>
    </row>
    <row r="14" spans="2:30" s="46" customFormat="1" x14ac:dyDescent="0.25">
      <c r="B14" s="38" t="s">
        <v>76</v>
      </c>
      <c r="C14" s="47"/>
      <c r="D14" s="47"/>
      <c r="E14" s="47"/>
      <c r="F14" s="47"/>
      <c r="G14" s="6" t="s">
        <v>77</v>
      </c>
      <c r="H14" s="6" t="s">
        <v>78</v>
      </c>
      <c r="I14" s="6" t="s">
        <v>79</v>
      </c>
      <c r="J14" s="7" t="s">
        <v>80</v>
      </c>
      <c r="K14" s="6">
        <v>43.656303000000001</v>
      </c>
      <c r="L14" s="6">
        <v>-96.476612000000003</v>
      </c>
      <c r="M14" s="6" t="s">
        <v>81</v>
      </c>
      <c r="N14" s="50" t="s">
        <v>82</v>
      </c>
      <c r="O14" s="46" t="s">
        <v>54</v>
      </c>
      <c r="P14" s="46" t="s">
        <v>55</v>
      </c>
      <c r="Q14" s="51">
        <v>329</v>
      </c>
      <c r="R14" s="52">
        <v>44287</v>
      </c>
      <c r="S14" s="52">
        <v>44409</v>
      </c>
      <c r="T14" s="46">
        <v>160</v>
      </c>
      <c r="V14" s="46">
        <v>726</v>
      </c>
      <c r="W14" s="46">
        <v>138</v>
      </c>
      <c r="X14" s="46">
        <v>89</v>
      </c>
      <c r="Y14" s="53"/>
      <c r="Z14" s="46">
        <v>2</v>
      </c>
      <c r="AA14" s="120"/>
      <c r="AB14" s="120"/>
      <c r="AC14" s="120"/>
    </row>
    <row r="15" spans="2:30" s="46" customFormat="1" x14ac:dyDescent="0.25">
      <c r="B15" s="38" t="s">
        <v>76</v>
      </c>
      <c r="C15" s="47"/>
      <c r="D15" s="47"/>
      <c r="E15" s="47"/>
      <c r="F15" s="47"/>
      <c r="G15" s="6" t="s">
        <v>77</v>
      </c>
      <c r="H15" s="6" t="s">
        <v>78</v>
      </c>
      <c r="I15" s="6" t="s">
        <v>79</v>
      </c>
      <c r="J15" s="7" t="s">
        <v>80</v>
      </c>
      <c r="K15" s="6">
        <v>43.656303000000001</v>
      </c>
      <c r="L15" s="6">
        <v>-96.476612000000003</v>
      </c>
      <c r="M15" s="6" t="s">
        <v>81</v>
      </c>
      <c r="N15" s="50" t="s">
        <v>82</v>
      </c>
      <c r="O15" s="46" t="s">
        <v>56</v>
      </c>
      <c r="P15" s="46" t="s">
        <v>57</v>
      </c>
      <c r="Q15" s="51">
        <v>340</v>
      </c>
      <c r="R15" s="52">
        <v>44287</v>
      </c>
      <c r="S15" s="52">
        <v>44409</v>
      </c>
      <c r="T15" s="46">
        <v>160</v>
      </c>
      <c r="V15" s="46">
        <v>1588</v>
      </c>
      <c r="W15" s="46">
        <v>516</v>
      </c>
      <c r="X15" s="46">
        <v>349</v>
      </c>
      <c r="Y15" s="53"/>
      <c r="Z15" s="46">
        <v>2</v>
      </c>
      <c r="AA15" s="120"/>
      <c r="AB15" s="120"/>
      <c r="AC15" s="120"/>
    </row>
    <row r="16" spans="2:30" s="46" customFormat="1" x14ac:dyDescent="0.25">
      <c r="B16" s="38" t="s">
        <v>76</v>
      </c>
      <c r="C16" s="47"/>
      <c r="D16" s="47"/>
      <c r="E16" s="47"/>
      <c r="F16" s="47"/>
      <c r="G16" s="6" t="s">
        <v>77</v>
      </c>
      <c r="H16" s="6" t="s">
        <v>78</v>
      </c>
      <c r="I16" s="6" t="s">
        <v>79</v>
      </c>
      <c r="J16" s="7" t="s">
        <v>80</v>
      </c>
      <c r="K16" s="6">
        <v>43.656303000000001</v>
      </c>
      <c r="L16" s="6">
        <v>-96.476612000000003</v>
      </c>
      <c r="M16" s="6" t="s">
        <v>81</v>
      </c>
      <c r="N16" s="50" t="s">
        <v>85</v>
      </c>
      <c r="O16" s="46" t="s">
        <v>83</v>
      </c>
      <c r="P16" s="46" t="s">
        <v>84</v>
      </c>
      <c r="Q16" s="51">
        <v>328</v>
      </c>
      <c r="R16" s="52">
        <v>44682</v>
      </c>
      <c r="S16" s="52">
        <v>44845</v>
      </c>
      <c r="T16" s="46">
        <v>160</v>
      </c>
      <c r="Y16" s="53"/>
      <c r="Z16" s="46">
        <v>2</v>
      </c>
      <c r="AA16" s="120"/>
      <c r="AB16" s="120"/>
      <c r="AC16" s="120"/>
    </row>
    <row r="17" spans="2:29" s="46" customFormat="1" x14ac:dyDescent="0.25">
      <c r="B17" s="38" t="s">
        <v>76</v>
      </c>
      <c r="C17" s="47"/>
      <c r="D17" s="47"/>
      <c r="E17" s="47"/>
      <c r="F17" s="47"/>
      <c r="G17" s="6" t="s">
        <v>77</v>
      </c>
      <c r="H17" s="6" t="s">
        <v>78</v>
      </c>
      <c r="I17" s="6" t="s">
        <v>79</v>
      </c>
      <c r="J17" s="7" t="s">
        <v>80</v>
      </c>
      <c r="K17" s="6">
        <v>43.656303000000001</v>
      </c>
      <c r="L17" s="6">
        <v>-96.476612000000003</v>
      </c>
      <c r="M17" s="6" t="s">
        <v>81</v>
      </c>
      <c r="N17" s="50" t="s">
        <v>85</v>
      </c>
      <c r="O17" s="46" t="s">
        <v>54</v>
      </c>
      <c r="P17" s="46" t="s">
        <v>55</v>
      </c>
      <c r="Q17" s="51">
        <v>329</v>
      </c>
      <c r="R17" s="52">
        <v>44682</v>
      </c>
      <c r="S17" s="52">
        <v>44845</v>
      </c>
      <c r="T17" s="46">
        <v>160</v>
      </c>
      <c r="V17" s="46">
        <v>1220</v>
      </c>
      <c r="W17" s="46">
        <v>231</v>
      </c>
      <c r="X17" s="46">
        <v>147</v>
      </c>
      <c r="Y17" s="53"/>
      <c r="Z17" s="46">
        <v>2</v>
      </c>
      <c r="AA17" s="120"/>
      <c r="AB17" s="120"/>
      <c r="AC17" s="120"/>
    </row>
    <row r="18" spans="2:29" s="46" customFormat="1" x14ac:dyDescent="0.25">
      <c r="B18" s="80" t="s">
        <v>76</v>
      </c>
      <c r="C18" s="55"/>
      <c r="D18" s="55"/>
      <c r="E18" s="55"/>
      <c r="F18" s="55"/>
      <c r="G18" s="8" t="s">
        <v>77</v>
      </c>
      <c r="H18" s="8" t="s">
        <v>78</v>
      </c>
      <c r="I18" s="8" t="s">
        <v>79</v>
      </c>
      <c r="J18" s="9" t="s">
        <v>80</v>
      </c>
      <c r="K18" s="8">
        <v>43.656303000000001</v>
      </c>
      <c r="L18" s="8">
        <v>-96.476612000000003</v>
      </c>
      <c r="M18" s="8" t="s">
        <v>81</v>
      </c>
      <c r="N18" s="56" t="s">
        <v>85</v>
      </c>
      <c r="O18" s="54" t="s">
        <v>56</v>
      </c>
      <c r="P18" s="54" t="s">
        <v>57</v>
      </c>
      <c r="Q18" s="57">
        <v>340</v>
      </c>
      <c r="R18" s="58">
        <v>44682</v>
      </c>
      <c r="S18" s="58">
        <v>44845</v>
      </c>
      <c r="T18" s="54">
        <v>160</v>
      </c>
      <c r="U18" s="54"/>
      <c r="V18" s="54">
        <v>936</v>
      </c>
      <c r="W18" s="54">
        <v>312</v>
      </c>
      <c r="X18" s="54">
        <v>222</v>
      </c>
      <c r="Y18" s="53"/>
      <c r="Z18" s="46">
        <v>2</v>
      </c>
      <c r="AA18" s="120"/>
      <c r="AB18" s="120"/>
      <c r="AC18" s="120"/>
    </row>
    <row r="19" spans="2:29" x14ac:dyDescent="0.25">
      <c r="G19" s="20" t="s">
        <v>86</v>
      </c>
      <c r="H19" s="20" t="s">
        <v>87</v>
      </c>
      <c r="I19" s="20" t="s">
        <v>88</v>
      </c>
      <c r="J19" s="21" t="s">
        <v>89</v>
      </c>
      <c r="K19" s="20">
        <v>45.069645999999999</v>
      </c>
      <c r="L19" s="20">
        <v>-98.579145999999994</v>
      </c>
      <c r="M19" s="20" t="s">
        <v>90</v>
      </c>
      <c r="N19" s="16">
        <v>202206</v>
      </c>
      <c r="O19" s="14" t="s">
        <v>54</v>
      </c>
      <c r="P19" s="14" t="s">
        <v>55</v>
      </c>
      <c r="Q19" s="17">
        <v>329</v>
      </c>
      <c r="R19" s="15">
        <v>44682</v>
      </c>
      <c r="S19" s="15">
        <v>45078</v>
      </c>
      <c r="T19" s="14">
        <v>1371</v>
      </c>
      <c r="U19" s="14"/>
      <c r="V19" s="14">
        <v>1316</v>
      </c>
      <c r="W19" s="14">
        <v>156</v>
      </c>
      <c r="X19" s="14">
        <v>68</v>
      </c>
      <c r="Z19">
        <v>2</v>
      </c>
    </row>
    <row r="20" spans="2:29" x14ac:dyDescent="0.25">
      <c r="B20" s="13">
        <v>44763</v>
      </c>
      <c r="C20" s="32">
        <v>0</v>
      </c>
      <c r="D20" s="32">
        <v>6000</v>
      </c>
      <c r="E20" s="32">
        <v>25526.23</v>
      </c>
      <c r="F20" s="32">
        <v>31526.23</v>
      </c>
      <c r="G20" s="8" t="s">
        <v>86</v>
      </c>
      <c r="H20" s="8" t="s">
        <v>87</v>
      </c>
      <c r="I20" s="8" t="s">
        <v>88</v>
      </c>
      <c r="J20" s="9" t="s">
        <v>89</v>
      </c>
      <c r="K20" s="8">
        <v>45.069645999999999</v>
      </c>
      <c r="L20" s="8">
        <v>-98.579145999999994</v>
      </c>
      <c r="M20" s="8" t="s">
        <v>91</v>
      </c>
      <c r="N20" s="10">
        <v>202206</v>
      </c>
      <c r="O20" s="11" t="s">
        <v>56</v>
      </c>
      <c r="P20" s="11" t="s">
        <v>57</v>
      </c>
      <c r="Q20" s="12">
        <v>340</v>
      </c>
      <c r="R20" s="13">
        <v>44743</v>
      </c>
      <c r="S20" s="13">
        <v>44805</v>
      </c>
      <c r="T20" s="11">
        <v>1371</v>
      </c>
      <c r="U20" s="11"/>
      <c r="V20" s="11">
        <v>2030</v>
      </c>
      <c r="W20" s="11">
        <v>543</v>
      </c>
      <c r="X20" s="11">
        <v>266</v>
      </c>
      <c r="Z20">
        <v>2</v>
      </c>
    </row>
    <row r="21" spans="2:29" x14ac:dyDescent="0.25">
      <c r="G21" s="34" t="s">
        <v>86</v>
      </c>
      <c r="H21" s="34" t="s">
        <v>92</v>
      </c>
      <c r="I21" s="34" t="s">
        <v>93</v>
      </c>
      <c r="J21" s="35" t="s">
        <v>89</v>
      </c>
      <c r="K21" s="34">
        <v>45.154879000000001</v>
      </c>
      <c r="L21" s="34">
        <v>-98.601916000000003</v>
      </c>
      <c r="M21" s="34" t="s">
        <v>94</v>
      </c>
      <c r="N21" s="4" t="s">
        <v>95</v>
      </c>
      <c r="O21" t="s">
        <v>54</v>
      </c>
      <c r="P21" t="s">
        <v>55</v>
      </c>
      <c r="Q21" s="5">
        <v>329</v>
      </c>
      <c r="R21" s="1">
        <v>44927</v>
      </c>
      <c r="S21" s="1">
        <v>45168</v>
      </c>
      <c r="T21">
        <v>569</v>
      </c>
      <c r="V21">
        <v>1170</v>
      </c>
      <c r="W21">
        <v>299</v>
      </c>
      <c r="X21">
        <v>1573</v>
      </c>
      <c r="Z21">
        <v>2</v>
      </c>
    </row>
    <row r="22" spans="2:29" x14ac:dyDescent="0.25">
      <c r="B22" s="13">
        <v>45153</v>
      </c>
      <c r="C22" s="32">
        <v>4800</v>
      </c>
      <c r="D22" s="32">
        <v>0</v>
      </c>
      <c r="E22" s="32">
        <v>19075</v>
      </c>
      <c r="F22" s="32">
        <v>23875</v>
      </c>
      <c r="G22" s="8" t="s">
        <v>86</v>
      </c>
      <c r="H22" s="8" t="s">
        <v>92</v>
      </c>
      <c r="I22" s="8" t="s">
        <v>93</v>
      </c>
      <c r="J22" s="9" t="s">
        <v>89</v>
      </c>
      <c r="K22" s="8">
        <v>45.154879000000001</v>
      </c>
      <c r="L22" s="8">
        <v>-98.601916000000003</v>
      </c>
      <c r="M22" s="8" t="s">
        <v>94</v>
      </c>
      <c r="N22" s="10" t="s">
        <v>95</v>
      </c>
      <c r="O22" s="11" t="s">
        <v>56</v>
      </c>
      <c r="P22" s="11" t="s">
        <v>57</v>
      </c>
      <c r="Q22" s="12">
        <v>340</v>
      </c>
      <c r="R22" s="13">
        <v>44927</v>
      </c>
      <c r="S22" s="13">
        <v>45168</v>
      </c>
      <c r="T22" s="11">
        <v>569</v>
      </c>
      <c r="U22" s="11"/>
      <c r="V22" s="11">
        <v>989</v>
      </c>
      <c r="W22" s="11">
        <v>272</v>
      </c>
      <c r="X22" s="11">
        <v>141</v>
      </c>
      <c r="Z22">
        <v>2</v>
      </c>
    </row>
    <row r="23" spans="2:29" x14ac:dyDescent="0.25">
      <c r="G23" s="20" t="s">
        <v>96</v>
      </c>
      <c r="H23" s="20" t="s">
        <v>97</v>
      </c>
      <c r="I23" s="20" t="s">
        <v>98</v>
      </c>
      <c r="J23" s="21" t="s">
        <v>99</v>
      </c>
      <c r="K23" s="20">
        <v>43.279971000000003</v>
      </c>
      <c r="L23" s="20">
        <v>-97.366298</v>
      </c>
      <c r="M23" s="20" t="s">
        <v>100</v>
      </c>
      <c r="N23" s="4" t="s">
        <v>101</v>
      </c>
      <c r="O23" t="s">
        <v>83</v>
      </c>
      <c r="P23" t="s">
        <v>84</v>
      </c>
      <c r="Q23" s="5">
        <v>328</v>
      </c>
      <c r="R23" s="1">
        <v>45078</v>
      </c>
      <c r="S23" s="1">
        <v>45146</v>
      </c>
      <c r="T23">
        <v>12</v>
      </c>
      <c r="Z23">
        <v>2</v>
      </c>
    </row>
    <row r="24" spans="2:29" x14ac:dyDescent="0.25">
      <c r="G24" s="6" t="s">
        <v>96</v>
      </c>
      <c r="H24" s="6" t="s">
        <v>97</v>
      </c>
      <c r="I24" s="6" t="s">
        <v>98</v>
      </c>
      <c r="J24" s="7" t="s">
        <v>99</v>
      </c>
      <c r="K24" s="6">
        <v>43.279971000000003</v>
      </c>
      <c r="L24" s="6">
        <v>-97.366298</v>
      </c>
      <c r="M24" s="6" t="s">
        <v>100</v>
      </c>
      <c r="N24" s="4" t="s">
        <v>102</v>
      </c>
      <c r="O24" t="s">
        <v>54</v>
      </c>
      <c r="P24" t="s">
        <v>55</v>
      </c>
      <c r="Q24" s="5">
        <v>329</v>
      </c>
      <c r="R24" s="1">
        <v>45078</v>
      </c>
      <c r="S24" s="1">
        <v>45146</v>
      </c>
      <c r="T24">
        <v>13</v>
      </c>
      <c r="V24">
        <v>35</v>
      </c>
      <c r="W24">
        <v>6</v>
      </c>
      <c r="X24">
        <v>4</v>
      </c>
      <c r="Y24" s="29" t="s">
        <v>96</v>
      </c>
      <c r="Z24">
        <v>2</v>
      </c>
    </row>
    <row r="25" spans="2:29" x14ac:dyDescent="0.25">
      <c r="B25" s="1">
        <v>45135</v>
      </c>
      <c r="C25" s="31">
        <v>311.5</v>
      </c>
      <c r="D25" s="31">
        <v>0</v>
      </c>
      <c r="E25" s="31">
        <v>381.45</v>
      </c>
      <c r="F25" s="31">
        <v>692.95</v>
      </c>
      <c r="G25" s="6" t="s">
        <v>96</v>
      </c>
      <c r="H25" s="6" t="s">
        <v>97</v>
      </c>
      <c r="I25" s="6" t="s">
        <v>98</v>
      </c>
      <c r="J25" s="7" t="s">
        <v>99</v>
      </c>
      <c r="K25" s="6">
        <v>43.279971000000003</v>
      </c>
      <c r="L25" s="6">
        <v>-97.366298</v>
      </c>
      <c r="M25" s="6" t="s">
        <v>100</v>
      </c>
      <c r="N25" s="4" t="s">
        <v>103</v>
      </c>
      <c r="O25" t="s">
        <v>56</v>
      </c>
      <c r="P25" t="s">
        <v>57</v>
      </c>
      <c r="Q25" s="5">
        <v>340</v>
      </c>
      <c r="R25" s="1">
        <v>45078</v>
      </c>
      <c r="S25" s="1">
        <v>45146</v>
      </c>
      <c r="T25">
        <v>12</v>
      </c>
      <c r="V25">
        <v>68</v>
      </c>
      <c r="W25">
        <v>21</v>
      </c>
      <c r="X25">
        <v>14</v>
      </c>
      <c r="Y25" s="29" t="s">
        <v>96</v>
      </c>
      <c r="Z25">
        <v>2</v>
      </c>
    </row>
    <row r="26" spans="2:29" x14ac:dyDescent="0.25">
      <c r="B26" s="11"/>
      <c r="C26" s="32"/>
      <c r="D26" s="32"/>
      <c r="E26" s="32"/>
      <c r="F26" s="32"/>
      <c r="G26" s="8" t="s">
        <v>96</v>
      </c>
      <c r="H26" s="8" t="s">
        <v>97</v>
      </c>
      <c r="I26" s="8" t="s">
        <v>98</v>
      </c>
      <c r="J26" s="9" t="s">
        <v>99</v>
      </c>
      <c r="K26" s="8">
        <v>43.279971000000003</v>
      </c>
      <c r="L26" s="8">
        <v>-97.366298</v>
      </c>
      <c r="M26" s="8" t="s">
        <v>100</v>
      </c>
      <c r="N26" s="10" t="s">
        <v>104</v>
      </c>
      <c r="O26" s="11" t="s">
        <v>105</v>
      </c>
      <c r="P26" s="11" t="s">
        <v>678</v>
      </c>
      <c r="Q26" s="12">
        <v>556</v>
      </c>
      <c r="R26" s="13">
        <v>45078</v>
      </c>
      <c r="S26" s="13">
        <v>45146</v>
      </c>
      <c r="T26" s="11">
        <v>12.46</v>
      </c>
      <c r="U26" s="11"/>
      <c r="V26" s="11"/>
      <c r="W26" s="11"/>
      <c r="X26" s="11"/>
      <c r="Y26" s="29" t="s">
        <v>96</v>
      </c>
      <c r="Z26">
        <v>2</v>
      </c>
    </row>
    <row r="27" spans="2:29" x14ac:dyDescent="0.25">
      <c r="G27" s="34" t="s">
        <v>96</v>
      </c>
      <c r="H27" s="34" t="s">
        <v>106</v>
      </c>
      <c r="I27" s="34" t="s">
        <v>107</v>
      </c>
      <c r="J27" s="35" t="s">
        <v>99</v>
      </c>
      <c r="K27" s="34">
        <v>43.440432999999999</v>
      </c>
      <c r="L27" s="34">
        <v>-97.455648999999994</v>
      </c>
      <c r="M27" s="34" t="s">
        <v>100</v>
      </c>
      <c r="N27" s="4" t="s">
        <v>108</v>
      </c>
      <c r="O27" t="s">
        <v>83</v>
      </c>
      <c r="P27" t="s">
        <v>84</v>
      </c>
      <c r="Q27" s="5">
        <v>328</v>
      </c>
      <c r="R27" s="1">
        <v>45122</v>
      </c>
      <c r="S27" s="1">
        <v>45146</v>
      </c>
      <c r="T27">
        <v>152</v>
      </c>
      <c r="Y27" s="29" t="s">
        <v>96</v>
      </c>
      <c r="Z27">
        <v>2</v>
      </c>
    </row>
    <row r="28" spans="2:29" x14ac:dyDescent="0.25">
      <c r="G28" s="6" t="s">
        <v>96</v>
      </c>
      <c r="H28" s="6" t="s">
        <v>106</v>
      </c>
      <c r="I28" s="6" t="s">
        <v>107</v>
      </c>
      <c r="J28" s="7" t="s">
        <v>99</v>
      </c>
      <c r="K28" s="6">
        <v>43.440432999999999</v>
      </c>
      <c r="L28" s="6">
        <v>-97.455648999999994</v>
      </c>
      <c r="M28" s="6" t="s">
        <v>100</v>
      </c>
      <c r="N28" s="4" t="s">
        <v>108</v>
      </c>
      <c r="O28" t="s">
        <v>54</v>
      </c>
      <c r="P28" t="s">
        <v>55</v>
      </c>
      <c r="Q28" s="5">
        <v>329</v>
      </c>
      <c r="R28" s="1">
        <v>45122</v>
      </c>
      <c r="S28" s="1">
        <v>45146</v>
      </c>
      <c r="T28">
        <v>152</v>
      </c>
      <c r="V28">
        <v>484</v>
      </c>
      <c r="W28">
        <v>190</v>
      </c>
      <c r="X28">
        <v>33</v>
      </c>
      <c r="Y28" s="29" t="s">
        <v>96</v>
      </c>
      <c r="Z28">
        <v>2</v>
      </c>
    </row>
    <row r="29" spans="2:29" x14ac:dyDescent="0.25">
      <c r="B29" s="1">
        <v>45131</v>
      </c>
      <c r="C29" s="31">
        <v>3800</v>
      </c>
      <c r="D29" s="31">
        <v>0</v>
      </c>
      <c r="E29" s="31">
        <v>6789.84</v>
      </c>
      <c r="F29" s="31">
        <v>10589.84</v>
      </c>
      <c r="G29" s="6" t="s">
        <v>96</v>
      </c>
      <c r="H29" s="6" t="s">
        <v>106</v>
      </c>
      <c r="I29" s="6" t="s">
        <v>107</v>
      </c>
      <c r="J29" s="7" t="s">
        <v>99</v>
      </c>
      <c r="K29" s="6">
        <v>43.440432999999999</v>
      </c>
      <c r="L29" s="6">
        <v>-97.455648999999994</v>
      </c>
      <c r="M29" s="6" t="s">
        <v>100</v>
      </c>
      <c r="N29" s="4" t="s">
        <v>108</v>
      </c>
      <c r="O29" t="s">
        <v>56</v>
      </c>
      <c r="P29" t="s">
        <v>57</v>
      </c>
      <c r="Q29" s="5">
        <v>340</v>
      </c>
      <c r="R29" s="1">
        <v>45122</v>
      </c>
      <c r="S29" s="1">
        <v>45147</v>
      </c>
      <c r="T29">
        <v>152</v>
      </c>
      <c r="V29">
        <v>172</v>
      </c>
      <c r="W29">
        <v>48</v>
      </c>
      <c r="X29">
        <v>33</v>
      </c>
      <c r="Y29" s="29" t="s">
        <v>96</v>
      </c>
      <c r="Z29">
        <v>2</v>
      </c>
    </row>
    <row r="30" spans="2:29" x14ac:dyDescent="0.25">
      <c r="B30" s="11"/>
      <c r="C30" s="32"/>
      <c r="D30" s="32"/>
      <c r="E30" s="32"/>
      <c r="F30" s="32"/>
      <c r="G30" s="8" t="s">
        <v>96</v>
      </c>
      <c r="H30" s="8" t="s">
        <v>106</v>
      </c>
      <c r="I30" s="8" t="s">
        <v>107</v>
      </c>
      <c r="J30" s="9" t="s">
        <v>99</v>
      </c>
      <c r="K30" s="8">
        <v>43.440432999999999</v>
      </c>
      <c r="L30" s="8">
        <v>-97.455648999999994</v>
      </c>
      <c r="M30" s="8" t="s">
        <v>100</v>
      </c>
      <c r="N30" s="10" t="s">
        <v>108</v>
      </c>
      <c r="O30" s="11" t="s">
        <v>105</v>
      </c>
      <c r="P30" s="11" t="s">
        <v>679</v>
      </c>
      <c r="Q30" s="12">
        <v>556</v>
      </c>
      <c r="R30" s="13">
        <v>45122</v>
      </c>
      <c r="S30" s="13">
        <v>45147</v>
      </c>
      <c r="T30" s="11">
        <v>152</v>
      </c>
      <c r="U30" s="11"/>
      <c r="V30" s="11"/>
      <c r="W30" s="11"/>
      <c r="X30" s="11"/>
      <c r="Y30" s="29" t="s">
        <v>96</v>
      </c>
      <c r="Z30">
        <v>2</v>
      </c>
    </row>
    <row r="31" spans="2:29" x14ac:dyDescent="0.25">
      <c r="B31" s="1">
        <v>44550</v>
      </c>
      <c r="C31" s="31">
        <v>0</v>
      </c>
      <c r="D31" s="31">
        <v>0</v>
      </c>
      <c r="E31" s="31">
        <v>0</v>
      </c>
      <c r="F31" s="31">
        <v>9075</v>
      </c>
      <c r="G31" s="20" t="s">
        <v>109</v>
      </c>
      <c r="H31" s="20" t="s">
        <v>110</v>
      </c>
      <c r="I31" s="20" t="s">
        <v>111</v>
      </c>
      <c r="J31" s="21" t="s">
        <v>112</v>
      </c>
      <c r="K31" s="20">
        <v>43.265368000000002</v>
      </c>
      <c r="L31" s="20">
        <v>-98.529054000000002</v>
      </c>
      <c r="M31" s="20" t="s">
        <v>113</v>
      </c>
      <c r="N31" s="4">
        <v>20211004</v>
      </c>
      <c r="O31" t="s">
        <v>54</v>
      </c>
      <c r="P31" t="s">
        <v>55</v>
      </c>
      <c r="Q31" s="5">
        <v>329</v>
      </c>
      <c r="R31" s="1">
        <v>44317</v>
      </c>
      <c r="S31" s="1">
        <v>44409</v>
      </c>
      <c r="T31">
        <v>160</v>
      </c>
      <c r="V31">
        <v>438</v>
      </c>
      <c r="W31">
        <v>101</v>
      </c>
      <c r="X31">
        <v>68</v>
      </c>
      <c r="Z31">
        <v>2</v>
      </c>
    </row>
    <row r="32" spans="2:29" x14ac:dyDescent="0.25">
      <c r="B32" s="1">
        <v>44410</v>
      </c>
      <c r="C32" s="31">
        <v>0</v>
      </c>
      <c r="D32" s="31">
        <v>1622.36</v>
      </c>
      <c r="E32" s="31">
        <v>1472.4</v>
      </c>
      <c r="F32" s="31">
        <v>10580.1</v>
      </c>
      <c r="G32" s="6" t="s">
        <v>109</v>
      </c>
      <c r="H32" s="6" t="s">
        <v>110</v>
      </c>
      <c r="I32" s="6" t="s">
        <v>111</v>
      </c>
      <c r="J32" s="7" t="s">
        <v>112</v>
      </c>
      <c r="K32" s="6">
        <v>43.265368000000002</v>
      </c>
      <c r="L32" s="6">
        <v>-98.529054000000002</v>
      </c>
      <c r="M32" s="6" t="s">
        <v>113</v>
      </c>
      <c r="N32" s="4">
        <v>20211004</v>
      </c>
      <c r="O32" t="s">
        <v>56</v>
      </c>
      <c r="P32" t="s">
        <v>57</v>
      </c>
      <c r="Q32" s="5">
        <v>340</v>
      </c>
      <c r="R32" s="1">
        <v>44317</v>
      </c>
      <c r="S32" s="1">
        <v>44409</v>
      </c>
      <c r="T32">
        <v>160</v>
      </c>
      <c r="V32">
        <v>1135</v>
      </c>
      <c r="W32">
        <v>379</v>
      </c>
      <c r="X32">
        <v>265</v>
      </c>
      <c r="Z32">
        <v>2</v>
      </c>
    </row>
    <row r="33" spans="1:29" s="28" customFormat="1" x14ac:dyDescent="0.25">
      <c r="A33"/>
      <c r="B33"/>
      <c r="C33" s="31"/>
      <c r="D33" s="31"/>
      <c r="E33" s="31"/>
      <c r="F33" s="31"/>
      <c r="G33" s="6" t="s">
        <v>109</v>
      </c>
      <c r="H33" s="6" t="s">
        <v>110</v>
      </c>
      <c r="I33" s="6" t="s">
        <v>111</v>
      </c>
      <c r="J33" s="7" t="s">
        <v>112</v>
      </c>
      <c r="K33" s="6">
        <v>43.265368000000002</v>
      </c>
      <c r="L33" s="6">
        <v>-98.529054000000002</v>
      </c>
      <c r="M33" s="6" t="s">
        <v>113</v>
      </c>
      <c r="N33" s="4">
        <v>20211004</v>
      </c>
      <c r="O33" t="s">
        <v>105</v>
      </c>
      <c r="P33" t="s">
        <v>679</v>
      </c>
      <c r="Q33" s="5">
        <v>556</v>
      </c>
      <c r="R33" s="1">
        <v>44317</v>
      </c>
      <c r="S33" s="1">
        <v>44409</v>
      </c>
      <c r="T33">
        <v>160</v>
      </c>
      <c r="U33"/>
      <c r="V33"/>
      <c r="W33"/>
      <c r="X33"/>
      <c r="Z33">
        <v>2</v>
      </c>
      <c r="AA33" s="120"/>
      <c r="AB33" s="120"/>
      <c r="AC33" s="120"/>
    </row>
    <row r="34" spans="1:29" s="28" customFormat="1" x14ac:dyDescent="0.25">
      <c r="A34"/>
      <c r="B34"/>
      <c r="C34" s="31"/>
      <c r="D34" s="31"/>
      <c r="E34" s="31"/>
      <c r="F34" s="31"/>
      <c r="G34" s="6" t="s">
        <v>109</v>
      </c>
      <c r="H34" s="6" t="s">
        <v>110</v>
      </c>
      <c r="I34" s="6" t="s">
        <v>111</v>
      </c>
      <c r="J34" s="7" t="s">
        <v>112</v>
      </c>
      <c r="K34" s="6">
        <v>43.265368000000002</v>
      </c>
      <c r="L34" s="6">
        <v>-98.529054000000002</v>
      </c>
      <c r="M34" s="6" t="s">
        <v>113</v>
      </c>
      <c r="N34" s="4" t="s">
        <v>114</v>
      </c>
      <c r="O34" t="s">
        <v>54</v>
      </c>
      <c r="P34" t="s">
        <v>55</v>
      </c>
      <c r="Q34" s="5">
        <v>329</v>
      </c>
      <c r="R34" s="1">
        <v>45031</v>
      </c>
      <c r="S34" s="1">
        <v>45117</v>
      </c>
      <c r="T34">
        <v>160</v>
      </c>
      <c r="U34"/>
      <c r="V34">
        <v>438</v>
      </c>
      <c r="W34">
        <v>101</v>
      </c>
      <c r="X34">
        <v>68</v>
      </c>
      <c r="Z34">
        <v>2</v>
      </c>
      <c r="AA34" s="120"/>
      <c r="AB34" s="120"/>
      <c r="AC34" s="120"/>
    </row>
    <row r="35" spans="1:29" s="28" customFormat="1" x14ac:dyDescent="0.25">
      <c r="A35"/>
      <c r="B35" s="1">
        <v>45092</v>
      </c>
      <c r="C35" s="31">
        <v>2787.04</v>
      </c>
      <c r="D35" s="31">
        <v>1220.96</v>
      </c>
      <c r="E35" s="31">
        <v>7520</v>
      </c>
      <c r="F35" s="31">
        <v>11528</v>
      </c>
      <c r="G35" s="6" t="s">
        <v>109</v>
      </c>
      <c r="H35" s="6" t="s">
        <v>110</v>
      </c>
      <c r="I35" s="6" t="s">
        <v>111</v>
      </c>
      <c r="J35" s="7" t="s">
        <v>112</v>
      </c>
      <c r="K35" s="6">
        <v>43.265368000000002</v>
      </c>
      <c r="L35" s="6">
        <v>-98.529054000000002</v>
      </c>
      <c r="M35" s="6" t="s">
        <v>113</v>
      </c>
      <c r="N35" s="4" t="s">
        <v>114</v>
      </c>
      <c r="O35" t="s">
        <v>56</v>
      </c>
      <c r="P35" t="s">
        <v>57</v>
      </c>
      <c r="Q35" s="5">
        <v>340</v>
      </c>
      <c r="R35" s="1">
        <v>45031</v>
      </c>
      <c r="S35" s="1">
        <v>45117</v>
      </c>
      <c r="T35">
        <v>160</v>
      </c>
      <c r="U35"/>
      <c r="V35">
        <v>1135</v>
      </c>
      <c r="W35">
        <v>379</v>
      </c>
      <c r="X35">
        <v>265</v>
      </c>
      <c r="Z35">
        <v>2</v>
      </c>
      <c r="AA35" s="120"/>
      <c r="AB35" s="120"/>
      <c r="AC35" s="120"/>
    </row>
    <row r="36" spans="1:29" s="28" customFormat="1" x14ac:dyDescent="0.25">
      <c r="A36"/>
      <c r="B36" s="11"/>
      <c r="C36" s="32"/>
      <c r="D36" s="32"/>
      <c r="E36" s="32"/>
      <c r="F36" s="32"/>
      <c r="G36" s="8" t="s">
        <v>109</v>
      </c>
      <c r="H36" s="8" t="s">
        <v>110</v>
      </c>
      <c r="I36" s="8" t="s">
        <v>111</v>
      </c>
      <c r="J36" s="9" t="s">
        <v>112</v>
      </c>
      <c r="K36" s="8">
        <v>43.265368000000002</v>
      </c>
      <c r="L36" s="8">
        <v>-98.529054000000002</v>
      </c>
      <c r="M36" s="8" t="s">
        <v>113</v>
      </c>
      <c r="N36" s="10" t="s">
        <v>114</v>
      </c>
      <c r="O36" s="11" t="s">
        <v>105</v>
      </c>
      <c r="P36" s="11" t="s">
        <v>679</v>
      </c>
      <c r="Q36" s="12">
        <v>556</v>
      </c>
      <c r="R36" s="13">
        <v>45031</v>
      </c>
      <c r="S36" s="13">
        <v>45117</v>
      </c>
      <c r="T36" s="11">
        <v>160</v>
      </c>
      <c r="U36" s="11"/>
      <c r="V36" s="11"/>
      <c r="W36" s="11"/>
      <c r="X36" s="11"/>
      <c r="Z36">
        <v>2</v>
      </c>
      <c r="AA36" s="120"/>
      <c r="AB36" s="120"/>
      <c r="AC36" s="120"/>
    </row>
    <row r="37" spans="1:29" s="53" customFormat="1" x14ac:dyDescent="0.25">
      <c r="A37" s="46"/>
      <c r="B37" s="46" t="s">
        <v>76</v>
      </c>
      <c r="C37" s="47"/>
      <c r="D37" s="47"/>
      <c r="E37" s="47"/>
      <c r="F37" s="47"/>
      <c r="G37" s="48" t="s">
        <v>115</v>
      </c>
      <c r="H37" s="48" t="s">
        <v>116</v>
      </c>
      <c r="I37" s="48" t="s">
        <v>117</v>
      </c>
      <c r="J37" s="49" t="s">
        <v>118</v>
      </c>
      <c r="K37" s="48">
        <v>43.707427000000003</v>
      </c>
      <c r="L37" s="48">
        <v>-96.898537000000005</v>
      </c>
      <c r="M37" s="48" t="s">
        <v>119</v>
      </c>
      <c r="N37" s="50" t="s">
        <v>120</v>
      </c>
      <c r="O37" s="46" t="s">
        <v>54</v>
      </c>
      <c r="P37" s="46" t="s">
        <v>55</v>
      </c>
      <c r="Q37" s="51">
        <v>329</v>
      </c>
      <c r="R37" s="52">
        <v>44287</v>
      </c>
      <c r="S37" s="52">
        <v>44409</v>
      </c>
      <c r="T37" s="46">
        <v>400</v>
      </c>
      <c r="U37" s="46"/>
      <c r="V37" s="46">
        <v>1084</v>
      </c>
      <c r="W37" s="46">
        <v>281</v>
      </c>
      <c r="X37" s="46">
        <v>127</v>
      </c>
      <c r="Z37" s="46">
        <v>2</v>
      </c>
      <c r="AA37" s="120"/>
      <c r="AB37" s="120"/>
      <c r="AC37" s="120"/>
    </row>
    <row r="38" spans="1:29" s="53" customFormat="1" x14ac:dyDescent="0.25">
      <c r="A38" s="46"/>
      <c r="B38" s="80" t="s">
        <v>76</v>
      </c>
      <c r="C38" s="55"/>
      <c r="D38" s="55"/>
      <c r="E38" s="55"/>
      <c r="F38" s="55"/>
      <c r="G38" s="8" t="s">
        <v>115</v>
      </c>
      <c r="H38" s="8" t="s">
        <v>116</v>
      </c>
      <c r="I38" s="8" t="s">
        <v>117</v>
      </c>
      <c r="J38" s="9" t="s">
        <v>118</v>
      </c>
      <c r="K38" s="8">
        <v>43.707427000000003</v>
      </c>
      <c r="L38" s="8">
        <v>-96.898537000000005</v>
      </c>
      <c r="M38" s="8" t="s">
        <v>119</v>
      </c>
      <c r="N38" s="56" t="s">
        <v>120</v>
      </c>
      <c r="O38" s="54" t="s">
        <v>56</v>
      </c>
      <c r="P38" s="54" t="s">
        <v>57</v>
      </c>
      <c r="Q38" s="57">
        <v>340</v>
      </c>
      <c r="R38" s="58">
        <v>44287</v>
      </c>
      <c r="S38" s="58">
        <v>44409</v>
      </c>
      <c r="T38" s="54">
        <v>30</v>
      </c>
      <c r="U38" s="54"/>
      <c r="V38" s="54">
        <v>285</v>
      </c>
      <c r="W38" s="54">
        <v>99</v>
      </c>
      <c r="X38" s="54">
        <v>605</v>
      </c>
      <c r="Z38" s="46">
        <v>2</v>
      </c>
      <c r="AA38" s="120"/>
      <c r="AB38" s="120"/>
      <c r="AC38" s="120"/>
    </row>
    <row r="39" spans="1:29" s="53" customFormat="1" x14ac:dyDescent="0.25">
      <c r="A39" s="46"/>
      <c r="B39" s="46" t="s">
        <v>76</v>
      </c>
      <c r="C39" s="47"/>
      <c r="D39" s="47"/>
      <c r="E39" s="47"/>
      <c r="F39" s="47"/>
      <c r="G39" s="48" t="s">
        <v>121</v>
      </c>
      <c r="H39" s="48" t="s">
        <v>122</v>
      </c>
      <c r="I39" s="48" t="s">
        <v>123</v>
      </c>
      <c r="J39" s="49" t="s">
        <v>80</v>
      </c>
      <c r="K39" s="48">
        <v>43.671343999999998</v>
      </c>
      <c r="L39" s="48">
        <v>-96.464568</v>
      </c>
      <c r="M39" s="48" t="s">
        <v>81</v>
      </c>
      <c r="N39" s="50" t="s">
        <v>124</v>
      </c>
      <c r="O39" s="46" t="s">
        <v>83</v>
      </c>
      <c r="P39" s="46" t="s">
        <v>84</v>
      </c>
      <c r="Q39" s="51">
        <v>328</v>
      </c>
      <c r="R39" s="52">
        <v>44287</v>
      </c>
      <c r="S39" s="52">
        <v>44473</v>
      </c>
      <c r="T39" s="46">
        <v>250</v>
      </c>
      <c r="U39" s="46"/>
      <c r="V39" s="46"/>
      <c r="W39" s="46"/>
      <c r="X39" s="46"/>
      <c r="Z39" s="46">
        <v>2</v>
      </c>
      <c r="AA39" s="120"/>
      <c r="AB39" s="120"/>
      <c r="AC39" s="120"/>
    </row>
    <row r="40" spans="1:29" s="53" customFormat="1" x14ac:dyDescent="0.25">
      <c r="A40" s="46"/>
      <c r="B40" s="38" t="s">
        <v>76</v>
      </c>
      <c r="C40" s="47"/>
      <c r="D40" s="47"/>
      <c r="E40" s="47"/>
      <c r="F40" s="47"/>
      <c r="G40" s="6" t="s">
        <v>121</v>
      </c>
      <c r="H40" s="6" t="s">
        <v>122</v>
      </c>
      <c r="I40" s="6" t="s">
        <v>123</v>
      </c>
      <c r="J40" s="7" t="s">
        <v>80</v>
      </c>
      <c r="K40" s="6">
        <v>43.671343999999998</v>
      </c>
      <c r="L40" s="6">
        <v>-96.464568</v>
      </c>
      <c r="M40" s="6" t="s">
        <v>81</v>
      </c>
      <c r="N40" s="50" t="s">
        <v>124</v>
      </c>
      <c r="O40" s="46" t="s">
        <v>54</v>
      </c>
      <c r="P40" s="46" t="s">
        <v>55</v>
      </c>
      <c r="Q40" s="51">
        <v>329</v>
      </c>
      <c r="R40" s="52">
        <v>44287</v>
      </c>
      <c r="S40" s="52">
        <v>44409</v>
      </c>
      <c r="T40" s="46">
        <v>250</v>
      </c>
      <c r="U40" s="46"/>
      <c r="V40" s="46">
        <v>363</v>
      </c>
      <c r="W40" s="46">
        <v>69</v>
      </c>
      <c r="X40" s="46">
        <v>45</v>
      </c>
      <c r="Z40" s="46">
        <v>2</v>
      </c>
      <c r="AA40" s="120"/>
      <c r="AB40" s="120"/>
      <c r="AC40" s="120"/>
    </row>
    <row r="41" spans="1:29" s="53" customFormat="1" x14ac:dyDescent="0.25">
      <c r="A41" s="46"/>
      <c r="B41" s="38" t="s">
        <v>76</v>
      </c>
      <c r="C41" s="47"/>
      <c r="D41" s="47"/>
      <c r="E41" s="47"/>
      <c r="F41" s="47"/>
      <c r="G41" s="6" t="s">
        <v>121</v>
      </c>
      <c r="H41" s="6" t="s">
        <v>122</v>
      </c>
      <c r="I41" s="6" t="s">
        <v>123</v>
      </c>
      <c r="J41" s="7" t="s">
        <v>80</v>
      </c>
      <c r="K41" s="6">
        <v>43.671343999999998</v>
      </c>
      <c r="L41" s="6">
        <v>-96.464568</v>
      </c>
      <c r="M41" s="6" t="s">
        <v>81</v>
      </c>
      <c r="N41" s="50" t="s">
        <v>124</v>
      </c>
      <c r="O41" s="46" t="s">
        <v>56</v>
      </c>
      <c r="P41" s="46" t="s">
        <v>57</v>
      </c>
      <c r="Q41" s="51">
        <v>340</v>
      </c>
      <c r="R41" s="52">
        <v>44287</v>
      </c>
      <c r="S41" s="52">
        <v>44409</v>
      </c>
      <c r="T41" s="46">
        <v>250</v>
      </c>
      <c r="U41" s="46"/>
      <c r="V41" s="46">
        <v>381</v>
      </c>
      <c r="W41" s="46">
        <v>124</v>
      </c>
      <c r="X41" s="46">
        <v>83</v>
      </c>
      <c r="Z41" s="46">
        <v>2</v>
      </c>
      <c r="AA41" s="120"/>
      <c r="AB41" s="120"/>
      <c r="AC41" s="120"/>
    </row>
    <row r="42" spans="1:29" s="53" customFormat="1" x14ac:dyDescent="0.25">
      <c r="A42" s="46"/>
      <c r="B42" s="38" t="s">
        <v>76</v>
      </c>
      <c r="C42" s="47"/>
      <c r="D42" s="47"/>
      <c r="E42" s="47"/>
      <c r="F42" s="47"/>
      <c r="G42" s="6" t="s">
        <v>121</v>
      </c>
      <c r="H42" s="6" t="s">
        <v>122</v>
      </c>
      <c r="I42" s="6" t="s">
        <v>123</v>
      </c>
      <c r="J42" s="7" t="s">
        <v>80</v>
      </c>
      <c r="K42" s="6">
        <v>43.671343999999998</v>
      </c>
      <c r="L42" s="6">
        <v>-96.464568</v>
      </c>
      <c r="M42" s="6" t="s">
        <v>81</v>
      </c>
      <c r="N42" s="50" t="s">
        <v>125</v>
      </c>
      <c r="O42" s="46" t="s">
        <v>83</v>
      </c>
      <c r="P42" s="46" t="s">
        <v>84</v>
      </c>
      <c r="Q42" s="51">
        <v>328</v>
      </c>
      <c r="R42" s="52">
        <v>44703</v>
      </c>
      <c r="S42" s="52">
        <v>44845</v>
      </c>
      <c r="T42" s="46">
        <v>250</v>
      </c>
      <c r="U42" s="46"/>
      <c r="V42" s="46"/>
      <c r="W42" s="46"/>
      <c r="X42" s="46"/>
      <c r="Z42" s="46">
        <v>2</v>
      </c>
      <c r="AA42" s="120"/>
      <c r="AB42" s="120"/>
      <c r="AC42" s="120"/>
    </row>
    <row r="43" spans="1:29" s="53" customFormat="1" x14ac:dyDescent="0.25">
      <c r="A43" s="46"/>
      <c r="B43" s="38" t="s">
        <v>76</v>
      </c>
      <c r="C43" s="47"/>
      <c r="D43" s="47"/>
      <c r="E43" s="47"/>
      <c r="F43" s="47"/>
      <c r="G43" s="6" t="s">
        <v>121</v>
      </c>
      <c r="H43" s="6" t="s">
        <v>122</v>
      </c>
      <c r="I43" s="6" t="s">
        <v>123</v>
      </c>
      <c r="J43" s="7" t="s">
        <v>80</v>
      </c>
      <c r="K43" s="6">
        <v>43.671343999999998</v>
      </c>
      <c r="L43" s="6">
        <v>-96.464568</v>
      </c>
      <c r="M43" s="6" t="s">
        <v>81</v>
      </c>
      <c r="N43" s="50" t="s">
        <v>125</v>
      </c>
      <c r="O43" s="46" t="s">
        <v>54</v>
      </c>
      <c r="P43" s="46" t="s">
        <v>55</v>
      </c>
      <c r="Q43" s="51">
        <v>329</v>
      </c>
      <c r="R43" s="52">
        <v>44703</v>
      </c>
      <c r="S43" s="52">
        <v>44845</v>
      </c>
      <c r="T43" s="46">
        <v>250</v>
      </c>
      <c r="U43" s="46"/>
      <c r="V43" s="46">
        <v>1124</v>
      </c>
      <c r="W43" s="46">
        <v>207</v>
      </c>
      <c r="X43" s="46">
        <v>131</v>
      </c>
      <c r="Z43" s="46">
        <v>2</v>
      </c>
      <c r="AA43" s="120"/>
      <c r="AB43" s="120"/>
      <c r="AC43" s="120"/>
    </row>
    <row r="44" spans="1:29" s="53" customFormat="1" x14ac:dyDescent="0.25">
      <c r="A44" s="46"/>
      <c r="B44" s="38" t="s">
        <v>76</v>
      </c>
      <c r="C44" s="47"/>
      <c r="D44" s="47"/>
      <c r="E44" s="47"/>
      <c r="F44" s="47"/>
      <c r="G44" s="6" t="s">
        <v>121</v>
      </c>
      <c r="H44" s="6" t="s">
        <v>122</v>
      </c>
      <c r="I44" s="6" t="s">
        <v>123</v>
      </c>
      <c r="J44" s="7" t="s">
        <v>80</v>
      </c>
      <c r="K44" s="6">
        <v>43.671343999999998</v>
      </c>
      <c r="L44" s="6">
        <v>-96.464568</v>
      </c>
      <c r="M44" s="6" t="s">
        <v>81</v>
      </c>
      <c r="N44" s="50" t="s">
        <v>125</v>
      </c>
      <c r="O44" s="46" t="s">
        <v>56</v>
      </c>
      <c r="P44" s="46" t="s">
        <v>57</v>
      </c>
      <c r="Q44" s="51">
        <v>340</v>
      </c>
      <c r="R44" s="52">
        <v>44703</v>
      </c>
      <c r="S44" s="52">
        <v>44845</v>
      </c>
      <c r="T44" s="46">
        <v>250</v>
      </c>
      <c r="U44" s="46"/>
      <c r="V44" s="46">
        <v>684</v>
      </c>
      <c r="W44" s="46">
        <v>229</v>
      </c>
      <c r="X44" s="46">
        <v>164</v>
      </c>
      <c r="Z44" s="46">
        <v>2</v>
      </c>
      <c r="AA44" s="120"/>
      <c r="AB44" s="120"/>
      <c r="AC44" s="120"/>
    </row>
    <row r="45" spans="1:29" s="53" customFormat="1" x14ac:dyDescent="0.25">
      <c r="A45" s="46"/>
      <c r="B45" s="80" t="s">
        <v>76</v>
      </c>
      <c r="C45" s="55"/>
      <c r="D45" s="55"/>
      <c r="E45" s="55"/>
      <c r="F45" s="55"/>
      <c r="G45" s="8" t="s">
        <v>121</v>
      </c>
      <c r="H45" s="8" t="s">
        <v>122</v>
      </c>
      <c r="I45" s="8" t="s">
        <v>123</v>
      </c>
      <c r="J45" s="9" t="s">
        <v>80</v>
      </c>
      <c r="K45" s="8">
        <v>43.671343999999998</v>
      </c>
      <c r="L45" s="8">
        <v>-96.464568</v>
      </c>
      <c r="M45" s="8" t="s">
        <v>81</v>
      </c>
      <c r="N45" s="56" t="s">
        <v>125</v>
      </c>
      <c r="O45" s="54" t="s">
        <v>105</v>
      </c>
      <c r="P45" s="54" t="s">
        <v>679</v>
      </c>
      <c r="Q45" s="57">
        <v>556</v>
      </c>
      <c r="R45" s="58">
        <v>44703</v>
      </c>
      <c r="S45" s="58">
        <v>44845</v>
      </c>
      <c r="T45" s="54">
        <v>250</v>
      </c>
      <c r="U45" s="54"/>
      <c r="V45" s="54"/>
      <c r="W45" s="54"/>
      <c r="X45" s="54"/>
      <c r="Z45" s="46">
        <v>2</v>
      </c>
      <c r="AA45" s="120"/>
      <c r="AB45" s="120"/>
      <c r="AC45" s="120"/>
    </row>
    <row r="46" spans="1:29" s="53" customFormat="1" x14ac:dyDescent="0.25">
      <c r="A46" s="46"/>
      <c r="B46" s="46" t="s">
        <v>76</v>
      </c>
      <c r="C46" s="47"/>
      <c r="D46" s="47"/>
      <c r="E46" s="47"/>
      <c r="F46" s="47"/>
      <c r="G46" s="48" t="s">
        <v>121</v>
      </c>
      <c r="H46" s="48" t="s">
        <v>126</v>
      </c>
      <c r="I46" s="48" t="s">
        <v>123</v>
      </c>
      <c r="J46" s="49" t="s">
        <v>127</v>
      </c>
      <c r="K46" s="48">
        <v>44.503782000000001</v>
      </c>
      <c r="L46" s="48">
        <v>-97.292654999999996</v>
      </c>
      <c r="M46" s="48" t="s">
        <v>128</v>
      </c>
      <c r="N46" s="50" t="s">
        <v>129</v>
      </c>
      <c r="O46" s="46" t="s">
        <v>54</v>
      </c>
      <c r="P46" s="46" t="s">
        <v>55</v>
      </c>
      <c r="Q46" s="51">
        <v>329</v>
      </c>
      <c r="R46" s="52">
        <v>44287</v>
      </c>
      <c r="S46" s="52">
        <v>44409</v>
      </c>
      <c r="T46" s="46">
        <v>300</v>
      </c>
      <c r="U46" s="46"/>
      <c r="V46" s="46">
        <v>300</v>
      </c>
      <c r="W46" s="46">
        <v>271</v>
      </c>
      <c r="X46" s="46">
        <v>147</v>
      </c>
      <c r="Z46" s="46">
        <v>2</v>
      </c>
      <c r="AA46" s="120"/>
      <c r="AB46" s="120"/>
      <c r="AC46" s="120"/>
    </row>
    <row r="47" spans="1:29" s="53" customFormat="1" ht="14.4" thickBot="1" x14ac:dyDescent="0.3">
      <c r="A47" s="46"/>
      <c r="B47" s="81" t="s">
        <v>76</v>
      </c>
      <c r="C47" s="60"/>
      <c r="D47" s="60"/>
      <c r="E47" s="60"/>
      <c r="F47" s="60"/>
      <c r="G47" s="61" t="s">
        <v>121</v>
      </c>
      <c r="H47" s="61" t="s">
        <v>126</v>
      </c>
      <c r="I47" s="61" t="s">
        <v>123</v>
      </c>
      <c r="J47" s="62" t="s">
        <v>127</v>
      </c>
      <c r="K47" s="61">
        <v>44.503782000000001</v>
      </c>
      <c r="L47" s="61">
        <v>-97.292654999999996</v>
      </c>
      <c r="M47" s="61" t="s">
        <v>128</v>
      </c>
      <c r="N47" s="63" t="s">
        <v>129</v>
      </c>
      <c r="O47" s="59" t="s">
        <v>56</v>
      </c>
      <c r="P47" s="59" t="s">
        <v>57</v>
      </c>
      <c r="Q47" s="64">
        <v>340</v>
      </c>
      <c r="R47" s="65">
        <v>44287</v>
      </c>
      <c r="S47" s="65">
        <v>44409</v>
      </c>
      <c r="T47" s="59">
        <v>300</v>
      </c>
      <c r="U47" s="59"/>
      <c r="V47" s="59">
        <v>256</v>
      </c>
      <c r="W47" s="59">
        <v>79</v>
      </c>
      <c r="X47" s="59">
        <v>574</v>
      </c>
      <c r="Z47" s="46">
        <v>2</v>
      </c>
      <c r="AA47" s="120"/>
      <c r="AB47" s="120"/>
      <c r="AC47" s="120"/>
    </row>
    <row r="48" spans="1:29" s="28" customFormat="1" x14ac:dyDescent="0.25">
      <c r="A48"/>
      <c r="B48"/>
      <c r="C48" s="31"/>
      <c r="D48" s="31"/>
      <c r="E48" s="31"/>
      <c r="F48" s="31"/>
      <c r="G48" s="20" t="s">
        <v>121</v>
      </c>
      <c r="H48" s="20" t="s">
        <v>126</v>
      </c>
      <c r="I48" s="20" t="s">
        <v>123</v>
      </c>
      <c r="J48" s="21" t="s">
        <v>127</v>
      </c>
      <c r="K48" s="20">
        <v>44.481755</v>
      </c>
      <c r="L48" s="20">
        <v>-97.627313999999998</v>
      </c>
      <c r="M48" s="20" t="s">
        <v>130</v>
      </c>
      <c r="N48" s="4" t="s">
        <v>131</v>
      </c>
      <c r="O48" t="s">
        <v>83</v>
      </c>
      <c r="P48" t="s">
        <v>84</v>
      </c>
      <c r="Q48" s="5">
        <v>328</v>
      </c>
      <c r="R48" s="1">
        <v>45355</v>
      </c>
      <c r="S48" s="1">
        <v>45525</v>
      </c>
      <c r="T48">
        <v>108</v>
      </c>
      <c r="U48"/>
      <c r="V48"/>
      <c r="W48"/>
      <c r="X48"/>
      <c r="Z48">
        <v>3</v>
      </c>
      <c r="AA48" s="120"/>
      <c r="AB48" s="120"/>
      <c r="AC48" s="120"/>
    </row>
    <row r="49" spans="1:29" s="28" customFormat="1" x14ac:dyDescent="0.25">
      <c r="A49"/>
      <c r="B49"/>
      <c r="C49" s="31"/>
      <c r="D49" s="31"/>
      <c r="E49" s="31"/>
      <c r="F49" s="31"/>
      <c r="G49" s="6" t="s">
        <v>121</v>
      </c>
      <c r="H49" s="6" t="s">
        <v>126</v>
      </c>
      <c r="I49" s="6" t="s">
        <v>123</v>
      </c>
      <c r="J49" s="7" t="s">
        <v>127</v>
      </c>
      <c r="K49" s="6">
        <v>44.481755</v>
      </c>
      <c r="L49" s="6">
        <v>-97.627313999999998</v>
      </c>
      <c r="M49" s="6" t="s">
        <v>130</v>
      </c>
      <c r="N49" s="4" t="s">
        <v>131</v>
      </c>
      <c r="O49" t="s">
        <v>54</v>
      </c>
      <c r="P49" t="s">
        <v>55</v>
      </c>
      <c r="Q49" s="5">
        <v>329</v>
      </c>
      <c r="R49" s="1">
        <v>45352</v>
      </c>
      <c r="S49" s="1">
        <v>45600</v>
      </c>
      <c r="T49">
        <v>108</v>
      </c>
      <c r="U49"/>
      <c r="V49">
        <v>232</v>
      </c>
      <c r="W49">
        <v>37</v>
      </c>
      <c r="X49">
        <v>21</v>
      </c>
      <c r="Z49">
        <v>3</v>
      </c>
      <c r="AA49" s="120"/>
      <c r="AB49" s="120"/>
      <c r="AC49" s="120"/>
    </row>
    <row r="50" spans="1:29" s="28" customFormat="1" x14ac:dyDescent="0.25">
      <c r="A50"/>
      <c r="B50" s="13">
        <v>45565</v>
      </c>
      <c r="C50" s="32">
        <v>10693.08</v>
      </c>
      <c r="D50" s="32"/>
      <c r="E50" s="32">
        <v>10693.08</v>
      </c>
      <c r="F50" s="32">
        <v>21386.16</v>
      </c>
      <c r="G50" s="8" t="s">
        <v>121</v>
      </c>
      <c r="H50" s="8" t="s">
        <v>126</v>
      </c>
      <c r="I50" s="8" t="s">
        <v>123</v>
      </c>
      <c r="J50" s="9" t="s">
        <v>127</v>
      </c>
      <c r="K50" s="8">
        <v>44.481755</v>
      </c>
      <c r="L50" s="8">
        <v>-97.627313999999998</v>
      </c>
      <c r="M50" s="8" t="s">
        <v>130</v>
      </c>
      <c r="N50" s="10" t="s">
        <v>131</v>
      </c>
      <c r="O50" s="11" t="s">
        <v>132</v>
      </c>
      <c r="P50" s="11" t="s">
        <v>133</v>
      </c>
      <c r="Q50" s="12"/>
      <c r="R50" s="13">
        <v>45433</v>
      </c>
      <c r="S50" s="13">
        <v>45552</v>
      </c>
      <c r="T50" s="11">
        <v>108</v>
      </c>
      <c r="U50" s="11"/>
      <c r="V50" s="11">
        <v>411</v>
      </c>
      <c r="W50" s="11">
        <v>120</v>
      </c>
      <c r="X50" s="11">
        <v>74</v>
      </c>
      <c r="Z50">
        <v>3</v>
      </c>
      <c r="AA50" s="120"/>
      <c r="AB50" s="120"/>
      <c r="AC50" s="120"/>
    </row>
    <row r="51" spans="1:29" s="28" customFormat="1" x14ac:dyDescent="0.25">
      <c r="A51"/>
      <c r="B51"/>
      <c r="C51" s="31"/>
      <c r="D51" s="31"/>
      <c r="E51" s="31"/>
      <c r="F51" s="31"/>
      <c r="G51" s="20" t="s">
        <v>134</v>
      </c>
      <c r="H51" s="20" t="s">
        <v>135</v>
      </c>
      <c r="I51" s="20" t="s">
        <v>136</v>
      </c>
      <c r="J51" s="21" t="s">
        <v>80</v>
      </c>
      <c r="K51" s="20">
        <v>43.013342999999999</v>
      </c>
      <c r="L51" s="20">
        <v>-97.414660999999995</v>
      </c>
      <c r="M51" s="20" t="s">
        <v>137</v>
      </c>
      <c r="N51" s="4">
        <v>20211008</v>
      </c>
      <c r="O51" t="s">
        <v>54</v>
      </c>
      <c r="P51" t="s">
        <v>55</v>
      </c>
      <c r="Q51" s="5">
        <v>329</v>
      </c>
      <c r="R51" s="1">
        <v>44403</v>
      </c>
      <c r="S51" s="1">
        <v>44463</v>
      </c>
      <c r="T51">
        <v>124</v>
      </c>
      <c r="U51"/>
      <c r="V51">
        <v>417</v>
      </c>
      <c r="W51">
        <v>93</v>
      </c>
      <c r="X51">
        <v>65</v>
      </c>
      <c r="Z51">
        <v>2</v>
      </c>
      <c r="AA51" s="120"/>
      <c r="AB51" s="120"/>
      <c r="AC51" s="120"/>
    </row>
    <row r="52" spans="1:29" s="28" customFormat="1" x14ac:dyDescent="0.25">
      <c r="A52"/>
      <c r="B52" s="1">
        <v>44463</v>
      </c>
      <c r="C52" s="31">
        <v>0</v>
      </c>
      <c r="D52" s="31">
        <v>2771</v>
      </c>
      <c r="E52" s="31">
        <v>2232</v>
      </c>
      <c r="F52" s="31">
        <v>5003</v>
      </c>
      <c r="G52" s="6" t="s">
        <v>134</v>
      </c>
      <c r="H52" s="6" t="s">
        <v>135</v>
      </c>
      <c r="I52" s="6" t="s">
        <v>136</v>
      </c>
      <c r="J52" s="7" t="s">
        <v>80</v>
      </c>
      <c r="K52" s="6">
        <v>43.013342999999999</v>
      </c>
      <c r="L52" s="6">
        <v>-97.414660999999995</v>
      </c>
      <c r="M52" s="6" t="s">
        <v>137</v>
      </c>
      <c r="N52" s="4">
        <v>20211008</v>
      </c>
      <c r="O52" t="s">
        <v>56</v>
      </c>
      <c r="P52" t="s">
        <v>57</v>
      </c>
      <c r="Q52" s="5">
        <v>340</v>
      </c>
      <c r="R52" s="1">
        <v>44287</v>
      </c>
      <c r="S52" s="1">
        <v>44463</v>
      </c>
      <c r="T52">
        <v>124</v>
      </c>
      <c r="U52"/>
      <c r="V52">
        <v>1033</v>
      </c>
      <c r="W52">
        <v>352</v>
      </c>
      <c r="X52">
        <v>252</v>
      </c>
      <c r="Z52">
        <v>2</v>
      </c>
      <c r="AA52" s="120"/>
      <c r="AB52" s="120"/>
      <c r="AC52" s="120"/>
    </row>
    <row r="53" spans="1:29" s="28" customFormat="1" x14ac:dyDescent="0.25">
      <c r="A53"/>
      <c r="B53" s="11"/>
      <c r="C53" s="32"/>
      <c r="D53" s="32"/>
      <c r="E53" s="32"/>
      <c r="F53" s="32"/>
      <c r="G53" s="8" t="s">
        <v>134</v>
      </c>
      <c r="H53" s="8" t="s">
        <v>135</v>
      </c>
      <c r="I53" s="8" t="s">
        <v>136</v>
      </c>
      <c r="J53" s="9" t="s">
        <v>80</v>
      </c>
      <c r="K53" s="8">
        <v>43.013342999999999</v>
      </c>
      <c r="L53" s="8">
        <v>-97.414660999999995</v>
      </c>
      <c r="M53" s="8" t="s">
        <v>137</v>
      </c>
      <c r="N53" s="10">
        <v>20211008</v>
      </c>
      <c r="O53" s="11" t="s">
        <v>105</v>
      </c>
      <c r="P53" s="11" t="s">
        <v>679</v>
      </c>
      <c r="Q53" s="12">
        <v>556</v>
      </c>
      <c r="R53" s="13">
        <v>44317</v>
      </c>
      <c r="S53" s="13">
        <v>44409</v>
      </c>
      <c r="T53" s="11">
        <v>124</v>
      </c>
      <c r="U53" s="11"/>
      <c r="V53" s="11"/>
      <c r="W53" s="11"/>
      <c r="X53" s="11"/>
      <c r="Z53">
        <v>2</v>
      </c>
      <c r="AA53" s="120"/>
      <c r="AB53" s="120"/>
      <c r="AC53" s="120"/>
    </row>
    <row r="54" spans="1:29" s="28" customFormat="1" x14ac:dyDescent="0.25">
      <c r="A54"/>
      <c r="B54"/>
      <c r="C54" s="31"/>
      <c r="D54" s="31"/>
      <c r="E54" s="31"/>
      <c r="F54" s="31"/>
      <c r="G54" s="20" t="s">
        <v>134</v>
      </c>
      <c r="H54" s="20" t="s">
        <v>138</v>
      </c>
      <c r="I54" s="20" t="s">
        <v>136</v>
      </c>
      <c r="J54" s="21" t="s">
        <v>139</v>
      </c>
      <c r="K54" s="20">
        <v>43.036881999999999</v>
      </c>
      <c r="L54" s="20">
        <v>-97.424096000000006</v>
      </c>
      <c r="M54" s="20" t="s">
        <v>137</v>
      </c>
      <c r="N54" s="4">
        <v>20211007</v>
      </c>
      <c r="O54" t="s">
        <v>54</v>
      </c>
      <c r="P54" t="s">
        <v>55</v>
      </c>
      <c r="Q54" s="5">
        <v>329</v>
      </c>
      <c r="R54" s="1">
        <v>44287</v>
      </c>
      <c r="S54" s="1">
        <v>44463</v>
      </c>
      <c r="T54">
        <v>123</v>
      </c>
      <c r="U54"/>
      <c r="V54">
        <v>417</v>
      </c>
      <c r="W54">
        <v>93</v>
      </c>
      <c r="X54">
        <v>64</v>
      </c>
      <c r="Z54">
        <v>2</v>
      </c>
      <c r="AA54" s="120"/>
      <c r="AB54" s="120"/>
      <c r="AC54" s="120"/>
    </row>
    <row r="55" spans="1:29" s="28" customFormat="1" x14ac:dyDescent="0.25">
      <c r="A55"/>
      <c r="B55" s="1">
        <v>44463</v>
      </c>
      <c r="C55" s="31">
        <v>0</v>
      </c>
      <c r="D55" s="31">
        <v>2501</v>
      </c>
      <c r="E55" s="31">
        <v>4715</v>
      </c>
      <c r="F55" s="31">
        <v>4715</v>
      </c>
      <c r="G55" s="6" t="s">
        <v>134</v>
      </c>
      <c r="H55" s="6" t="s">
        <v>138</v>
      </c>
      <c r="I55" s="6" t="s">
        <v>136</v>
      </c>
      <c r="J55" s="7" t="s">
        <v>139</v>
      </c>
      <c r="K55" s="6">
        <v>43.036881999999999</v>
      </c>
      <c r="L55" s="6">
        <v>-97.424096000000006</v>
      </c>
      <c r="M55" s="6" t="s">
        <v>137</v>
      </c>
      <c r="N55" s="4">
        <v>20211007</v>
      </c>
      <c r="O55" t="s">
        <v>56</v>
      </c>
      <c r="P55" t="s">
        <v>57</v>
      </c>
      <c r="Q55" s="5">
        <v>340</v>
      </c>
      <c r="R55" s="1">
        <v>44287</v>
      </c>
      <c r="S55" s="1">
        <v>44463</v>
      </c>
      <c r="T55">
        <v>123</v>
      </c>
      <c r="U55"/>
      <c r="V55">
        <v>1033</v>
      </c>
      <c r="W55">
        <v>352</v>
      </c>
      <c r="X55">
        <v>252</v>
      </c>
      <c r="Z55">
        <v>2</v>
      </c>
      <c r="AA55" s="120"/>
      <c r="AB55" s="120"/>
      <c r="AC55" s="120"/>
    </row>
    <row r="56" spans="1:29" s="28" customFormat="1" x14ac:dyDescent="0.25">
      <c r="A56"/>
      <c r="B56" s="66"/>
      <c r="C56" s="67"/>
      <c r="D56" s="67"/>
      <c r="E56" s="67"/>
      <c r="F56" s="67"/>
      <c r="G56" s="68" t="s">
        <v>134</v>
      </c>
      <c r="H56" s="68" t="s">
        <v>138</v>
      </c>
      <c r="I56" s="68" t="s">
        <v>136</v>
      </c>
      <c r="J56" s="69" t="s">
        <v>139</v>
      </c>
      <c r="K56" s="68">
        <v>43.036881999999999</v>
      </c>
      <c r="L56" s="68">
        <v>-97.424096000000006</v>
      </c>
      <c r="M56" s="68" t="s">
        <v>137</v>
      </c>
      <c r="N56" s="70">
        <v>20211007</v>
      </c>
      <c r="O56" s="66" t="s">
        <v>105</v>
      </c>
      <c r="P56" s="66" t="s">
        <v>679</v>
      </c>
      <c r="Q56" s="71">
        <v>556</v>
      </c>
      <c r="R56" s="72">
        <v>44287</v>
      </c>
      <c r="S56" s="72">
        <v>44463</v>
      </c>
      <c r="T56" s="66">
        <v>123</v>
      </c>
      <c r="U56" s="66"/>
      <c r="V56" s="66"/>
      <c r="W56" s="66"/>
      <c r="X56" s="66"/>
      <c r="Z56">
        <v>2</v>
      </c>
      <c r="AA56" s="120"/>
      <c r="AB56" s="120"/>
      <c r="AC56" s="120"/>
    </row>
    <row r="57" spans="1:29" s="53" customFormat="1" x14ac:dyDescent="0.25">
      <c r="A57" s="46"/>
      <c r="B57" s="46" t="s">
        <v>76</v>
      </c>
      <c r="C57" s="47"/>
      <c r="D57" s="47"/>
      <c r="E57" s="47"/>
      <c r="F57" s="47"/>
      <c r="G57" s="48" t="s">
        <v>140</v>
      </c>
      <c r="H57" s="48" t="s">
        <v>141</v>
      </c>
      <c r="I57" s="48" t="s">
        <v>142</v>
      </c>
      <c r="J57" s="48" t="s">
        <v>69</v>
      </c>
      <c r="K57" s="48">
        <v>43.720559000000002</v>
      </c>
      <c r="L57" s="48">
        <v>-98.272563000000005</v>
      </c>
      <c r="M57" s="48" t="s">
        <v>143</v>
      </c>
      <c r="N57" s="50" t="s">
        <v>144</v>
      </c>
      <c r="O57" s="46" t="s">
        <v>83</v>
      </c>
      <c r="P57" s="46" t="s">
        <v>84</v>
      </c>
      <c r="Q57" s="51">
        <v>328</v>
      </c>
      <c r="R57" s="52">
        <v>44287</v>
      </c>
      <c r="S57" s="52">
        <v>44409</v>
      </c>
      <c r="T57" s="46"/>
      <c r="U57" s="46" t="s">
        <v>145</v>
      </c>
      <c r="V57" s="46"/>
      <c r="W57" s="46"/>
      <c r="X57" s="46"/>
      <c r="Z57" s="46">
        <v>2</v>
      </c>
      <c r="AA57" s="120"/>
      <c r="AB57" s="120"/>
      <c r="AC57" s="120"/>
    </row>
    <row r="58" spans="1:29" s="53" customFormat="1" x14ac:dyDescent="0.25">
      <c r="A58" s="46"/>
      <c r="B58" s="38" t="s">
        <v>76</v>
      </c>
      <c r="C58" s="47"/>
      <c r="D58" s="47"/>
      <c r="E58" s="47"/>
      <c r="F58" s="47"/>
      <c r="G58" s="6" t="s">
        <v>140</v>
      </c>
      <c r="H58" s="6" t="s">
        <v>141</v>
      </c>
      <c r="I58" s="6" t="s">
        <v>142</v>
      </c>
      <c r="J58" s="6" t="s">
        <v>69</v>
      </c>
      <c r="K58" s="6">
        <v>43.720559000000002</v>
      </c>
      <c r="L58" s="6">
        <v>-98.272563000000005</v>
      </c>
      <c r="M58" s="6" t="s">
        <v>143</v>
      </c>
      <c r="N58" s="50" t="s">
        <v>144</v>
      </c>
      <c r="O58" s="46" t="s">
        <v>54</v>
      </c>
      <c r="P58" s="46" t="s">
        <v>55</v>
      </c>
      <c r="Q58" s="51">
        <v>329</v>
      </c>
      <c r="R58" s="52">
        <v>44287</v>
      </c>
      <c r="S58" s="52">
        <v>44409</v>
      </c>
      <c r="T58" s="46"/>
      <c r="U58" s="46" t="s">
        <v>145</v>
      </c>
      <c r="V58" s="46" t="s">
        <v>145</v>
      </c>
      <c r="W58" s="46" t="s">
        <v>145</v>
      </c>
      <c r="X58" s="46" t="s">
        <v>145</v>
      </c>
      <c r="Z58" s="46">
        <v>2</v>
      </c>
      <c r="AA58" s="120"/>
      <c r="AB58" s="120"/>
      <c r="AC58" s="120"/>
    </row>
    <row r="59" spans="1:29" s="53" customFormat="1" x14ac:dyDescent="0.25">
      <c r="A59" s="46"/>
      <c r="B59" s="54"/>
      <c r="C59" s="55"/>
      <c r="D59" s="55"/>
      <c r="E59" s="55"/>
      <c r="F59" s="55"/>
      <c r="G59" s="8" t="s">
        <v>140</v>
      </c>
      <c r="H59" s="8" t="s">
        <v>141</v>
      </c>
      <c r="I59" s="8" t="s">
        <v>142</v>
      </c>
      <c r="J59" s="8" t="s">
        <v>69</v>
      </c>
      <c r="K59" s="8">
        <v>43.720559000000002</v>
      </c>
      <c r="L59" s="8">
        <v>-98.272563000000005</v>
      </c>
      <c r="M59" s="8" t="s">
        <v>143</v>
      </c>
      <c r="N59" s="56" t="s">
        <v>144</v>
      </c>
      <c r="O59" s="54" t="s">
        <v>56</v>
      </c>
      <c r="P59" s="54" t="s">
        <v>57</v>
      </c>
      <c r="Q59" s="57">
        <v>340</v>
      </c>
      <c r="R59" s="58">
        <v>44287</v>
      </c>
      <c r="S59" s="58">
        <v>44409</v>
      </c>
      <c r="T59" s="54"/>
      <c r="U59" s="54" t="s">
        <v>145</v>
      </c>
      <c r="V59" s="54">
        <v>1405</v>
      </c>
      <c r="W59" s="54">
        <v>382</v>
      </c>
      <c r="X59" s="54">
        <v>194</v>
      </c>
      <c r="Z59" s="46">
        <v>2</v>
      </c>
      <c r="AA59" s="120"/>
      <c r="AB59" s="120"/>
      <c r="AC59" s="120"/>
    </row>
    <row r="60" spans="1:29" s="28" customFormat="1" x14ac:dyDescent="0.25">
      <c r="A60"/>
      <c r="B60"/>
      <c r="C60" s="31"/>
      <c r="D60" s="31"/>
      <c r="E60" s="31"/>
      <c r="F60" s="31"/>
      <c r="G60" s="20" t="s">
        <v>146</v>
      </c>
      <c r="H60" s="20" t="s">
        <v>147</v>
      </c>
      <c r="I60" s="20" t="s">
        <v>148</v>
      </c>
      <c r="J60" s="20" t="s">
        <v>149</v>
      </c>
      <c r="K60" s="20">
        <v>45.745404999999998</v>
      </c>
      <c r="L60" s="20">
        <v>-98.635947999999999</v>
      </c>
      <c r="M60" s="20" t="s">
        <v>150</v>
      </c>
      <c r="N60" s="4" t="s">
        <v>151</v>
      </c>
      <c r="O60" t="s">
        <v>54</v>
      </c>
      <c r="P60" t="s">
        <v>55</v>
      </c>
      <c r="Q60" s="5">
        <v>329</v>
      </c>
      <c r="R60" s="1">
        <v>45047</v>
      </c>
      <c r="S60" s="1">
        <v>45118</v>
      </c>
      <c r="T60">
        <v>1210</v>
      </c>
      <c r="U60"/>
      <c r="V60">
        <v>2301.4</v>
      </c>
      <c r="W60">
        <v>421.5</v>
      </c>
      <c r="X60">
        <v>172.1</v>
      </c>
      <c r="Z60">
        <v>2</v>
      </c>
      <c r="AA60" s="120"/>
      <c r="AB60" s="120"/>
      <c r="AC60" s="120"/>
    </row>
    <row r="61" spans="1:29" s="28" customFormat="1" x14ac:dyDescent="0.25">
      <c r="A61"/>
      <c r="B61" s="13">
        <v>45119</v>
      </c>
      <c r="C61" s="32">
        <v>4000</v>
      </c>
      <c r="D61" s="32">
        <v>0</v>
      </c>
      <c r="E61" s="32">
        <v>45240</v>
      </c>
      <c r="F61" s="32">
        <v>49240</v>
      </c>
      <c r="G61" s="8" t="s">
        <v>146</v>
      </c>
      <c r="H61" s="8" t="s">
        <v>147</v>
      </c>
      <c r="I61" s="8" t="s">
        <v>148</v>
      </c>
      <c r="J61" s="8" t="s">
        <v>149</v>
      </c>
      <c r="K61" s="8">
        <v>45.745404999999998</v>
      </c>
      <c r="L61" s="8">
        <v>-98.635947999999999</v>
      </c>
      <c r="M61" s="8" t="s">
        <v>150</v>
      </c>
      <c r="N61" s="10" t="s">
        <v>151</v>
      </c>
      <c r="O61" s="11" t="s">
        <v>56</v>
      </c>
      <c r="P61" s="11" t="s">
        <v>57</v>
      </c>
      <c r="Q61" s="12">
        <v>340</v>
      </c>
      <c r="R61" s="13">
        <v>45047</v>
      </c>
      <c r="S61" s="13">
        <v>45118</v>
      </c>
      <c r="T61" s="11">
        <v>1210</v>
      </c>
      <c r="U61" s="11"/>
      <c r="V61" s="11">
        <v>2486.3000000000002</v>
      </c>
      <c r="W61" s="11">
        <v>622.1</v>
      </c>
      <c r="X61" s="11">
        <v>259.5</v>
      </c>
      <c r="Z61">
        <v>2</v>
      </c>
      <c r="AA61" s="120"/>
      <c r="AB61" s="120"/>
      <c r="AC61" s="120"/>
    </row>
    <row r="62" spans="1:29" s="53" customFormat="1" x14ac:dyDescent="0.25">
      <c r="A62" s="46"/>
      <c r="B62" s="46" t="s">
        <v>76</v>
      </c>
      <c r="C62" s="47"/>
      <c r="D62" s="47"/>
      <c r="E62" s="47"/>
      <c r="F62" s="47"/>
      <c r="G62" s="48" t="s">
        <v>152</v>
      </c>
      <c r="H62" s="48" t="s">
        <v>153</v>
      </c>
      <c r="I62" s="48" t="s">
        <v>154</v>
      </c>
      <c r="J62" s="48" t="s">
        <v>155</v>
      </c>
      <c r="K62" s="48">
        <v>43.689903999999999</v>
      </c>
      <c r="L62" s="48">
        <v>-96.779409000000001</v>
      </c>
      <c r="M62" s="48" t="s">
        <v>156</v>
      </c>
      <c r="N62" s="50" t="s">
        <v>157</v>
      </c>
      <c r="O62" s="46" t="s">
        <v>54</v>
      </c>
      <c r="P62" s="46" t="s">
        <v>55</v>
      </c>
      <c r="Q62" s="51">
        <v>329</v>
      </c>
      <c r="R62" s="52">
        <v>44287</v>
      </c>
      <c r="S62" s="52">
        <v>44409</v>
      </c>
      <c r="T62" s="46">
        <v>250</v>
      </c>
      <c r="U62" s="46"/>
      <c r="V62" s="46">
        <v>1940</v>
      </c>
      <c r="W62" s="46">
        <v>566</v>
      </c>
      <c r="X62" s="46">
        <v>399</v>
      </c>
      <c r="Z62" s="46">
        <v>2</v>
      </c>
      <c r="AA62" s="120"/>
      <c r="AB62" s="120"/>
      <c r="AC62" s="120"/>
    </row>
    <row r="63" spans="1:29" s="53" customFormat="1" x14ac:dyDescent="0.25">
      <c r="A63" s="46"/>
      <c r="B63" s="38" t="s">
        <v>76</v>
      </c>
      <c r="C63" s="82"/>
      <c r="D63" s="82"/>
      <c r="E63" s="82"/>
      <c r="F63" s="82"/>
      <c r="G63" s="6" t="s">
        <v>152</v>
      </c>
      <c r="H63" s="6" t="s">
        <v>153</v>
      </c>
      <c r="I63" s="6" t="s">
        <v>154</v>
      </c>
      <c r="J63" s="6" t="s">
        <v>155</v>
      </c>
      <c r="K63" s="6">
        <v>43.689903999999999</v>
      </c>
      <c r="L63" s="6">
        <v>-96.779409000000001</v>
      </c>
      <c r="M63" s="6" t="s">
        <v>156</v>
      </c>
      <c r="N63" s="50" t="s">
        <v>158</v>
      </c>
      <c r="O63" s="46" t="s">
        <v>56</v>
      </c>
      <c r="P63" s="46" t="s">
        <v>57</v>
      </c>
      <c r="Q63" s="51">
        <v>340</v>
      </c>
      <c r="R63" s="52">
        <v>44287</v>
      </c>
      <c r="S63" s="52">
        <v>44409</v>
      </c>
      <c r="T63" s="46">
        <v>250</v>
      </c>
      <c r="U63" s="46"/>
      <c r="V63" s="46">
        <v>1442.7</v>
      </c>
      <c r="W63" s="46">
        <v>489</v>
      </c>
      <c r="X63" s="46">
        <v>349</v>
      </c>
      <c r="Z63" s="46">
        <v>2</v>
      </c>
      <c r="AA63" s="120"/>
      <c r="AB63" s="120"/>
      <c r="AC63" s="120"/>
    </row>
    <row r="64" spans="1:29" s="53" customFormat="1" x14ac:dyDescent="0.25">
      <c r="A64" s="46"/>
      <c r="B64" s="38" t="s">
        <v>76</v>
      </c>
      <c r="C64" s="82"/>
      <c r="D64" s="82"/>
      <c r="E64" s="82"/>
      <c r="F64" s="82"/>
      <c r="G64" s="6" t="s">
        <v>152</v>
      </c>
      <c r="H64" s="6" t="s">
        <v>153</v>
      </c>
      <c r="I64" s="6" t="s">
        <v>154</v>
      </c>
      <c r="J64" s="6" t="s">
        <v>155</v>
      </c>
      <c r="K64" s="6">
        <v>43.689903999999999</v>
      </c>
      <c r="L64" s="6">
        <v>-96.779409000000001</v>
      </c>
      <c r="M64" s="6" t="s">
        <v>156</v>
      </c>
      <c r="N64" s="50" t="s">
        <v>159</v>
      </c>
      <c r="O64" s="46" t="s">
        <v>54</v>
      </c>
      <c r="P64" s="46" t="s">
        <v>55</v>
      </c>
      <c r="Q64" s="51">
        <v>329</v>
      </c>
      <c r="R64" s="52">
        <v>44682</v>
      </c>
      <c r="S64" s="52">
        <v>44880</v>
      </c>
      <c r="T64" s="46">
        <v>250</v>
      </c>
      <c r="U64" s="46"/>
      <c r="V64" s="46">
        <v>860</v>
      </c>
      <c r="W64" s="46">
        <v>162</v>
      </c>
      <c r="X64" s="46">
        <v>104</v>
      </c>
      <c r="Z64" s="46">
        <v>2</v>
      </c>
      <c r="AA64" s="120"/>
      <c r="AB64" s="120"/>
      <c r="AC64" s="120"/>
    </row>
    <row r="65" spans="1:29" s="53" customFormat="1" ht="14.4" thickBot="1" x14ac:dyDescent="0.3">
      <c r="A65" s="46"/>
      <c r="B65" s="81" t="s">
        <v>76</v>
      </c>
      <c r="C65" s="81"/>
      <c r="D65" s="81"/>
      <c r="E65" s="81"/>
      <c r="F65" s="81"/>
      <c r="G65" s="61" t="s">
        <v>152</v>
      </c>
      <c r="H65" s="61" t="s">
        <v>153</v>
      </c>
      <c r="I65" s="61" t="s">
        <v>154</v>
      </c>
      <c r="J65" s="62" t="s">
        <v>155</v>
      </c>
      <c r="K65" s="61">
        <v>43.689903999999999</v>
      </c>
      <c r="L65" s="61">
        <v>-96.779409000000001</v>
      </c>
      <c r="M65" s="61" t="s">
        <v>156</v>
      </c>
      <c r="N65" s="63" t="s">
        <v>160</v>
      </c>
      <c r="O65" s="59" t="s">
        <v>105</v>
      </c>
      <c r="P65" s="59" t="s">
        <v>679</v>
      </c>
      <c r="Q65" s="64">
        <v>556</v>
      </c>
      <c r="R65" s="65">
        <v>44682</v>
      </c>
      <c r="S65" s="65">
        <v>44880</v>
      </c>
      <c r="T65" s="59">
        <v>250</v>
      </c>
      <c r="U65" s="59"/>
      <c r="V65" s="59"/>
      <c r="W65" s="59"/>
      <c r="X65" s="59"/>
      <c r="Z65" s="46">
        <v>2</v>
      </c>
      <c r="AA65" s="120"/>
      <c r="AB65" s="120"/>
      <c r="AC65" s="120"/>
    </row>
    <row r="66" spans="1:29" s="53" customFormat="1" x14ac:dyDescent="0.25">
      <c r="A66" s="46"/>
      <c r="B66" s="38" t="s">
        <v>76</v>
      </c>
      <c r="C66" s="82"/>
      <c r="D66" s="82"/>
      <c r="E66" s="82"/>
      <c r="F66" s="82"/>
      <c r="G66" s="20" t="s">
        <v>152</v>
      </c>
      <c r="H66" s="20" t="s">
        <v>153</v>
      </c>
      <c r="I66" s="20" t="s">
        <v>154</v>
      </c>
      <c r="J66" s="20" t="s">
        <v>155</v>
      </c>
      <c r="K66" s="20">
        <v>43.689903999999999</v>
      </c>
      <c r="L66" s="20">
        <v>-96.779409000000001</v>
      </c>
      <c r="M66" s="20" t="s">
        <v>156</v>
      </c>
      <c r="N66" s="4" t="s">
        <v>161</v>
      </c>
      <c r="O66" t="s">
        <v>83</v>
      </c>
      <c r="P66" t="s">
        <v>84</v>
      </c>
      <c r="Q66" s="5">
        <v>328</v>
      </c>
      <c r="R66" s="1">
        <v>45047</v>
      </c>
      <c r="S66" s="1">
        <v>45147</v>
      </c>
      <c r="T66">
        <v>100</v>
      </c>
      <c r="U66" s="46"/>
      <c r="V66" s="41"/>
      <c r="W66" s="41"/>
      <c r="X66" s="41"/>
      <c r="Z66">
        <v>2</v>
      </c>
      <c r="AA66" s="120">
        <v>660</v>
      </c>
      <c r="AB66" s="120">
        <v>253</v>
      </c>
      <c r="AC66" s="120">
        <v>191</v>
      </c>
    </row>
    <row r="67" spans="1:29" s="53" customFormat="1" x14ac:dyDescent="0.25">
      <c r="A67" s="46"/>
      <c r="B67" s="82" t="s">
        <v>76</v>
      </c>
      <c r="C67" s="82"/>
      <c r="D67" s="82"/>
      <c r="E67" s="82"/>
      <c r="F67" s="82"/>
      <c r="G67" s="6" t="s">
        <v>152</v>
      </c>
      <c r="H67" s="6" t="s">
        <v>153</v>
      </c>
      <c r="I67" s="6" t="s">
        <v>154</v>
      </c>
      <c r="J67" s="7" t="s">
        <v>155</v>
      </c>
      <c r="K67" s="6">
        <v>43.689903999999999</v>
      </c>
      <c r="L67" s="6">
        <v>-96.779409000000001</v>
      </c>
      <c r="M67" s="6" t="s">
        <v>156</v>
      </c>
      <c r="N67" s="4" t="s">
        <v>161</v>
      </c>
      <c r="O67" t="s">
        <v>54</v>
      </c>
      <c r="P67" t="s">
        <v>55</v>
      </c>
      <c r="Q67" s="5">
        <v>329</v>
      </c>
      <c r="R67" s="1">
        <v>45047</v>
      </c>
      <c r="S67" s="1">
        <v>45147</v>
      </c>
      <c r="T67">
        <v>100</v>
      </c>
      <c r="U67" s="46"/>
      <c r="V67" s="117">
        <v>616</v>
      </c>
      <c r="W67" s="117">
        <v>247</v>
      </c>
      <c r="X67" s="117">
        <v>186</v>
      </c>
      <c r="Y67" s="118"/>
      <c r="Z67">
        <v>2</v>
      </c>
      <c r="AA67" s="38">
        <v>660</v>
      </c>
      <c r="AB67" s="38">
        <v>253</v>
      </c>
      <c r="AC67" s="38">
        <v>191</v>
      </c>
    </row>
    <row r="68" spans="1:29" s="28" customFormat="1" x14ac:dyDescent="0.25">
      <c r="A68"/>
      <c r="B68" s="1">
        <v>45148</v>
      </c>
      <c r="C68" s="31">
        <v>1596.99</v>
      </c>
      <c r="D68" s="31">
        <v>0</v>
      </c>
      <c r="E68" s="31">
        <v>1596.99</v>
      </c>
      <c r="F68" s="31">
        <v>3193.98</v>
      </c>
      <c r="G68" s="6" t="s">
        <v>152</v>
      </c>
      <c r="H68" s="6" t="s">
        <v>153</v>
      </c>
      <c r="I68" s="6" t="s">
        <v>154</v>
      </c>
      <c r="J68" s="6" t="s">
        <v>155</v>
      </c>
      <c r="K68" s="6">
        <v>43.689903999999999</v>
      </c>
      <c r="L68" s="6">
        <v>-96.779409000000001</v>
      </c>
      <c r="M68" s="6" t="s">
        <v>156</v>
      </c>
      <c r="N68" s="4" t="s">
        <v>161</v>
      </c>
      <c r="O68" t="s">
        <v>56</v>
      </c>
      <c r="P68" t="s">
        <v>57</v>
      </c>
      <c r="Q68" s="5">
        <v>340</v>
      </c>
      <c r="R68" s="1">
        <v>45047</v>
      </c>
      <c r="S68" s="1">
        <v>45147</v>
      </c>
      <c r="T68">
        <v>100</v>
      </c>
      <c r="U68"/>
      <c r="V68">
        <v>133</v>
      </c>
      <c r="W68">
        <v>43</v>
      </c>
      <c r="X68">
        <v>32</v>
      </c>
      <c r="Z68">
        <v>2</v>
      </c>
      <c r="AA68" s="38">
        <v>660</v>
      </c>
      <c r="AB68" s="38">
        <v>253</v>
      </c>
      <c r="AC68" s="38">
        <v>191</v>
      </c>
    </row>
    <row r="69" spans="1:29" s="28" customFormat="1" x14ac:dyDescent="0.25">
      <c r="A69"/>
      <c r="B69"/>
      <c r="C69" s="31"/>
      <c r="D69" s="31"/>
      <c r="E69" s="31"/>
      <c r="F69" s="31"/>
      <c r="G69" s="6" t="s">
        <v>152</v>
      </c>
      <c r="H69" s="6" t="s">
        <v>153</v>
      </c>
      <c r="I69" s="6" t="s">
        <v>154</v>
      </c>
      <c r="J69" s="6" t="s">
        <v>155</v>
      </c>
      <c r="K69" s="6">
        <v>43.689903999999999</v>
      </c>
      <c r="L69" s="6">
        <v>-96.779409000000001</v>
      </c>
      <c r="M69" s="6" t="s">
        <v>156</v>
      </c>
      <c r="N69" s="4" t="s">
        <v>161</v>
      </c>
      <c r="O69" t="s">
        <v>105</v>
      </c>
      <c r="P69" t="s">
        <v>679</v>
      </c>
      <c r="Q69" s="5">
        <v>556</v>
      </c>
      <c r="R69" s="1">
        <v>45047</v>
      </c>
      <c r="S69" s="1">
        <v>45147</v>
      </c>
      <c r="T69">
        <v>100</v>
      </c>
      <c r="U69"/>
      <c r="V69"/>
      <c r="W69"/>
      <c r="X69"/>
      <c r="Z69">
        <v>2</v>
      </c>
      <c r="AA69" s="38">
        <v>660</v>
      </c>
      <c r="AB69" s="38">
        <v>253</v>
      </c>
      <c r="AC69" s="38">
        <v>191</v>
      </c>
    </row>
    <row r="70" spans="1:29" s="28" customFormat="1" x14ac:dyDescent="0.25">
      <c r="A70"/>
      <c r="B70"/>
      <c r="C70" s="31"/>
      <c r="D70" s="31"/>
      <c r="E70" s="31"/>
      <c r="F70" s="31"/>
      <c r="G70" s="6" t="s">
        <v>152</v>
      </c>
      <c r="H70" s="6" t="s">
        <v>153</v>
      </c>
      <c r="I70" s="6" t="s">
        <v>154</v>
      </c>
      <c r="J70" s="6" t="s">
        <v>155</v>
      </c>
      <c r="K70" s="6">
        <v>43.692777999999997</v>
      </c>
      <c r="L70" s="6">
        <v>-96.773408000000003</v>
      </c>
      <c r="M70" s="6" t="s">
        <v>156</v>
      </c>
      <c r="N70" s="4" t="s">
        <v>164</v>
      </c>
      <c r="O70" t="s">
        <v>54</v>
      </c>
      <c r="P70" t="s">
        <v>55</v>
      </c>
      <c r="Q70" s="5">
        <v>329</v>
      </c>
      <c r="R70" s="1">
        <v>45432</v>
      </c>
      <c r="S70" s="1">
        <v>45555</v>
      </c>
      <c r="T70">
        <v>56</v>
      </c>
      <c r="U70"/>
      <c r="V70">
        <v>204</v>
      </c>
      <c r="W70">
        <v>47</v>
      </c>
      <c r="X70">
        <v>33</v>
      </c>
      <c r="Z70">
        <v>3</v>
      </c>
      <c r="AA70" s="120">
        <v>669</v>
      </c>
      <c r="AB70" s="120">
        <v>255</v>
      </c>
      <c r="AC70" s="120">
        <v>192</v>
      </c>
    </row>
    <row r="71" spans="1:29" s="28" customFormat="1" x14ac:dyDescent="0.25">
      <c r="A71"/>
      <c r="B71" s="1">
        <v>45513</v>
      </c>
      <c r="C71" s="31">
        <v>1400</v>
      </c>
      <c r="D71" s="31"/>
      <c r="E71" s="31">
        <v>1769.7</v>
      </c>
      <c r="F71" s="31">
        <v>3169.7</v>
      </c>
      <c r="G71" s="6" t="s">
        <v>152</v>
      </c>
      <c r="H71" s="6" t="s">
        <v>153</v>
      </c>
      <c r="I71" s="6" t="s">
        <v>154</v>
      </c>
      <c r="J71" s="6" t="s">
        <v>155</v>
      </c>
      <c r="K71" s="6">
        <v>43.692777999999997</v>
      </c>
      <c r="L71" s="6">
        <v>-96.773408000000003</v>
      </c>
      <c r="M71" s="6" t="s">
        <v>156</v>
      </c>
      <c r="N71" s="4" t="s">
        <v>164</v>
      </c>
      <c r="O71" t="s">
        <v>56</v>
      </c>
      <c r="P71" t="s">
        <v>57</v>
      </c>
      <c r="Q71" s="5">
        <v>340</v>
      </c>
      <c r="R71" s="1">
        <v>45432</v>
      </c>
      <c r="S71" s="1">
        <v>45555</v>
      </c>
      <c r="T71">
        <v>56</v>
      </c>
      <c r="U71"/>
      <c r="V71">
        <v>469</v>
      </c>
      <c r="W71">
        <v>158</v>
      </c>
      <c r="X71">
        <v>113</v>
      </c>
      <c r="Z71">
        <v>3</v>
      </c>
      <c r="AA71" s="38">
        <v>669</v>
      </c>
      <c r="AB71" s="38">
        <v>255</v>
      </c>
      <c r="AC71" s="38">
        <v>192</v>
      </c>
    </row>
    <row r="72" spans="1:29" s="28" customFormat="1" x14ac:dyDescent="0.25">
      <c r="A72"/>
      <c r="B72" s="1"/>
      <c r="C72" s="31"/>
      <c r="D72" s="31"/>
      <c r="E72" s="31"/>
      <c r="F72" s="31"/>
      <c r="G72" s="6" t="s">
        <v>152</v>
      </c>
      <c r="H72" s="6" t="s">
        <v>153</v>
      </c>
      <c r="I72" s="6" t="s">
        <v>154</v>
      </c>
      <c r="J72" s="6" t="s">
        <v>155</v>
      </c>
      <c r="K72" s="6">
        <v>43.692777999999997</v>
      </c>
      <c r="L72" s="6">
        <v>-96.773408000000003</v>
      </c>
      <c r="M72" s="6" t="s">
        <v>156</v>
      </c>
      <c r="N72" s="4" t="s">
        <v>164</v>
      </c>
      <c r="O72" t="s">
        <v>71</v>
      </c>
      <c r="P72" t="s">
        <v>72</v>
      </c>
      <c r="Q72" s="5" t="s">
        <v>73</v>
      </c>
      <c r="R72" s="1">
        <v>45432</v>
      </c>
      <c r="S72" s="1">
        <v>45555</v>
      </c>
      <c r="T72">
        <v>2.5</v>
      </c>
      <c r="U72"/>
      <c r="V72" s="117">
        <v>11</v>
      </c>
      <c r="W72" s="117">
        <v>4.12</v>
      </c>
      <c r="X72" s="117">
        <v>3.11</v>
      </c>
      <c r="Z72">
        <v>3</v>
      </c>
      <c r="AA72" s="38">
        <v>669</v>
      </c>
      <c r="AB72" s="38">
        <v>255</v>
      </c>
      <c r="AC72" s="38">
        <v>192</v>
      </c>
    </row>
    <row r="73" spans="1:29" s="28" customFormat="1" x14ac:dyDescent="0.25">
      <c r="A73"/>
      <c r="B73" s="11"/>
      <c r="C73" s="32"/>
      <c r="D73" s="32"/>
      <c r="E73" s="32"/>
      <c r="F73" s="32"/>
      <c r="G73" s="8" t="s">
        <v>152</v>
      </c>
      <c r="H73" s="8" t="s">
        <v>153</v>
      </c>
      <c r="I73" s="8" t="s">
        <v>154</v>
      </c>
      <c r="J73" s="8" t="s">
        <v>155</v>
      </c>
      <c r="K73" s="8">
        <v>43.692777999999997</v>
      </c>
      <c r="L73" s="8">
        <v>-96.773408000000003</v>
      </c>
      <c r="M73" s="8" t="s">
        <v>156</v>
      </c>
      <c r="N73" s="10" t="s">
        <v>164</v>
      </c>
      <c r="O73" s="11" t="s">
        <v>105</v>
      </c>
      <c r="P73" s="11" t="s">
        <v>679</v>
      </c>
      <c r="Q73" s="12">
        <v>556</v>
      </c>
      <c r="R73" s="13">
        <v>45413</v>
      </c>
      <c r="S73" s="13">
        <v>45555</v>
      </c>
      <c r="T73" s="11">
        <v>56</v>
      </c>
      <c r="U73" s="11"/>
      <c r="V73" s="11"/>
      <c r="W73" s="11"/>
      <c r="X73" s="11"/>
      <c r="Z73">
        <v>3</v>
      </c>
      <c r="AA73" s="38">
        <v>669</v>
      </c>
      <c r="AB73" s="38">
        <v>255</v>
      </c>
      <c r="AC73" s="38">
        <v>192</v>
      </c>
    </row>
    <row r="74" spans="1:29" s="28" customFormat="1" x14ac:dyDescent="0.25">
      <c r="A74"/>
      <c r="B74"/>
      <c r="C74" s="31"/>
      <c r="D74" s="31"/>
      <c r="E74" s="31"/>
      <c r="F74" s="31"/>
      <c r="G74" s="20" t="s">
        <v>165</v>
      </c>
      <c r="H74" s="20" t="s">
        <v>166</v>
      </c>
      <c r="I74" s="20" t="s">
        <v>167</v>
      </c>
      <c r="J74" s="20" t="s">
        <v>168</v>
      </c>
      <c r="K74" s="20">
        <v>45.649925000000003</v>
      </c>
      <c r="L74" s="20">
        <v>-97.611886999999996</v>
      </c>
      <c r="M74" s="20" t="s">
        <v>169</v>
      </c>
      <c r="N74" s="4">
        <v>2021110</v>
      </c>
      <c r="O74" t="s">
        <v>54</v>
      </c>
      <c r="P74" t="s">
        <v>55</v>
      </c>
      <c r="Q74" s="5">
        <v>329</v>
      </c>
      <c r="R74" s="1">
        <v>44470</v>
      </c>
      <c r="S74" s="1">
        <v>44742</v>
      </c>
      <c r="T74">
        <v>117</v>
      </c>
      <c r="U74"/>
      <c r="V74">
        <v>289</v>
      </c>
      <c r="W74">
        <v>67</v>
      </c>
      <c r="X74">
        <v>48</v>
      </c>
      <c r="Z74">
        <v>2</v>
      </c>
      <c r="AA74" s="120"/>
      <c r="AB74" s="120"/>
      <c r="AC74" s="120"/>
    </row>
    <row r="75" spans="1:29" s="28" customFormat="1" x14ac:dyDescent="0.25">
      <c r="A75"/>
      <c r="B75" s="1">
        <v>44494</v>
      </c>
      <c r="C75" s="31">
        <v>0</v>
      </c>
      <c r="D75" s="31">
        <v>0</v>
      </c>
      <c r="E75" s="31">
        <v>6751.12</v>
      </c>
      <c r="F75" s="31">
        <v>6751.12</v>
      </c>
      <c r="G75" s="6" t="s">
        <v>165</v>
      </c>
      <c r="H75" s="6" t="s">
        <v>166</v>
      </c>
      <c r="I75" s="6" t="s">
        <v>167</v>
      </c>
      <c r="J75" s="6" t="s">
        <v>168</v>
      </c>
      <c r="K75" s="6">
        <v>45.649925000000003</v>
      </c>
      <c r="L75" s="6">
        <v>-97.611886999999996</v>
      </c>
      <c r="M75" s="6" t="s">
        <v>169</v>
      </c>
      <c r="N75" s="4">
        <v>2021110</v>
      </c>
      <c r="O75" t="s">
        <v>56</v>
      </c>
      <c r="P75" t="s">
        <v>57</v>
      </c>
      <c r="Q75" s="5">
        <v>340</v>
      </c>
      <c r="R75" s="1">
        <v>44470</v>
      </c>
      <c r="S75" s="1">
        <v>44480</v>
      </c>
      <c r="T75">
        <v>117</v>
      </c>
      <c r="U75"/>
      <c r="V75">
        <v>672</v>
      </c>
      <c r="W75">
        <v>226</v>
      </c>
      <c r="X75">
        <v>164</v>
      </c>
      <c r="Z75">
        <v>2</v>
      </c>
      <c r="AA75" s="120"/>
      <c r="AB75" s="120"/>
      <c r="AC75" s="120"/>
    </row>
    <row r="76" spans="1:29" s="28" customFormat="1" x14ac:dyDescent="0.25">
      <c r="A76"/>
      <c r="B76" s="11"/>
      <c r="C76" s="32"/>
      <c r="D76" s="32"/>
      <c r="E76" s="32"/>
      <c r="F76" s="32"/>
      <c r="G76" s="8" t="s">
        <v>165</v>
      </c>
      <c r="H76" s="8" t="s">
        <v>166</v>
      </c>
      <c r="I76" s="8" t="s">
        <v>167</v>
      </c>
      <c r="J76" s="8" t="s">
        <v>168</v>
      </c>
      <c r="K76" s="8">
        <v>45.649925000000003</v>
      </c>
      <c r="L76" s="8">
        <v>-97.611886999999996</v>
      </c>
      <c r="M76" s="8" t="s">
        <v>169</v>
      </c>
      <c r="N76" s="10">
        <v>2021110</v>
      </c>
      <c r="O76" s="11" t="s">
        <v>105</v>
      </c>
      <c r="P76" s="11" t="s">
        <v>679</v>
      </c>
      <c r="Q76" s="12">
        <v>556</v>
      </c>
      <c r="R76" s="13">
        <v>44470</v>
      </c>
      <c r="S76" s="13">
        <v>45147</v>
      </c>
      <c r="T76" s="11">
        <v>117</v>
      </c>
      <c r="U76" s="11"/>
      <c r="V76" s="11"/>
      <c r="W76" s="11"/>
      <c r="X76" s="11"/>
      <c r="Z76">
        <v>2</v>
      </c>
      <c r="AA76" s="120"/>
      <c r="AB76" s="120"/>
      <c r="AC76" s="120"/>
    </row>
    <row r="77" spans="1:29" s="28" customFormat="1" x14ac:dyDescent="0.25">
      <c r="A77"/>
      <c r="B77"/>
      <c r="C77" s="31"/>
      <c r="D77" s="31"/>
      <c r="E77" s="31"/>
      <c r="F77" s="31"/>
      <c r="G77" s="20" t="s">
        <v>170</v>
      </c>
      <c r="H77" s="20" t="s">
        <v>171</v>
      </c>
      <c r="I77" s="20" t="s">
        <v>172</v>
      </c>
      <c r="J77" s="20" t="s">
        <v>173</v>
      </c>
      <c r="K77" s="20">
        <v>45.132477000000002</v>
      </c>
      <c r="L77" s="20">
        <v>-96.797469000000007</v>
      </c>
      <c r="M77" s="20" t="s">
        <v>174</v>
      </c>
      <c r="N77" s="4">
        <v>20211007</v>
      </c>
      <c r="O77" t="s">
        <v>54</v>
      </c>
      <c r="P77" t="s">
        <v>55</v>
      </c>
      <c r="Q77" s="5">
        <v>329</v>
      </c>
      <c r="R77" s="1">
        <v>44713</v>
      </c>
      <c r="S77" s="1">
        <v>45154</v>
      </c>
      <c r="T77">
        <v>160</v>
      </c>
      <c r="U77"/>
      <c r="V77">
        <v>259</v>
      </c>
      <c r="W77">
        <v>51</v>
      </c>
      <c r="X77">
        <v>33</v>
      </c>
      <c r="Z77">
        <v>2</v>
      </c>
      <c r="AA77" s="120"/>
      <c r="AB77" s="120"/>
      <c r="AC77" s="120"/>
    </row>
    <row r="78" spans="1:29" s="28" customFormat="1" x14ac:dyDescent="0.25">
      <c r="A78"/>
      <c r="B78" s="1">
        <v>45153</v>
      </c>
      <c r="C78" s="31">
        <v>525</v>
      </c>
      <c r="D78" s="31">
        <v>0</v>
      </c>
      <c r="E78" s="31">
        <v>525</v>
      </c>
      <c r="F78" s="31">
        <v>1050</v>
      </c>
      <c r="G78" s="6" t="s">
        <v>170</v>
      </c>
      <c r="H78" s="6" t="s">
        <v>171</v>
      </c>
      <c r="I78" s="6" t="s">
        <v>172</v>
      </c>
      <c r="J78" s="6" t="s">
        <v>173</v>
      </c>
      <c r="K78" s="6">
        <v>45.132477000000002</v>
      </c>
      <c r="L78" s="6">
        <v>-96.797469000000007</v>
      </c>
      <c r="M78" s="6" t="s">
        <v>174</v>
      </c>
      <c r="N78" s="4">
        <v>20211007</v>
      </c>
      <c r="O78" t="s">
        <v>56</v>
      </c>
      <c r="P78" t="s">
        <v>57</v>
      </c>
      <c r="Q78" s="5">
        <v>340</v>
      </c>
      <c r="R78" s="1">
        <v>44713</v>
      </c>
      <c r="S78" s="1">
        <v>45154</v>
      </c>
      <c r="T78">
        <v>143</v>
      </c>
      <c r="U78"/>
      <c r="V78">
        <v>163</v>
      </c>
      <c r="W78">
        <v>55</v>
      </c>
      <c r="X78">
        <v>38</v>
      </c>
      <c r="Z78">
        <v>2</v>
      </c>
      <c r="AA78" s="120"/>
      <c r="AB78" s="120"/>
      <c r="AC78" s="120"/>
    </row>
    <row r="79" spans="1:29" s="28" customFormat="1" x14ac:dyDescent="0.25">
      <c r="A79"/>
      <c r="B79" s="13">
        <v>45153</v>
      </c>
      <c r="C79" s="32">
        <v>6462</v>
      </c>
      <c r="D79" s="32">
        <v>0</v>
      </c>
      <c r="E79" s="32">
        <v>6462</v>
      </c>
      <c r="F79" s="32">
        <v>12924</v>
      </c>
      <c r="G79" s="8" t="s">
        <v>170</v>
      </c>
      <c r="H79" s="8" t="s">
        <v>171</v>
      </c>
      <c r="I79" s="8" t="s">
        <v>172</v>
      </c>
      <c r="J79" s="8" t="s">
        <v>173</v>
      </c>
      <c r="K79" s="8">
        <v>45.132477000000002</v>
      </c>
      <c r="L79" s="8">
        <v>-96.797469000000007</v>
      </c>
      <c r="M79" s="8" t="s">
        <v>174</v>
      </c>
      <c r="N79" s="10">
        <v>20211007</v>
      </c>
      <c r="O79" s="11" t="s">
        <v>132</v>
      </c>
      <c r="P79" s="11" t="s">
        <v>133</v>
      </c>
      <c r="Q79" s="12"/>
      <c r="R79" s="13">
        <v>44652</v>
      </c>
      <c r="S79" s="13">
        <v>44711</v>
      </c>
      <c r="T79" s="11"/>
      <c r="U79" s="11" t="s">
        <v>145</v>
      </c>
      <c r="V79" s="11">
        <v>198</v>
      </c>
      <c r="W79" s="11">
        <v>40</v>
      </c>
      <c r="X79" s="11">
        <v>26</v>
      </c>
      <c r="Z79">
        <v>2</v>
      </c>
      <c r="AA79" s="120"/>
      <c r="AB79" s="120"/>
      <c r="AC79" s="120"/>
    </row>
    <row r="80" spans="1:29" s="28" customFormat="1" x14ac:dyDescent="0.25">
      <c r="A80"/>
      <c r="B80" s="13">
        <v>44455</v>
      </c>
      <c r="C80" s="32">
        <v>0</v>
      </c>
      <c r="D80" s="32">
        <v>900.06</v>
      </c>
      <c r="E80" s="32">
        <v>756</v>
      </c>
      <c r="F80" s="32">
        <v>1656.06</v>
      </c>
      <c r="G80" s="30" t="s">
        <v>175</v>
      </c>
      <c r="H80" s="30" t="s">
        <v>176</v>
      </c>
      <c r="I80" s="30" t="s">
        <v>177</v>
      </c>
      <c r="J80" s="30" t="s">
        <v>178</v>
      </c>
      <c r="K80" s="30">
        <v>42.983561000000002</v>
      </c>
      <c r="L80" s="30">
        <v>-98.013389000000004</v>
      </c>
      <c r="M80" s="30" t="s">
        <v>179</v>
      </c>
      <c r="N80" s="25" t="s">
        <v>180</v>
      </c>
      <c r="O80" s="24" t="s">
        <v>56</v>
      </c>
      <c r="P80" s="24" t="s">
        <v>57</v>
      </c>
      <c r="Q80" s="26">
        <v>340</v>
      </c>
      <c r="R80" s="27">
        <v>44470</v>
      </c>
      <c r="S80" s="27">
        <v>44505</v>
      </c>
      <c r="T80" s="24"/>
      <c r="U80" s="24" t="s">
        <v>145</v>
      </c>
      <c r="V80" s="24">
        <v>405</v>
      </c>
      <c r="W80" s="24">
        <v>141</v>
      </c>
      <c r="X80" s="24">
        <v>103</v>
      </c>
      <c r="Z80">
        <v>2</v>
      </c>
      <c r="AA80" s="120"/>
      <c r="AB80" s="120"/>
      <c r="AC80" s="120"/>
    </row>
    <row r="81" spans="1:29" s="28" customFormat="1" x14ac:dyDescent="0.25">
      <c r="A81"/>
      <c r="B81" s="13">
        <v>44529</v>
      </c>
      <c r="C81" s="32">
        <v>0</v>
      </c>
      <c r="D81" s="32">
        <v>3304.8</v>
      </c>
      <c r="E81" s="32">
        <v>3060</v>
      </c>
      <c r="F81" s="32">
        <v>6364.8</v>
      </c>
      <c r="G81" s="30" t="s">
        <v>181</v>
      </c>
      <c r="H81" s="30" t="s">
        <v>182</v>
      </c>
      <c r="I81" s="30" t="s">
        <v>183</v>
      </c>
      <c r="J81" s="30" t="s">
        <v>139</v>
      </c>
      <c r="K81" s="30">
        <v>42.954563999999998</v>
      </c>
      <c r="L81" s="30">
        <v>-97.356232000000006</v>
      </c>
      <c r="M81" s="30" t="s">
        <v>137</v>
      </c>
      <c r="N81" s="25" t="s">
        <v>184</v>
      </c>
      <c r="O81" s="24" t="s">
        <v>56</v>
      </c>
      <c r="P81" s="24" t="s">
        <v>57</v>
      </c>
      <c r="Q81" s="26">
        <v>340</v>
      </c>
      <c r="R81" s="27">
        <v>44378</v>
      </c>
      <c r="S81" s="27">
        <v>44530</v>
      </c>
      <c r="T81" s="24"/>
      <c r="U81" s="24" t="s">
        <v>145</v>
      </c>
      <c r="V81" s="24">
        <v>1364</v>
      </c>
      <c r="W81" s="24">
        <v>463</v>
      </c>
      <c r="X81" s="24">
        <v>330</v>
      </c>
      <c r="Z81">
        <v>2</v>
      </c>
      <c r="AA81" s="120"/>
      <c r="AB81" s="120"/>
      <c r="AC81" s="120"/>
    </row>
    <row r="82" spans="1:29" s="28" customFormat="1" x14ac:dyDescent="0.25">
      <c r="A82"/>
      <c r="B82"/>
      <c r="C82" s="31"/>
      <c r="D82" s="31"/>
      <c r="E82" s="31"/>
      <c r="F82" s="31"/>
      <c r="G82" s="20" t="s">
        <v>185</v>
      </c>
      <c r="H82" s="20" t="s">
        <v>186</v>
      </c>
      <c r="I82" s="20" t="s">
        <v>187</v>
      </c>
      <c r="J82" s="20" t="s">
        <v>188</v>
      </c>
      <c r="K82" s="20">
        <v>43.916442000000004</v>
      </c>
      <c r="L82" s="20">
        <v>-97.696316999999993</v>
      </c>
      <c r="M82" s="20" t="s">
        <v>189</v>
      </c>
      <c r="N82" s="4" t="s">
        <v>190</v>
      </c>
      <c r="O82" t="s">
        <v>54</v>
      </c>
      <c r="P82" t="s">
        <v>55</v>
      </c>
      <c r="Q82" s="5">
        <v>329</v>
      </c>
      <c r="R82" s="1">
        <v>44753</v>
      </c>
      <c r="S82" s="1">
        <v>44850</v>
      </c>
      <c r="T82">
        <v>76</v>
      </c>
      <c r="U82"/>
      <c r="V82">
        <v>154</v>
      </c>
      <c r="W82">
        <v>23</v>
      </c>
      <c r="X82">
        <v>13</v>
      </c>
      <c r="Z82">
        <v>2</v>
      </c>
      <c r="AA82" s="120"/>
      <c r="AB82" s="120"/>
      <c r="AC82" s="120"/>
    </row>
    <row r="83" spans="1:29" s="28" customFormat="1" x14ac:dyDescent="0.25">
      <c r="A83"/>
      <c r="B83" s="13">
        <v>44850</v>
      </c>
      <c r="C83" s="32">
        <v>931</v>
      </c>
      <c r="D83" s="32">
        <v>0</v>
      </c>
      <c r="E83" s="32">
        <v>931</v>
      </c>
      <c r="F83" s="32">
        <v>1862</v>
      </c>
      <c r="G83" s="8" t="s">
        <v>185</v>
      </c>
      <c r="H83" s="8" t="s">
        <v>186</v>
      </c>
      <c r="I83" s="8" t="s">
        <v>187</v>
      </c>
      <c r="J83" s="8" t="s">
        <v>188</v>
      </c>
      <c r="K83" s="8">
        <v>43.916442000000004</v>
      </c>
      <c r="L83" s="8">
        <v>-97.696316999999993</v>
      </c>
      <c r="M83" s="8" t="s">
        <v>189</v>
      </c>
      <c r="N83" s="10" t="s">
        <v>190</v>
      </c>
      <c r="O83" s="11" t="s">
        <v>56</v>
      </c>
      <c r="P83" s="11" t="s">
        <v>57</v>
      </c>
      <c r="Q83" s="12">
        <v>340</v>
      </c>
      <c r="R83" s="13">
        <v>44753</v>
      </c>
      <c r="S83" s="13">
        <v>44850</v>
      </c>
      <c r="T83" s="11">
        <v>76</v>
      </c>
      <c r="U83" s="11"/>
      <c r="V83" s="11">
        <v>280</v>
      </c>
      <c r="W83" s="11">
        <v>83</v>
      </c>
      <c r="X83" s="11">
        <v>50</v>
      </c>
      <c r="Z83">
        <v>2</v>
      </c>
      <c r="AA83" s="120"/>
      <c r="AB83" s="120"/>
      <c r="AC83" s="120"/>
    </row>
    <row r="84" spans="1:29" s="28" customFormat="1" x14ac:dyDescent="0.25">
      <c r="A84"/>
      <c r="B84"/>
      <c r="C84" s="31"/>
      <c r="D84" s="31"/>
      <c r="E84" s="31"/>
      <c r="F84" s="31"/>
      <c r="G84" s="20" t="s">
        <v>185</v>
      </c>
      <c r="H84" s="20" t="s">
        <v>166</v>
      </c>
      <c r="I84" s="20" t="s">
        <v>187</v>
      </c>
      <c r="J84" s="20" t="s">
        <v>188</v>
      </c>
      <c r="K84" s="20">
        <v>43.874657999999997</v>
      </c>
      <c r="L84" s="20">
        <v>-97.632651999999993</v>
      </c>
      <c r="M84" s="20" t="s">
        <v>189</v>
      </c>
      <c r="N84" s="4" t="s">
        <v>191</v>
      </c>
      <c r="O84" t="s">
        <v>54</v>
      </c>
      <c r="P84" t="s">
        <v>55</v>
      </c>
      <c r="Q84" s="5">
        <v>329</v>
      </c>
      <c r="R84" s="1">
        <v>44805</v>
      </c>
      <c r="S84" s="1">
        <v>44873</v>
      </c>
      <c r="T84">
        <v>135</v>
      </c>
      <c r="U84"/>
      <c r="V84">
        <v>271</v>
      </c>
      <c r="W84">
        <v>39</v>
      </c>
      <c r="X84">
        <v>20</v>
      </c>
      <c r="Z84">
        <v>2</v>
      </c>
      <c r="AA84" s="120"/>
      <c r="AB84" s="120"/>
      <c r="AC84" s="120"/>
    </row>
    <row r="85" spans="1:29" s="28" customFormat="1" x14ac:dyDescent="0.25">
      <c r="A85"/>
      <c r="B85" s="13">
        <v>44850</v>
      </c>
      <c r="C85" s="32">
        <v>1653.75</v>
      </c>
      <c r="D85" s="32">
        <v>0</v>
      </c>
      <c r="E85" s="32">
        <v>1653.75</v>
      </c>
      <c r="F85" s="32">
        <v>3307.5</v>
      </c>
      <c r="G85" s="8" t="s">
        <v>185</v>
      </c>
      <c r="H85" s="8" t="s">
        <v>166</v>
      </c>
      <c r="I85" s="8" t="s">
        <v>187</v>
      </c>
      <c r="J85" s="8" t="s">
        <v>188</v>
      </c>
      <c r="K85" s="8">
        <v>43.874657999999997</v>
      </c>
      <c r="L85" s="8">
        <v>-97.632651999999993</v>
      </c>
      <c r="M85" s="8" t="s">
        <v>189</v>
      </c>
      <c r="N85" s="10" t="s">
        <v>191</v>
      </c>
      <c r="O85" s="11" t="s">
        <v>56</v>
      </c>
      <c r="P85" s="11" t="s">
        <v>57</v>
      </c>
      <c r="Q85" s="12">
        <v>340</v>
      </c>
      <c r="R85" s="13">
        <v>44805</v>
      </c>
      <c r="S85" s="13">
        <v>44873</v>
      </c>
      <c r="T85" s="11">
        <v>135</v>
      </c>
      <c r="U85" s="11"/>
      <c r="V85" s="11">
        <v>480</v>
      </c>
      <c r="W85" s="11">
        <v>141</v>
      </c>
      <c r="X85" s="11">
        <v>81</v>
      </c>
      <c r="Z85">
        <v>2</v>
      </c>
      <c r="AA85" s="120"/>
      <c r="AB85" s="120"/>
      <c r="AC85" s="120"/>
    </row>
    <row r="86" spans="1:29" s="28" customFormat="1" x14ac:dyDescent="0.25">
      <c r="A86"/>
      <c r="B86"/>
      <c r="C86" s="31"/>
      <c r="D86" s="31"/>
      <c r="E86" s="31"/>
      <c r="F86" s="31"/>
      <c r="G86" s="20" t="s">
        <v>185</v>
      </c>
      <c r="H86" s="20" t="s">
        <v>67</v>
      </c>
      <c r="I86" s="20" t="s">
        <v>187</v>
      </c>
      <c r="J86" s="20" t="s">
        <v>188</v>
      </c>
      <c r="K86" s="20">
        <v>43.859940999999999</v>
      </c>
      <c r="L86" s="20">
        <v>-97.615333000000007</v>
      </c>
      <c r="M86" s="20" t="s">
        <v>192</v>
      </c>
      <c r="N86" s="4" t="s">
        <v>193</v>
      </c>
      <c r="O86" t="s">
        <v>54</v>
      </c>
      <c r="P86" t="s">
        <v>55</v>
      </c>
      <c r="Q86" s="5">
        <v>329</v>
      </c>
      <c r="R86" s="1">
        <v>44743</v>
      </c>
      <c r="S86" s="1">
        <v>44867</v>
      </c>
      <c r="T86">
        <v>137</v>
      </c>
      <c r="U86"/>
      <c r="V86">
        <v>272</v>
      </c>
      <c r="W86">
        <v>40</v>
      </c>
      <c r="X86">
        <v>21</v>
      </c>
      <c r="Z86">
        <v>2</v>
      </c>
      <c r="AA86" s="120"/>
      <c r="AB86" s="120"/>
      <c r="AC86" s="120"/>
    </row>
    <row r="87" spans="1:29" s="28" customFormat="1" x14ac:dyDescent="0.25">
      <c r="A87"/>
      <c r="B87" s="13">
        <v>44860</v>
      </c>
      <c r="C87" s="32">
        <v>1678.25</v>
      </c>
      <c r="D87" s="32">
        <v>0</v>
      </c>
      <c r="E87" s="32">
        <v>1678.25</v>
      </c>
      <c r="F87" s="32">
        <v>3356.5</v>
      </c>
      <c r="G87" s="8" t="s">
        <v>185</v>
      </c>
      <c r="H87" s="8" t="s">
        <v>67</v>
      </c>
      <c r="I87" s="8" t="s">
        <v>187</v>
      </c>
      <c r="J87" s="8" t="s">
        <v>188</v>
      </c>
      <c r="K87" s="8">
        <v>43.859940999999999</v>
      </c>
      <c r="L87" s="8">
        <v>-97.615333000000007</v>
      </c>
      <c r="M87" s="8" t="s">
        <v>192</v>
      </c>
      <c r="N87" s="10" t="s">
        <v>193</v>
      </c>
      <c r="O87" s="11" t="s">
        <v>56</v>
      </c>
      <c r="P87" s="11" t="s">
        <v>57</v>
      </c>
      <c r="Q87" s="12">
        <v>340</v>
      </c>
      <c r="R87" s="13">
        <v>44743</v>
      </c>
      <c r="S87" s="13">
        <v>44867</v>
      </c>
      <c r="T87" s="11">
        <v>137</v>
      </c>
      <c r="U87" s="11"/>
      <c r="V87" s="11">
        <v>485</v>
      </c>
      <c r="W87" s="11">
        <v>142</v>
      </c>
      <c r="X87" s="11">
        <v>83</v>
      </c>
      <c r="Z87">
        <v>2</v>
      </c>
      <c r="AA87" s="120"/>
      <c r="AB87" s="120"/>
      <c r="AC87" s="120"/>
    </row>
    <row r="88" spans="1:29" s="28" customFormat="1" x14ac:dyDescent="0.25">
      <c r="A88"/>
      <c r="B88"/>
      <c r="C88" s="31"/>
      <c r="D88" s="31"/>
      <c r="E88" s="31"/>
      <c r="F88" s="31"/>
      <c r="G88" s="20" t="s">
        <v>194</v>
      </c>
      <c r="H88" s="20" t="s">
        <v>195</v>
      </c>
      <c r="I88" s="20" t="s">
        <v>196</v>
      </c>
      <c r="J88" s="20" t="s">
        <v>197</v>
      </c>
      <c r="K88" s="20">
        <v>43.311056000000001</v>
      </c>
      <c r="L88" s="20">
        <v>-97.175206000000003</v>
      </c>
      <c r="M88" s="20" t="s">
        <v>100</v>
      </c>
      <c r="N88" s="4">
        <v>2014</v>
      </c>
      <c r="O88" t="s">
        <v>54</v>
      </c>
      <c r="P88" t="s">
        <v>55</v>
      </c>
      <c r="Q88" s="5">
        <v>329</v>
      </c>
      <c r="R88" s="1">
        <v>44774</v>
      </c>
      <c r="S88" s="1">
        <v>44819</v>
      </c>
      <c r="T88">
        <v>115</v>
      </c>
      <c r="U88"/>
      <c r="V88">
        <v>282</v>
      </c>
      <c r="W88">
        <v>46</v>
      </c>
      <c r="X88">
        <v>27</v>
      </c>
      <c r="Z88">
        <v>2</v>
      </c>
      <c r="AA88" s="120"/>
      <c r="AB88" s="120"/>
      <c r="AC88" s="120"/>
    </row>
    <row r="89" spans="1:29" s="28" customFormat="1" x14ac:dyDescent="0.25">
      <c r="A89"/>
      <c r="B89" s="13">
        <v>44945</v>
      </c>
      <c r="C89" s="32">
        <v>2155.4699999999998</v>
      </c>
      <c r="D89" s="32">
        <v>0</v>
      </c>
      <c r="E89" s="32">
        <v>2155.4699999999998</v>
      </c>
      <c r="F89" s="32">
        <v>4310.95</v>
      </c>
      <c r="G89" s="8" t="s">
        <v>194</v>
      </c>
      <c r="H89" s="8" t="s">
        <v>195</v>
      </c>
      <c r="I89" s="8" t="s">
        <v>196</v>
      </c>
      <c r="J89" s="8" t="s">
        <v>197</v>
      </c>
      <c r="K89" s="8">
        <v>43.311056000000001</v>
      </c>
      <c r="L89" s="8">
        <v>-97.175206000000003</v>
      </c>
      <c r="M89" s="8" t="s">
        <v>100</v>
      </c>
      <c r="N89" s="10">
        <v>2014</v>
      </c>
      <c r="O89" s="11" t="s">
        <v>56</v>
      </c>
      <c r="P89" s="11" t="s">
        <v>57</v>
      </c>
      <c r="Q89" s="12">
        <v>340</v>
      </c>
      <c r="R89" s="13">
        <v>44774</v>
      </c>
      <c r="S89" s="13">
        <v>44819</v>
      </c>
      <c r="T89" s="11">
        <v>115</v>
      </c>
      <c r="U89" s="11"/>
      <c r="V89" s="11">
        <v>547</v>
      </c>
      <c r="W89" s="11">
        <v>168</v>
      </c>
      <c r="X89" s="11">
        <v>105</v>
      </c>
      <c r="Z89">
        <v>2</v>
      </c>
      <c r="AA89" s="120"/>
      <c r="AB89" s="120"/>
      <c r="AC89" s="120"/>
    </row>
    <row r="90" spans="1:29" s="28" customFormat="1" x14ac:dyDescent="0.25">
      <c r="A90"/>
      <c r="B90"/>
      <c r="C90" s="31"/>
      <c r="D90" s="31"/>
      <c r="E90" s="31"/>
      <c r="F90" s="31"/>
      <c r="G90" s="20" t="s">
        <v>194</v>
      </c>
      <c r="H90" s="20" t="s">
        <v>198</v>
      </c>
      <c r="I90" s="20" t="s">
        <v>199</v>
      </c>
      <c r="J90" s="20" t="s">
        <v>200</v>
      </c>
      <c r="K90" s="20">
        <v>43.296892</v>
      </c>
      <c r="L90" s="20">
        <v>-97.107156000000003</v>
      </c>
      <c r="M90" s="20" t="s">
        <v>100</v>
      </c>
      <c r="N90" s="4">
        <v>2015</v>
      </c>
      <c r="O90" t="s">
        <v>54</v>
      </c>
      <c r="P90" t="s">
        <v>55</v>
      </c>
      <c r="Q90" s="5">
        <v>329</v>
      </c>
      <c r="R90" s="1">
        <v>44799</v>
      </c>
      <c r="S90" s="1">
        <v>44826</v>
      </c>
      <c r="T90">
        <v>297</v>
      </c>
      <c r="U90"/>
      <c r="V90">
        <v>822</v>
      </c>
      <c r="W90">
        <v>156</v>
      </c>
      <c r="X90">
        <v>99</v>
      </c>
      <c r="Z90">
        <v>2</v>
      </c>
      <c r="AA90" s="120"/>
      <c r="AB90" s="120"/>
      <c r="AC90" s="120"/>
    </row>
    <row r="91" spans="1:29" s="28" customFormat="1" x14ac:dyDescent="0.25">
      <c r="A91"/>
      <c r="B91" s="13">
        <v>44943</v>
      </c>
      <c r="C91" s="32">
        <v>4000</v>
      </c>
      <c r="D91" s="32">
        <v>0</v>
      </c>
      <c r="E91" s="32">
        <v>6400.25</v>
      </c>
      <c r="F91" s="32">
        <v>10400.25</v>
      </c>
      <c r="G91" s="8" t="s">
        <v>194</v>
      </c>
      <c r="H91" s="8" t="s">
        <v>198</v>
      </c>
      <c r="I91" s="8" t="s">
        <v>199</v>
      </c>
      <c r="J91" s="8" t="s">
        <v>200</v>
      </c>
      <c r="K91" s="8">
        <v>43.296892</v>
      </c>
      <c r="L91" s="8">
        <v>-97.107156000000003</v>
      </c>
      <c r="M91" s="8" t="s">
        <v>100</v>
      </c>
      <c r="N91" s="10">
        <v>2015</v>
      </c>
      <c r="O91" s="11" t="s">
        <v>56</v>
      </c>
      <c r="P91" s="11" t="s">
        <v>57</v>
      </c>
      <c r="Q91" s="12">
        <v>340</v>
      </c>
      <c r="R91" s="13">
        <v>44799</v>
      </c>
      <c r="S91" s="13">
        <v>44826</v>
      </c>
      <c r="T91" s="11">
        <v>297</v>
      </c>
      <c r="U91" s="11"/>
      <c r="V91" s="11">
        <v>1789</v>
      </c>
      <c r="W91" s="11">
        <v>579</v>
      </c>
      <c r="X91" s="11">
        <v>390</v>
      </c>
      <c r="Z91">
        <v>2</v>
      </c>
      <c r="AA91" s="120"/>
      <c r="AB91" s="120"/>
      <c r="AC91" s="120"/>
    </row>
    <row r="92" spans="1:29" s="28" customFormat="1" x14ac:dyDescent="0.25">
      <c r="A92"/>
      <c r="B92"/>
      <c r="C92" s="31"/>
      <c r="D92" s="31"/>
      <c r="E92" s="31"/>
      <c r="F92" s="31"/>
      <c r="G92" s="20" t="s">
        <v>194</v>
      </c>
      <c r="H92" s="20" t="s">
        <v>201</v>
      </c>
      <c r="I92" s="20" t="s">
        <v>202</v>
      </c>
      <c r="J92" s="20" t="s">
        <v>99</v>
      </c>
      <c r="K92" s="20">
        <v>43.348407999999999</v>
      </c>
      <c r="L92" s="20">
        <v>-97.343086999999997</v>
      </c>
      <c r="M92" s="20" t="s">
        <v>203</v>
      </c>
      <c r="N92" s="4">
        <v>2007</v>
      </c>
      <c r="O92" t="s">
        <v>54</v>
      </c>
      <c r="P92" t="s">
        <v>55</v>
      </c>
      <c r="Q92" s="5">
        <v>329</v>
      </c>
      <c r="R92" s="1">
        <v>44722</v>
      </c>
      <c r="S92" s="13">
        <v>44788</v>
      </c>
      <c r="T92">
        <v>127</v>
      </c>
      <c r="U92"/>
      <c r="V92">
        <v>196.8</v>
      </c>
      <c r="W92">
        <v>45.5</v>
      </c>
      <c r="X92">
        <v>31.8</v>
      </c>
      <c r="Z92">
        <v>2</v>
      </c>
      <c r="AA92" s="120"/>
      <c r="AB92" s="120"/>
      <c r="AC92" s="120"/>
    </row>
    <row r="93" spans="1:29" s="28" customFormat="1" x14ac:dyDescent="0.25">
      <c r="A93"/>
      <c r="B93" s="13">
        <v>44823</v>
      </c>
      <c r="C93" s="32">
        <v>1761.14</v>
      </c>
      <c r="D93" s="32">
        <v>0</v>
      </c>
      <c r="E93" s="32">
        <v>1905</v>
      </c>
      <c r="F93" s="32">
        <v>3677.14</v>
      </c>
      <c r="G93" s="8" t="s">
        <v>194</v>
      </c>
      <c r="H93" s="8" t="s">
        <v>201</v>
      </c>
      <c r="I93" s="8" t="s">
        <v>202</v>
      </c>
      <c r="J93" s="8" t="s">
        <v>99</v>
      </c>
      <c r="K93" s="8">
        <v>43.348407999999999</v>
      </c>
      <c r="L93" s="8">
        <v>-97.343086999999997</v>
      </c>
      <c r="M93" s="8" t="s">
        <v>203</v>
      </c>
      <c r="N93" s="10">
        <v>2007</v>
      </c>
      <c r="O93" s="11" t="s">
        <v>56</v>
      </c>
      <c r="P93" s="11" t="s">
        <v>57</v>
      </c>
      <c r="Q93" s="12">
        <v>340</v>
      </c>
      <c r="R93" s="13">
        <v>44725</v>
      </c>
      <c r="S93" s="13">
        <v>44879</v>
      </c>
      <c r="T93" s="11">
        <v>127</v>
      </c>
      <c r="U93" s="11"/>
      <c r="V93" s="66">
        <v>500.9</v>
      </c>
      <c r="W93" s="66">
        <v>172.3</v>
      </c>
      <c r="X93" s="66">
        <v>124.8</v>
      </c>
      <c r="Z93">
        <v>2</v>
      </c>
      <c r="AA93" s="120"/>
      <c r="AB93" s="120"/>
      <c r="AC93" s="120"/>
    </row>
    <row r="94" spans="1:29" s="28" customFormat="1" x14ac:dyDescent="0.25">
      <c r="A94"/>
      <c r="B94"/>
      <c r="C94" s="31"/>
      <c r="D94" s="31"/>
      <c r="E94" s="31"/>
      <c r="F94" s="31"/>
      <c r="G94" s="20" t="s">
        <v>204</v>
      </c>
      <c r="H94" s="20" t="s">
        <v>205</v>
      </c>
      <c r="I94" s="20" t="s">
        <v>206</v>
      </c>
      <c r="J94" s="20" t="s">
        <v>207</v>
      </c>
      <c r="K94" s="20">
        <v>44.437491000000001</v>
      </c>
      <c r="L94" s="20">
        <v>-103.22508500000001</v>
      </c>
      <c r="M94" s="20" t="s">
        <v>208</v>
      </c>
      <c r="N94" s="4">
        <v>2021915</v>
      </c>
      <c r="O94" t="s">
        <v>54</v>
      </c>
      <c r="P94" t="s">
        <v>55</v>
      </c>
      <c r="Q94" s="5">
        <v>329</v>
      </c>
      <c r="R94" s="1">
        <v>44317</v>
      </c>
      <c r="S94" s="1">
        <v>44423</v>
      </c>
      <c r="T94">
        <v>230</v>
      </c>
      <c r="U94"/>
      <c r="V94">
        <v>727</v>
      </c>
      <c r="W94">
        <v>235</v>
      </c>
      <c r="X94">
        <v>174</v>
      </c>
      <c r="Z94">
        <v>2</v>
      </c>
      <c r="AA94" s="120"/>
      <c r="AB94" s="120"/>
      <c r="AC94" s="120"/>
    </row>
    <row r="95" spans="1:29" s="28" customFormat="1" x14ac:dyDescent="0.25">
      <c r="A95"/>
      <c r="B95" s="1">
        <v>44369</v>
      </c>
      <c r="C95" s="31">
        <v>5747.75</v>
      </c>
      <c r="D95" s="31">
        <v>0</v>
      </c>
      <c r="E95" s="31">
        <v>5058.0200000000004</v>
      </c>
      <c r="F95" s="31">
        <v>10805.77</v>
      </c>
      <c r="G95" s="6" t="s">
        <v>204</v>
      </c>
      <c r="H95" s="6" t="s">
        <v>205</v>
      </c>
      <c r="I95" s="6" t="s">
        <v>206</v>
      </c>
      <c r="J95" s="6" t="s">
        <v>207</v>
      </c>
      <c r="K95" s="6">
        <v>44.437491000000001</v>
      </c>
      <c r="L95" s="6">
        <v>-103.22508500000001</v>
      </c>
      <c r="M95" s="6" t="s">
        <v>208</v>
      </c>
      <c r="N95" s="4">
        <v>2021915</v>
      </c>
      <c r="O95" t="s">
        <v>56</v>
      </c>
      <c r="P95" t="s">
        <v>57</v>
      </c>
      <c r="Q95" s="5">
        <v>340</v>
      </c>
      <c r="R95" s="1">
        <v>44317</v>
      </c>
      <c r="S95" s="1">
        <v>44423</v>
      </c>
      <c r="T95">
        <v>230</v>
      </c>
      <c r="U95"/>
      <c r="V95">
        <v>906</v>
      </c>
      <c r="W95">
        <v>314</v>
      </c>
      <c r="X95">
        <v>233</v>
      </c>
      <c r="Z95">
        <v>2</v>
      </c>
      <c r="AA95" s="120"/>
      <c r="AB95" s="120"/>
      <c r="AC95" s="120"/>
    </row>
    <row r="96" spans="1:29" s="28" customFormat="1" x14ac:dyDescent="0.25">
      <c r="A96"/>
      <c r="B96" s="11"/>
      <c r="C96" s="32"/>
      <c r="D96" s="32"/>
      <c r="E96" s="32"/>
      <c r="F96" s="32"/>
      <c r="G96" s="8" t="s">
        <v>204</v>
      </c>
      <c r="H96" s="8" t="s">
        <v>205</v>
      </c>
      <c r="I96" s="8" t="s">
        <v>206</v>
      </c>
      <c r="J96" s="8" t="s">
        <v>207</v>
      </c>
      <c r="K96" s="8">
        <v>44.437491000000001</v>
      </c>
      <c r="L96" s="8">
        <v>-103.22508500000001</v>
      </c>
      <c r="M96" s="8" t="s">
        <v>208</v>
      </c>
      <c r="N96" s="10">
        <v>2021915</v>
      </c>
      <c r="O96" s="11" t="s">
        <v>105</v>
      </c>
      <c r="P96" s="11" t="s">
        <v>679</v>
      </c>
      <c r="Q96" s="12">
        <v>556</v>
      </c>
      <c r="R96" s="13">
        <v>44317</v>
      </c>
      <c r="S96" s="13">
        <v>44423</v>
      </c>
      <c r="T96" s="11">
        <v>230</v>
      </c>
      <c r="U96" s="11"/>
      <c r="V96" s="11"/>
      <c r="W96" s="11"/>
      <c r="X96" s="11"/>
      <c r="Z96">
        <v>2</v>
      </c>
      <c r="AA96" s="120"/>
      <c r="AB96" s="120"/>
      <c r="AC96" s="120"/>
    </row>
    <row r="97" spans="1:29" s="28" customFormat="1" x14ac:dyDescent="0.25">
      <c r="A97"/>
      <c r="B97" s="27">
        <v>44433</v>
      </c>
      <c r="C97" s="33">
        <v>0</v>
      </c>
      <c r="D97" s="33">
        <v>1919.3</v>
      </c>
      <c r="E97" s="33">
        <v>3042</v>
      </c>
      <c r="F97" s="33">
        <v>4961.3</v>
      </c>
      <c r="G97" s="22" t="s">
        <v>209</v>
      </c>
      <c r="H97" s="22" t="s">
        <v>210</v>
      </c>
      <c r="I97" s="22" t="s">
        <v>211</v>
      </c>
      <c r="J97" s="22" t="s">
        <v>212</v>
      </c>
      <c r="K97" s="22">
        <v>42.971603999999999</v>
      </c>
      <c r="L97" s="22">
        <v>-97.326511999999994</v>
      </c>
      <c r="M97" s="22"/>
      <c r="N97" s="10" t="s">
        <v>213</v>
      </c>
      <c r="O97" s="11" t="s">
        <v>56</v>
      </c>
      <c r="P97" s="11" t="s">
        <v>57</v>
      </c>
      <c r="Q97" s="12">
        <v>340</v>
      </c>
      <c r="R97" s="13">
        <v>44470</v>
      </c>
      <c r="S97" s="13">
        <v>44498</v>
      </c>
      <c r="T97" s="11">
        <v>170</v>
      </c>
      <c r="U97" s="11"/>
      <c r="V97" s="11">
        <v>1243</v>
      </c>
      <c r="W97" s="11">
        <v>413</v>
      </c>
      <c r="X97" s="11">
        <v>293</v>
      </c>
      <c r="Z97">
        <v>2</v>
      </c>
      <c r="AA97" s="120"/>
      <c r="AB97" s="120"/>
      <c r="AC97" s="120"/>
    </row>
    <row r="98" spans="1:29" s="28" customFormat="1" x14ac:dyDescent="0.25">
      <c r="A98"/>
      <c r="B98"/>
      <c r="C98" s="31"/>
      <c r="D98" s="31"/>
      <c r="E98" s="31"/>
      <c r="F98" s="31"/>
      <c r="G98" s="20" t="s">
        <v>214</v>
      </c>
      <c r="H98" s="20" t="s">
        <v>215</v>
      </c>
      <c r="I98" s="20" t="s">
        <v>216</v>
      </c>
      <c r="J98" s="20" t="s">
        <v>217</v>
      </c>
      <c r="K98" s="20">
        <v>43.078023999999999</v>
      </c>
      <c r="L98" s="20">
        <v>-100.144284</v>
      </c>
      <c r="M98" s="20" t="s">
        <v>218</v>
      </c>
      <c r="N98" s="4">
        <v>2021003</v>
      </c>
      <c r="O98" t="s">
        <v>83</v>
      </c>
      <c r="P98" t="s">
        <v>84</v>
      </c>
      <c r="Q98" s="5">
        <v>328</v>
      </c>
      <c r="R98" s="1">
        <v>44270</v>
      </c>
      <c r="S98" s="1">
        <v>44463</v>
      </c>
      <c r="T98">
        <v>70</v>
      </c>
      <c r="U98"/>
      <c r="V98"/>
      <c r="W98"/>
      <c r="X98"/>
      <c r="Z98">
        <v>2</v>
      </c>
      <c r="AA98" s="120"/>
      <c r="AB98" s="120"/>
      <c r="AC98" s="120"/>
    </row>
    <row r="99" spans="1:29" s="28" customFormat="1" x14ac:dyDescent="0.25">
      <c r="A99"/>
      <c r="B99"/>
      <c r="C99" s="31"/>
      <c r="D99" s="31"/>
      <c r="E99" s="31"/>
      <c r="F99" s="31"/>
      <c r="G99" s="6" t="s">
        <v>214</v>
      </c>
      <c r="H99" s="6" t="s">
        <v>215</v>
      </c>
      <c r="I99" s="6" t="s">
        <v>216</v>
      </c>
      <c r="J99" s="6" t="s">
        <v>217</v>
      </c>
      <c r="K99" s="6">
        <v>43.078023999999999</v>
      </c>
      <c r="L99" s="6">
        <v>-100.144284</v>
      </c>
      <c r="M99" s="6" t="s">
        <v>218</v>
      </c>
      <c r="N99" s="4">
        <v>2021003</v>
      </c>
      <c r="O99" t="s">
        <v>54</v>
      </c>
      <c r="P99" t="s">
        <v>55</v>
      </c>
      <c r="Q99" s="5">
        <v>329</v>
      </c>
      <c r="R99" s="1">
        <v>44317</v>
      </c>
      <c r="S99" s="1">
        <v>44409</v>
      </c>
      <c r="T99">
        <v>70</v>
      </c>
      <c r="U99"/>
      <c r="V99">
        <v>230</v>
      </c>
      <c r="W99">
        <v>59</v>
      </c>
      <c r="X99">
        <v>43</v>
      </c>
      <c r="Z99">
        <v>2</v>
      </c>
      <c r="AA99" s="120"/>
      <c r="AB99" s="120"/>
      <c r="AC99" s="120"/>
    </row>
    <row r="100" spans="1:29" s="28" customFormat="1" x14ac:dyDescent="0.25">
      <c r="A100"/>
      <c r="B100" s="1">
        <v>44417</v>
      </c>
      <c r="C100" s="31">
        <v>0</v>
      </c>
      <c r="D100" s="31">
        <v>1750.56</v>
      </c>
      <c r="E100" s="31">
        <v>1167.04</v>
      </c>
      <c r="F100" s="31">
        <v>2917.6</v>
      </c>
      <c r="G100" s="6" t="s">
        <v>214</v>
      </c>
      <c r="H100" s="6"/>
      <c r="I100" s="6" t="s">
        <v>216</v>
      </c>
      <c r="J100" s="6" t="s">
        <v>217</v>
      </c>
      <c r="K100" s="6">
        <v>43.078023999999999</v>
      </c>
      <c r="L100" s="6">
        <v>-100.144284</v>
      </c>
      <c r="M100" s="6" t="s">
        <v>218</v>
      </c>
      <c r="N100" s="4">
        <v>2021003</v>
      </c>
      <c r="O100" t="s">
        <v>56</v>
      </c>
      <c r="P100" t="s">
        <v>57</v>
      </c>
      <c r="Q100" s="5">
        <v>340</v>
      </c>
      <c r="R100" s="1">
        <v>44287</v>
      </c>
      <c r="S100" s="1">
        <v>44417</v>
      </c>
      <c r="T100">
        <v>70</v>
      </c>
      <c r="U100"/>
      <c r="V100">
        <v>636</v>
      </c>
      <c r="W100">
        <v>225</v>
      </c>
      <c r="X100">
        <v>167</v>
      </c>
      <c r="Z100">
        <v>2</v>
      </c>
      <c r="AA100" s="120"/>
      <c r="AB100" s="120"/>
      <c r="AC100" s="120"/>
    </row>
    <row r="101" spans="1:29" s="28" customFormat="1" x14ac:dyDescent="0.25">
      <c r="A101"/>
      <c r="B101" s="1"/>
      <c r="C101" s="31"/>
      <c r="D101" s="31"/>
      <c r="E101" s="31"/>
      <c r="F101" s="31"/>
      <c r="G101" s="6" t="s">
        <v>214</v>
      </c>
      <c r="H101" s="6" t="s">
        <v>215</v>
      </c>
      <c r="I101" s="6" t="s">
        <v>216</v>
      </c>
      <c r="J101" s="6" t="s">
        <v>217</v>
      </c>
      <c r="K101" s="6">
        <v>43.078023999999999</v>
      </c>
      <c r="L101" s="6">
        <v>-100.144284</v>
      </c>
      <c r="M101" s="6" t="s">
        <v>218</v>
      </c>
      <c r="N101" s="4">
        <v>2021003</v>
      </c>
      <c r="O101" t="s">
        <v>105</v>
      </c>
      <c r="P101" t="s">
        <v>679</v>
      </c>
      <c r="Q101" s="5">
        <v>556</v>
      </c>
      <c r="R101" s="1">
        <v>44317</v>
      </c>
      <c r="S101" s="1">
        <v>44409</v>
      </c>
      <c r="T101">
        <v>70</v>
      </c>
      <c r="U101"/>
      <c r="V101"/>
      <c r="W101"/>
      <c r="X101"/>
      <c r="Z101">
        <v>2</v>
      </c>
      <c r="AA101" s="120"/>
      <c r="AB101" s="120"/>
      <c r="AC101" s="120"/>
    </row>
    <row r="102" spans="1:29" s="28" customFormat="1" x14ac:dyDescent="0.25">
      <c r="A102"/>
      <c r="B102"/>
      <c r="C102" s="31"/>
      <c r="D102" s="31"/>
      <c r="E102" s="31"/>
      <c r="F102" s="31"/>
      <c r="G102" s="6" t="s">
        <v>214</v>
      </c>
      <c r="H102" s="6" t="s">
        <v>215</v>
      </c>
      <c r="I102" s="6" t="s">
        <v>216</v>
      </c>
      <c r="J102" s="6" t="s">
        <v>217</v>
      </c>
      <c r="K102" s="6">
        <v>43.078023999999999</v>
      </c>
      <c r="L102" s="6">
        <v>-100.144284</v>
      </c>
      <c r="M102" s="6" t="s">
        <v>218</v>
      </c>
      <c r="N102" s="4" t="s">
        <v>219</v>
      </c>
      <c r="O102" t="s">
        <v>83</v>
      </c>
      <c r="P102" t="s">
        <v>84</v>
      </c>
      <c r="Q102" s="5">
        <v>328</v>
      </c>
      <c r="R102" s="1">
        <v>44682</v>
      </c>
      <c r="S102" s="1">
        <v>44872</v>
      </c>
      <c r="T102">
        <v>70</v>
      </c>
      <c r="U102"/>
      <c r="V102"/>
      <c r="W102"/>
      <c r="X102"/>
      <c r="Z102">
        <v>2</v>
      </c>
      <c r="AA102" s="120"/>
      <c r="AB102" s="120"/>
      <c r="AC102" s="120"/>
    </row>
    <row r="103" spans="1:29" s="28" customFormat="1" x14ac:dyDescent="0.25">
      <c r="A103"/>
      <c r="B103"/>
      <c r="C103" s="31"/>
      <c r="D103" s="31"/>
      <c r="E103" s="31"/>
      <c r="F103" s="31"/>
      <c r="G103" s="6" t="s">
        <v>214</v>
      </c>
      <c r="H103" s="6" t="s">
        <v>215</v>
      </c>
      <c r="I103" s="6" t="s">
        <v>216</v>
      </c>
      <c r="J103" s="6" t="s">
        <v>217</v>
      </c>
      <c r="K103" s="6">
        <v>43.078023999999999</v>
      </c>
      <c r="L103" s="6">
        <v>-100.144284</v>
      </c>
      <c r="M103" s="6" t="s">
        <v>218</v>
      </c>
      <c r="N103" s="4" t="s">
        <v>219</v>
      </c>
      <c r="O103" t="s">
        <v>54</v>
      </c>
      <c r="P103" t="s">
        <v>55</v>
      </c>
      <c r="Q103" s="5">
        <v>329</v>
      </c>
      <c r="R103" s="1">
        <v>44682</v>
      </c>
      <c r="S103" s="1">
        <v>44872</v>
      </c>
      <c r="T103">
        <v>70</v>
      </c>
      <c r="U103"/>
      <c r="V103">
        <v>236</v>
      </c>
      <c r="W103">
        <v>60</v>
      </c>
      <c r="X103">
        <v>44</v>
      </c>
      <c r="Z103">
        <v>2</v>
      </c>
      <c r="AA103" s="120"/>
      <c r="AB103" s="120"/>
      <c r="AC103" s="120"/>
    </row>
    <row r="104" spans="1:29" s="28" customFormat="1" x14ac:dyDescent="0.25">
      <c r="A104"/>
      <c r="B104" s="1">
        <v>44789</v>
      </c>
      <c r="C104" s="31">
        <v>1253.52</v>
      </c>
      <c r="D104" s="31">
        <v>0</v>
      </c>
      <c r="E104" s="31">
        <v>1901.64</v>
      </c>
      <c r="F104" s="31">
        <v>3155.16</v>
      </c>
      <c r="G104" s="6" t="s">
        <v>214</v>
      </c>
      <c r="H104" s="6" t="s">
        <v>215</v>
      </c>
      <c r="I104" s="6" t="s">
        <v>216</v>
      </c>
      <c r="J104" s="6" t="s">
        <v>217</v>
      </c>
      <c r="K104" s="6">
        <v>43.078023999999999</v>
      </c>
      <c r="L104" s="6">
        <v>-100.144284</v>
      </c>
      <c r="M104" s="6" t="s">
        <v>218</v>
      </c>
      <c r="N104" s="4" t="s">
        <v>219</v>
      </c>
      <c r="O104" t="s">
        <v>56</v>
      </c>
      <c r="P104" t="s">
        <v>57</v>
      </c>
      <c r="Q104" s="5">
        <v>340</v>
      </c>
      <c r="R104" s="1">
        <v>44762</v>
      </c>
      <c r="S104" s="1">
        <v>44932</v>
      </c>
      <c r="T104">
        <v>70</v>
      </c>
      <c r="U104"/>
      <c r="V104">
        <v>590</v>
      </c>
      <c r="W104">
        <v>205</v>
      </c>
      <c r="X104">
        <v>153</v>
      </c>
      <c r="Z104">
        <v>2</v>
      </c>
      <c r="AA104" s="120"/>
      <c r="AB104" s="120"/>
      <c r="AC104" s="120"/>
    </row>
    <row r="105" spans="1:29" s="28" customFormat="1" ht="14.4" thickBot="1" x14ac:dyDescent="0.3">
      <c r="A105"/>
      <c r="B105"/>
      <c r="C105" s="31"/>
      <c r="D105" s="31"/>
      <c r="E105" s="31"/>
      <c r="F105" s="31"/>
      <c r="G105" s="6" t="s">
        <v>214</v>
      </c>
      <c r="H105" s="6" t="s">
        <v>215</v>
      </c>
      <c r="I105" s="6" t="s">
        <v>216</v>
      </c>
      <c r="J105" s="6" t="s">
        <v>217</v>
      </c>
      <c r="K105" s="6">
        <v>43.078023999999999</v>
      </c>
      <c r="L105" s="6">
        <v>-100.144284</v>
      </c>
      <c r="M105" s="6" t="s">
        <v>218</v>
      </c>
      <c r="N105" s="4" t="s">
        <v>219</v>
      </c>
      <c r="O105" t="s">
        <v>105</v>
      </c>
      <c r="P105" t="s">
        <v>679</v>
      </c>
      <c r="Q105" s="5">
        <v>556</v>
      </c>
      <c r="R105" s="1">
        <v>44682</v>
      </c>
      <c r="S105" s="1">
        <v>44872</v>
      </c>
      <c r="T105">
        <v>70</v>
      </c>
      <c r="U105"/>
      <c r="V105"/>
      <c r="W105"/>
      <c r="X105"/>
      <c r="Z105">
        <v>2</v>
      </c>
      <c r="AA105" s="120"/>
      <c r="AB105" s="120"/>
      <c r="AC105" s="120"/>
    </row>
    <row r="106" spans="1:29" s="28" customFormat="1" x14ac:dyDescent="0.25">
      <c r="A106"/>
      <c r="B106" s="106" t="s">
        <v>668</v>
      </c>
      <c r="C106" s="102"/>
      <c r="D106" s="102"/>
      <c r="E106" s="102"/>
      <c r="F106" s="102"/>
      <c r="G106" s="103" t="s">
        <v>214</v>
      </c>
      <c r="H106" s="103" t="s">
        <v>215</v>
      </c>
      <c r="I106" s="103" t="s">
        <v>216</v>
      </c>
      <c r="J106" s="103" t="s">
        <v>217</v>
      </c>
      <c r="K106" s="103">
        <v>43.078023999999999</v>
      </c>
      <c r="L106" s="103">
        <v>-100.144284</v>
      </c>
      <c r="M106" s="103" t="s">
        <v>218</v>
      </c>
      <c r="N106" s="104"/>
      <c r="O106" s="106"/>
      <c r="P106" s="106" t="s">
        <v>304</v>
      </c>
      <c r="Q106" s="107">
        <v>516</v>
      </c>
      <c r="R106" s="108"/>
      <c r="S106" s="105"/>
      <c r="T106" s="101"/>
      <c r="U106" s="101"/>
      <c r="V106" s="101"/>
      <c r="W106" s="101"/>
      <c r="X106" s="101"/>
      <c r="AA106" s="120"/>
      <c r="AB106" s="120"/>
      <c r="AC106" s="120"/>
    </row>
    <row r="107" spans="1:29" s="28" customFormat="1" x14ac:dyDescent="0.25">
      <c r="A107"/>
      <c r="B107" s="27">
        <v>45153</v>
      </c>
      <c r="C107" s="33">
        <v>1000</v>
      </c>
      <c r="D107" s="33">
        <v>0</v>
      </c>
      <c r="E107" s="33">
        <v>3958</v>
      </c>
      <c r="F107" s="33">
        <v>4958</v>
      </c>
      <c r="G107" s="30" t="s">
        <v>220</v>
      </c>
      <c r="H107" s="30" t="s">
        <v>205</v>
      </c>
      <c r="I107" s="30" t="s">
        <v>221</v>
      </c>
      <c r="J107" s="30" t="s">
        <v>222</v>
      </c>
      <c r="K107" s="30">
        <v>44.899106000000003</v>
      </c>
      <c r="L107" s="30">
        <v>-97.205034999999995</v>
      </c>
      <c r="M107" s="30" t="s">
        <v>223</v>
      </c>
      <c r="N107" s="25" t="s">
        <v>95</v>
      </c>
      <c r="O107" s="24" t="s">
        <v>132</v>
      </c>
      <c r="P107" s="24" t="s">
        <v>133</v>
      </c>
      <c r="Q107" s="26"/>
      <c r="R107" s="27">
        <v>44927</v>
      </c>
      <c r="S107" s="27">
        <v>45061</v>
      </c>
      <c r="T107" s="24">
        <v>10</v>
      </c>
      <c r="U107" s="24"/>
      <c r="V107" s="24">
        <v>65</v>
      </c>
      <c r="W107" s="24">
        <v>23</v>
      </c>
      <c r="X107" s="24">
        <v>17</v>
      </c>
      <c r="Z107">
        <v>2</v>
      </c>
      <c r="AA107" s="120"/>
      <c r="AB107" s="120"/>
      <c r="AC107" s="120"/>
    </row>
    <row r="108" spans="1:29" s="28" customFormat="1" x14ac:dyDescent="0.25">
      <c r="A108"/>
      <c r="B108"/>
      <c r="C108" s="31"/>
      <c r="D108" s="31"/>
      <c r="E108" s="31"/>
      <c r="F108" s="31"/>
      <c r="G108" s="20" t="s">
        <v>224</v>
      </c>
      <c r="H108" s="20" t="s">
        <v>225</v>
      </c>
      <c r="I108" s="20" t="s">
        <v>226</v>
      </c>
      <c r="J108" s="20" t="s">
        <v>227</v>
      </c>
      <c r="K108" s="20">
        <v>43.866072000000003</v>
      </c>
      <c r="L108" s="20">
        <v>-96.759816999999998</v>
      </c>
      <c r="M108" s="20" t="s">
        <v>228</v>
      </c>
      <c r="N108" s="4">
        <v>2021002</v>
      </c>
      <c r="O108" t="s">
        <v>83</v>
      </c>
      <c r="P108" t="s">
        <v>84</v>
      </c>
      <c r="Q108" s="5">
        <v>328</v>
      </c>
      <c r="R108" s="1">
        <v>44317</v>
      </c>
      <c r="S108" s="1">
        <v>44409</v>
      </c>
      <c r="T108">
        <v>31.66</v>
      </c>
      <c r="U108"/>
      <c r="V108"/>
      <c r="W108"/>
      <c r="X108"/>
      <c r="Z108">
        <v>2</v>
      </c>
      <c r="AA108" s="120"/>
      <c r="AB108" s="120"/>
      <c r="AC108" s="120"/>
    </row>
    <row r="109" spans="1:29" s="28" customFormat="1" x14ac:dyDescent="0.25">
      <c r="A109"/>
      <c r="B109"/>
      <c r="C109" s="31"/>
      <c r="D109" s="31"/>
      <c r="E109" s="31"/>
      <c r="F109" s="31"/>
      <c r="G109" s="6" t="s">
        <v>224</v>
      </c>
      <c r="H109" s="6" t="s">
        <v>225</v>
      </c>
      <c r="I109" s="6" t="s">
        <v>226</v>
      </c>
      <c r="J109" s="6" t="s">
        <v>227</v>
      </c>
      <c r="K109" s="6">
        <v>43.866072000000003</v>
      </c>
      <c r="L109" s="6">
        <v>-96.759816999999998</v>
      </c>
      <c r="M109" s="6" t="s">
        <v>228</v>
      </c>
      <c r="N109" s="4">
        <v>2021002</v>
      </c>
      <c r="O109" t="s">
        <v>54</v>
      </c>
      <c r="P109" t="s">
        <v>55</v>
      </c>
      <c r="Q109" s="5">
        <v>329</v>
      </c>
      <c r="R109" s="1">
        <v>44317</v>
      </c>
      <c r="S109" s="1">
        <v>44409</v>
      </c>
      <c r="T109">
        <v>31.66</v>
      </c>
      <c r="U109"/>
      <c r="V109">
        <v>544</v>
      </c>
      <c r="W109">
        <v>119</v>
      </c>
      <c r="X109">
        <v>82</v>
      </c>
      <c r="Z109">
        <v>2</v>
      </c>
      <c r="AA109" s="120"/>
      <c r="AB109" s="120"/>
      <c r="AC109" s="120"/>
    </row>
    <row r="110" spans="1:29" s="28" customFormat="1" x14ac:dyDescent="0.25">
      <c r="A110"/>
      <c r="B110" s="1">
        <v>44407</v>
      </c>
      <c r="C110" s="31">
        <v>0</v>
      </c>
      <c r="D110" s="31">
        <v>719.5</v>
      </c>
      <c r="E110" s="31">
        <v>1108.0999999999999</v>
      </c>
      <c r="F110" s="31">
        <v>1899.6</v>
      </c>
      <c r="G110" s="6" t="s">
        <v>224</v>
      </c>
      <c r="H110" s="6" t="s">
        <v>225</v>
      </c>
      <c r="I110" s="6" t="s">
        <v>226</v>
      </c>
      <c r="J110" s="6" t="s">
        <v>227</v>
      </c>
      <c r="K110" s="6">
        <v>43.866072000000003</v>
      </c>
      <c r="L110" s="6">
        <v>-96.759816999999998</v>
      </c>
      <c r="M110" s="6" t="s">
        <v>228</v>
      </c>
      <c r="N110" s="4">
        <v>2021002</v>
      </c>
      <c r="O110" t="s">
        <v>56</v>
      </c>
      <c r="P110" t="s">
        <v>57</v>
      </c>
      <c r="Q110" s="5">
        <v>340</v>
      </c>
      <c r="R110" s="1">
        <v>44348</v>
      </c>
      <c r="S110" s="1">
        <v>44439</v>
      </c>
      <c r="T110">
        <v>31.66</v>
      </c>
      <c r="U110"/>
      <c r="V110">
        <v>196</v>
      </c>
      <c r="W110">
        <v>64</v>
      </c>
      <c r="X110">
        <v>11</v>
      </c>
      <c r="Z110">
        <v>2</v>
      </c>
      <c r="AA110" s="120"/>
      <c r="AB110" s="120"/>
      <c r="AC110" s="120"/>
    </row>
    <row r="111" spans="1:29" s="28" customFormat="1" x14ac:dyDescent="0.25">
      <c r="A111"/>
      <c r="B111" s="11"/>
      <c r="C111" s="32"/>
      <c r="D111" s="32"/>
      <c r="E111" s="32"/>
      <c r="F111" s="32"/>
      <c r="G111" s="6" t="s">
        <v>224</v>
      </c>
      <c r="H111" s="6" t="s">
        <v>225</v>
      </c>
      <c r="I111" s="6" t="s">
        <v>226</v>
      </c>
      <c r="J111" s="6" t="s">
        <v>227</v>
      </c>
      <c r="K111" s="6">
        <v>43.866072000000003</v>
      </c>
      <c r="L111" s="6">
        <v>-96.759816999999998</v>
      </c>
      <c r="M111" s="6" t="s">
        <v>228</v>
      </c>
      <c r="N111" s="4">
        <v>2021002</v>
      </c>
      <c r="O111" t="s">
        <v>105</v>
      </c>
      <c r="P111" t="s">
        <v>679</v>
      </c>
      <c r="Q111" s="5">
        <v>556</v>
      </c>
      <c r="R111" s="1">
        <v>44317</v>
      </c>
      <c r="S111" s="1">
        <v>44409</v>
      </c>
      <c r="T111">
        <v>31.66</v>
      </c>
      <c r="U111"/>
      <c r="V111"/>
      <c r="W111"/>
      <c r="X111"/>
      <c r="Z111">
        <v>2</v>
      </c>
      <c r="AA111" s="120"/>
      <c r="AB111" s="120"/>
      <c r="AC111" s="120"/>
    </row>
    <row r="112" spans="1:29" s="28" customFormat="1" x14ac:dyDescent="0.25">
      <c r="A112"/>
      <c r="B112"/>
      <c r="C112" s="31"/>
      <c r="D112" s="31"/>
      <c r="E112" s="31"/>
      <c r="F112" s="31"/>
      <c r="G112" s="18" t="s">
        <v>229</v>
      </c>
      <c r="H112" s="18" t="s">
        <v>230</v>
      </c>
      <c r="I112" s="18" t="s">
        <v>231</v>
      </c>
      <c r="J112" s="18" t="s">
        <v>232</v>
      </c>
      <c r="K112" s="18">
        <v>45.425331</v>
      </c>
      <c r="L112" s="18">
        <v>-98.027854000000005</v>
      </c>
      <c r="M112" s="18" t="s">
        <v>233</v>
      </c>
      <c r="N112" s="16">
        <v>2003</v>
      </c>
      <c r="O112" s="14" t="s">
        <v>54</v>
      </c>
      <c r="P112" s="14" t="s">
        <v>55</v>
      </c>
      <c r="Q112" s="17">
        <v>329</v>
      </c>
      <c r="R112" s="15">
        <v>44718</v>
      </c>
      <c r="S112" s="15">
        <v>44770</v>
      </c>
      <c r="T112" s="14">
        <v>157</v>
      </c>
      <c r="U112" s="14"/>
      <c r="V112" s="14">
        <v>254.2</v>
      </c>
      <c r="W112" s="14">
        <v>33.9</v>
      </c>
      <c r="X112" s="14">
        <v>16.8</v>
      </c>
      <c r="Z112">
        <v>2</v>
      </c>
      <c r="AA112" s="120"/>
      <c r="AB112" s="120"/>
      <c r="AC112" s="120"/>
    </row>
    <row r="113" spans="1:29" s="28" customFormat="1" x14ac:dyDescent="0.25">
      <c r="A113"/>
      <c r="B113" s="1">
        <v>44769</v>
      </c>
      <c r="C113" s="31">
        <v>0</v>
      </c>
      <c r="D113" s="31">
        <v>3596.87</v>
      </c>
      <c r="E113" s="31">
        <v>3596.87</v>
      </c>
      <c r="F113" s="31">
        <v>7193.74</v>
      </c>
      <c r="G113" s="6" t="s">
        <v>229</v>
      </c>
      <c r="H113" s="6" t="s">
        <v>230</v>
      </c>
      <c r="I113" s="6" t="s">
        <v>231</v>
      </c>
      <c r="J113" s="6" t="s">
        <v>232</v>
      </c>
      <c r="K113" s="6">
        <v>45.425331</v>
      </c>
      <c r="L113" s="6">
        <v>-98.027854000000005</v>
      </c>
      <c r="M113" s="6" t="s">
        <v>233</v>
      </c>
      <c r="N113" s="4">
        <v>2003</v>
      </c>
      <c r="O113" t="s">
        <v>56</v>
      </c>
      <c r="P113" t="s">
        <v>57</v>
      </c>
      <c r="Q113" s="5">
        <v>340</v>
      </c>
      <c r="R113" s="1">
        <v>44718</v>
      </c>
      <c r="S113" s="1">
        <v>44770</v>
      </c>
      <c r="T113">
        <v>157</v>
      </c>
      <c r="U113"/>
      <c r="V113">
        <v>425.4</v>
      </c>
      <c r="W113">
        <v>120.3</v>
      </c>
      <c r="X113">
        <v>65.8</v>
      </c>
      <c r="Z113">
        <v>2</v>
      </c>
      <c r="AA113" s="120"/>
      <c r="AB113" s="120"/>
      <c r="AC113" s="120"/>
    </row>
    <row r="114" spans="1:29" s="28" customFormat="1" x14ac:dyDescent="0.25">
      <c r="A114"/>
      <c r="B114" s="11"/>
      <c r="C114" s="32"/>
      <c r="D114" s="89"/>
      <c r="E114" s="89"/>
      <c r="F114" s="89"/>
      <c r="G114" s="85" t="s">
        <v>234</v>
      </c>
      <c r="H114" s="85" t="s">
        <v>122</v>
      </c>
      <c r="I114" s="85" t="s">
        <v>235</v>
      </c>
      <c r="J114" s="85" t="s">
        <v>99</v>
      </c>
      <c r="K114" s="85">
        <v>43.410054000000002</v>
      </c>
      <c r="L114" s="85">
        <v>-97.545253000000002</v>
      </c>
      <c r="M114" s="85" t="s">
        <v>192</v>
      </c>
      <c r="N114" s="86" t="s">
        <v>236</v>
      </c>
      <c r="O114" s="83" t="s">
        <v>54</v>
      </c>
      <c r="P114" s="83" t="s">
        <v>55</v>
      </c>
      <c r="Q114" s="87">
        <v>329</v>
      </c>
      <c r="R114" s="88">
        <v>44682</v>
      </c>
      <c r="S114" s="88">
        <v>44845</v>
      </c>
      <c r="T114" s="83">
        <v>261</v>
      </c>
      <c r="U114" s="83"/>
      <c r="V114" s="83">
        <v>569</v>
      </c>
      <c r="W114" s="83">
        <v>82</v>
      </c>
      <c r="X114" s="83">
        <v>44</v>
      </c>
      <c r="Z114">
        <v>2</v>
      </c>
      <c r="AA114" s="120"/>
      <c r="AB114" s="120"/>
      <c r="AC114" s="120"/>
    </row>
    <row r="115" spans="1:29" s="28" customFormat="1" x14ac:dyDescent="0.25">
      <c r="A115"/>
      <c r="B115" s="13">
        <v>44849</v>
      </c>
      <c r="C115" s="32">
        <v>3622.8</v>
      </c>
      <c r="D115" s="32">
        <v>0</v>
      </c>
      <c r="E115" s="32">
        <v>4226.6000000000004</v>
      </c>
      <c r="F115" s="32">
        <v>7849.4</v>
      </c>
      <c r="G115" s="8" t="s">
        <v>234</v>
      </c>
      <c r="H115" s="8" t="s">
        <v>122</v>
      </c>
      <c r="I115" s="8" t="s">
        <v>235</v>
      </c>
      <c r="J115" s="8" t="s">
        <v>99</v>
      </c>
      <c r="K115" s="8">
        <v>43.410054000000002</v>
      </c>
      <c r="L115" s="8">
        <v>-97.545253000000002</v>
      </c>
      <c r="M115" s="8" t="s">
        <v>192</v>
      </c>
      <c r="N115" s="10" t="s">
        <v>236</v>
      </c>
      <c r="O115" s="11" t="s">
        <v>56</v>
      </c>
      <c r="P115" s="11" t="s">
        <v>57</v>
      </c>
      <c r="Q115" s="12">
        <v>340</v>
      </c>
      <c r="R115" s="13">
        <v>44682</v>
      </c>
      <c r="S115" s="13">
        <v>44848</v>
      </c>
      <c r="T115" s="11">
        <v>261</v>
      </c>
      <c r="U115" s="11"/>
      <c r="V115" s="11">
        <v>1009</v>
      </c>
      <c r="W115" s="11">
        <v>296</v>
      </c>
      <c r="X115" s="11">
        <v>172</v>
      </c>
      <c r="Z115">
        <v>2</v>
      </c>
      <c r="AA115" s="120"/>
      <c r="AB115" s="120"/>
      <c r="AC115" s="120"/>
    </row>
    <row r="116" spans="1:29" s="28" customFormat="1" x14ac:dyDescent="0.25">
      <c r="A116"/>
      <c r="B116"/>
      <c r="C116" s="31"/>
      <c r="D116" s="31"/>
      <c r="E116" s="31"/>
      <c r="F116" s="31"/>
      <c r="G116" s="20" t="s">
        <v>237</v>
      </c>
      <c r="H116" s="20" t="s">
        <v>92</v>
      </c>
      <c r="I116" s="20" t="s">
        <v>238</v>
      </c>
      <c r="J116" s="20" t="s">
        <v>239</v>
      </c>
      <c r="K116" s="20">
        <v>43.468524000000002</v>
      </c>
      <c r="L116" s="20">
        <v>-98.023386000000002</v>
      </c>
      <c r="M116" s="20" t="s">
        <v>64</v>
      </c>
      <c r="N116" s="4" t="s">
        <v>240</v>
      </c>
      <c r="O116" t="s">
        <v>54</v>
      </c>
      <c r="P116" t="s">
        <v>55</v>
      </c>
      <c r="Q116" s="5">
        <v>329</v>
      </c>
      <c r="R116" s="1">
        <v>45047</v>
      </c>
      <c r="S116" s="1">
        <v>45168</v>
      </c>
      <c r="T116">
        <v>40</v>
      </c>
      <c r="U116"/>
      <c r="V116">
        <v>83</v>
      </c>
      <c r="W116">
        <v>17</v>
      </c>
      <c r="X116">
        <v>12</v>
      </c>
      <c r="Z116">
        <v>2</v>
      </c>
      <c r="AA116" s="120"/>
      <c r="AB116" s="120"/>
      <c r="AC116" s="120"/>
    </row>
    <row r="117" spans="1:29" s="28" customFormat="1" x14ac:dyDescent="0.25">
      <c r="A117"/>
      <c r="B117" s="13">
        <v>45153</v>
      </c>
      <c r="C117" s="32">
        <v>1000</v>
      </c>
      <c r="D117" s="32">
        <v>0</v>
      </c>
      <c r="E117" s="32">
        <v>1000</v>
      </c>
      <c r="F117" s="32">
        <v>2000</v>
      </c>
      <c r="G117" s="8" t="s">
        <v>237</v>
      </c>
      <c r="H117" s="8" t="s">
        <v>92</v>
      </c>
      <c r="I117" s="8" t="s">
        <v>238</v>
      </c>
      <c r="J117" s="8" t="s">
        <v>239</v>
      </c>
      <c r="K117" s="8">
        <v>43.468524000000002</v>
      </c>
      <c r="L117" s="8">
        <v>-98.023386000000002</v>
      </c>
      <c r="M117" s="8" t="s">
        <v>64</v>
      </c>
      <c r="N117" s="10" t="s">
        <v>240</v>
      </c>
      <c r="O117" s="11" t="s">
        <v>56</v>
      </c>
      <c r="P117" s="11" t="s">
        <v>57</v>
      </c>
      <c r="Q117" s="12">
        <v>340</v>
      </c>
      <c r="R117" s="13">
        <v>45047</v>
      </c>
      <c r="S117" s="13">
        <v>45168</v>
      </c>
      <c r="T117" s="11">
        <v>40</v>
      </c>
      <c r="U117" s="11"/>
      <c r="V117" s="11">
        <v>195</v>
      </c>
      <c r="W117" s="11">
        <v>64</v>
      </c>
      <c r="X117" s="11">
        <v>43</v>
      </c>
      <c r="Z117">
        <v>2</v>
      </c>
      <c r="AA117" s="120"/>
      <c r="AB117" s="120"/>
      <c r="AC117" s="120"/>
    </row>
    <row r="118" spans="1:29" s="28" customFormat="1" x14ac:dyDescent="0.25">
      <c r="A118"/>
      <c r="B118"/>
      <c r="C118" s="31"/>
      <c r="D118" s="31"/>
      <c r="E118" s="31"/>
      <c r="F118" s="31"/>
      <c r="G118" s="20" t="s">
        <v>237</v>
      </c>
      <c r="H118" s="20" t="s">
        <v>241</v>
      </c>
      <c r="I118" s="20" t="s">
        <v>242</v>
      </c>
      <c r="J118" s="20" t="s">
        <v>239</v>
      </c>
      <c r="K118" s="20">
        <v>43.469451999999997</v>
      </c>
      <c r="L118" s="20">
        <v>-98.025881999999996</v>
      </c>
      <c r="M118" s="20" t="s">
        <v>64</v>
      </c>
      <c r="N118" s="4">
        <v>2021014</v>
      </c>
      <c r="O118" t="s">
        <v>54</v>
      </c>
      <c r="P118" t="s">
        <v>55</v>
      </c>
      <c r="Q118" s="5">
        <v>329</v>
      </c>
      <c r="R118" s="1">
        <v>44317</v>
      </c>
      <c r="S118" s="1">
        <v>45160</v>
      </c>
      <c r="T118">
        <v>100</v>
      </c>
      <c r="U118"/>
      <c r="V118">
        <v>140</v>
      </c>
      <c r="W118">
        <v>29</v>
      </c>
      <c r="X118">
        <v>19</v>
      </c>
      <c r="Z118">
        <v>2</v>
      </c>
      <c r="AA118" s="120"/>
      <c r="AB118" s="120"/>
      <c r="AC118" s="120"/>
    </row>
    <row r="119" spans="1:29" s="28" customFormat="1" x14ac:dyDescent="0.25">
      <c r="A119"/>
      <c r="B119" s="1">
        <v>44417</v>
      </c>
      <c r="C119" s="31">
        <v>0</v>
      </c>
      <c r="D119" s="31">
        <v>1060</v>
      </c>
      <c r="E119" s="31">
        <v>1060</v>
      </c>
      <c r="F119" s="31">
        <v>2120</v>
      </c>
      <c r="G119" s="6" t="s">
        <v>237</v>
      </c>
      <c r="H119" s="6" t="s">
        <v>241</v>
      </c>
      <c r="I119" s="6" t="s">
        <v>242</v>
      </c>
      <c r="J119" s="6" t="s">
        <v>239</v>
      </c>
      <c r="K119" s="6">
        <v>43.469451999999997</v>
      </c>
      <c r="L119" s="6">
        <v>-98.025881999999996</v>
      </c>
      <c r="M119" s="6" t="s">
        <v>64</v>
      </c>
      <c r="N119" s="4">
        <v>2021014</v>
      </c>
      <c r="O119" t="s">
        <v>56</v>
      </c>
      <c r="P119" t="s">
        <v>57</v>
      </c>
      <c r="Q119" s="5">
        <v>340</v>
      </c>
      <c r="R119" s="1">
        <v>44417</v>
      </c>
      <c r="S119" s="1">
        <v>44550</v>
      </c>
      <c r="T119">
        <v>100</v>
      </c>
      <c r="U119"/>
      <c r="V119">
        <v>323</v>
      </c>
      <c r="W119">
        <v>107</v>
      </c>
      <c r="X119">
        <v>74</v>
      </c>
      <c r="Z119">
        <v>2</v>
      </c>
      <c r="AA119" s="120"/>
      <c r="AB119" s="120"/>
      <c r="AC119" s="120"/>
    </row>
    <row r="120" spans="1:29" s="28" customFormat="1" x14ac:dyDescent="0.25">
      <c r="A120"/>
      <c r="B120"/>
      <c r="C120" s="31"/>
      <c r="D120" s="31"/>
      <c r="E120" s="31"/>
      <c r="F120" s="31"/>
      <c r="G120" s="6" t="s">
        <v>237</v>
      </c>
      <c r="H120" s="6" t="s">
        <v>241</v>
      </c>
      <c r="I120" s="6" t="s">
        <v>242</v>
      </c>
      <c r="J120" s="6" t="s">
        <v>239</v>
      </c>
      <c r="K120" s="6">
        <v>43.469451999999997</v>
      </c>
      <c r="L120" s="6">
        <v>-98.025881999999996</v>
      </c>
      <c r="M120" s="6" t="s">
        <v>64</v>
      </c>
      <c r="N120" s="4">
        <v>202201</v>
      </c>
      <c r="O120" t="s">
        <v>54</v>
      </c>
      <c r="P120" t="s">
        <v>55</v>
      </c>
      <c r="Q120" s="5">
        <v>329</v>
      </c>
      <c r="R120" s="1">
        <v>44774</v>
      </c>
      <c r="S120" s="1">
        <v>44845</v>
      </c>
      <c r="T120">
        <v>100</v>
      </c>
      <c r="U120"/>
      <c r="V120">
        <v>196</v>
      </c>
      <c r="W120">
        <v>39</v>
      </c>
      <c r="X120">
        <v>26</v>
      </c>
      <c r="Z120">
        <v>2</v>
      </c>
      <c r="AA120" s="120"/>
      <c r="AB120" s="120"/>
      <c r="AC120" s="120"/>
    </row>
    <row r="121" spans="1:29" s="28" customFormat="1" x14ac:dyDescent="0.25">
      <c r="A121"/>
      <c r="B121" s="13">
        <v>44706</v>
      </c>
      <c r="C121" s="32">
        <v>1751.2</v>
      </c>
      <c r="D121" s="32">
        <v>0</v>
      </c>
      <c r="E121" s="32">
        <v>1751.2</v>
      </c>
      <c r="F121" s="32">
        <v>3502.4</v>
      </c>
      <c r="G121" s="8" t="s">
        <v>237</v>
      </c>
      <c r="H121" s="8" t="s">
        <v>241</v>
      </c>
      <c r="I121" s="8" t="s">
        <v>242</v>
      </c>
      <c r="J121" s="8" t="s">
        <v>239</v>
      </c>
      <c r="K121" s="8">
        <v>43.469451999999997</v>
      </c>
      <c r="L121" s="8">
        <v>-98.025881999999996</v>
      </c>
      <c r="M121" s="8" t="s">
        <v>64</v>
      </c>
      <c r="N121" s="10">
        <v>202201</v>
      </c>
      <c r="O121" s="11" t="s">
        <v>56</v>
      </c>
      <c r="P121" s="11" t="s">
        <v>57</v>
      </c>
      <c r="Q121" s="12">
        <v>340</v>
      </c>
      <c r="R121" s="13">
        <v>44774</v>
      </c>
      <c r="S121" s="13">
        <v>44805</v>
      </c>
      <c r="T121" s="11">
        <v>100</v>
      </c>
      <c r="U121" s="11"/>
      <c r="V121" s="11">
        <v>446</v>
      </c>
      <c r="W121" s="11">
        <v>147</v>
      </c>
      <c r="X121" s="11">
        <v>101</v>
      </c>
      <c r="Z121">
        <v>2</v>
      </c>
      <c r="AA121" s="120"/>
      <c r="AB121" s="120"/>
      <c r="AC121" s="120"/>
    </row>
    <row r="122" spans="1:29" s="28" customFormat="1" x14ac:dyDescent="0.25">
      <c r="A122"/>
      <c r="B122"/>
      <c r="C122" s="31"/>
      <c r="D122" s="31"/>
      <c r="E122" s="31"/>
      <c r="F122" s="31"/>
      <c r="G122" s="20" t="s">
        <v>243</v>
      </c>
      <c r="H122" s="20" t="s">
        <v>244</v>
      </c>
      <c r="I122" s="20" t="s">
        <v>245</v>
      </c>
      <c r="J122" s="20" t="s">
        <v>52</v>
      </c>
      <c r="K122" s="20">
        <v>44.482517999999999</v>
      </c>
      <c r="L122" s="20">
        <v>-97.967359000000002</v>
      </c>
      <c r="M122" s="20" t="s">
        <v>246</v>
      </c>
      <c r="N122" s="4" t="s">
        <v>247</v>
      </c>
      <c r="O122" t="s">
        <v>83</v>
      </c>
      <c r="P122" t="s">
        <v>84</v>
      </c>
      <c r="Q122" s="5">
        <v>328</v>
      </c>
      <c r="R122" s="1">
        <v>44703</v>
      </c>
      <c r="S122" s="1">
        <v>44879</v>
      </c>
      <c r="T122">
        <v>202</v>
      </c>
      <c r="U122"/>
      <c r="V122"/>
      <c r="W122"/>
      <c r="X122"/>
      <c r="Z122">
        <v>2</v>
      </c>
      <c r="AA122" s="120"/>
      <c r="AB122" s="120"/>
      <c r="AC122" s="120"/>
    </row>
    <row r="123" spans="1:29" s="28" customFormat="1" x14ac:dyDescent="0.25">
      <c r="A123"/>
      <c r="B123"/>
      <c r="C123" s="31"/>
      <c r="D123" s="31"/>
      <c r="E123" s="31"/>
      <c r="F123" s="31"/>
      <c r="G123" s="6" t="s">
        <v>243</v>
      </c>
      <c r="H123" s="6" t="s">
        <v>244</v>
      </c>
      <c r="I123" s="6" t="s">
        <v>245</v>
      </c>
      <c r="J123" s="6" t="s">
        <v>52</v>
      </c>
      <c r="K123" s="6">
        <v>44.482517999999999</v>
      </c>
      <c r="L123" s="6">
        <v>-97.967359000000002</v>
      </c>
      <c r="M123" s="6" t="s">
        <v>246</v>
      </c>
      <c r="N123" s="4" t="s">
        <v>247</v>
      </c>
      <c r="O123" t="s">
        <v>54</v>
      </c>
      <c r="P123" t="s">
        <v>55</v>
      </c>
      <c r="Q123" s="5">
        <v>329</v>
      </c>
      <c r="R123" s="1">
        <v>44703</v>
      </c>
      <c r="S123" s="1">
        <v>44879</v>
      </c>
      <c r="T123">
        <v>202</v>
      </c>
      <c r="U123"/>
      <c r="V123">
        <v>303</v>
      </c>
      <c r="W123">
        <v>43</v>
      </c>
      <c r="X123">
        <v>23</v>
      </c>
      <c r="Z123">
        <v>2</v>
      </c>
      <c r="AA123" s="120"/>
      <c r="AB123" s="120"/>
      <c r="AC123" s="120"/>
    </row>
    <row r="124" spans="1:29" s="28" customFormat="1" x14ac:dyDescent="0.25">
      <c r="A124"/>
      <c r="B124" s="1">
        <v>44850</v>
      </c>
      <c r="C124" s="31">
        <v>1939.2</v>
      </c>
      <c r="D124" s="31">
        <v>0</v>
      </c>
      <c r="E124" s="31">
        <v>3181.2</v>
      </c>
      <c r="F124" s="31">
        <v>5120.3999999999996</v>
      </c>
      <c r="G124" s="6" t="s">
        <v>243</v>
      </c>
      <c r="H124" s="6" t="s">
        <v>244</v>
      </c>
      <c r="I124" s="6" t="s">
        <v>245</v>
      </c>
      <c r="J124" s="6" t="s">
        <v>52</v>
      </c>
      <c r="K124" s="6">
        <v>44.482517999999999</v>
      </c>
      <c r="L124" s="6">
        <v>-97.967359000000002</v>
      </c>
      <c r="M124" s="6" t="s">
        <v>246</v>
      </c>
      <c r="N124" s="4" t="s">
        <v>247</v>
      </c>
      <c r="O124" t="s">
        <v>56</v>
      </c>
      <c r="P124" t="s">
        <v>57</v>
      </c>
      <c r="Q124" s="5">
        <v>340</v>
      </c>
      <c r="R124" s="1">
        <v>44760</v>
      </c>
      <c r="S124" s="1">
        <v>44879</v>
      </c>
      <c r="T124">
        <v>202</v>
      </c>
      <c r="U124"/>
      <c r="V124">
        <v>496</v>
      </c>
      <c r="W124">
        <v>138</v>
      </c>
      <c r="X124">
        <v>79</v>
      </c>
      <c r="Z124">
        <v>2</v>
      </c>
      <c r="AA124" s="120"/>
      <c r="AB124" s="120"/>
      <c r="AC124" s="120"/>
    </row>
    <row r="125" spans="1:29" s="28" customFormat="1" x14ac:dyDescent="0.25">
      <c r="A125"/>
      <c r="B125"/>
      <c r="C125" s="31"/>
      <c r="D125" s="31"/>
      <c r="E125" s="31"/>
      <c r="F125" s="31"/>
      <c r="G125" s="6" t="s">
        <v>243</v>
      </c>
      <c r="H125" s="6" t="s">
        <v>244</v>
      </c>
      <c r="I125" s="6" t="s">
        <v>245</v>
      </c>
      <c r="J125" s="6" t="s">
        <v>52</v>
      </c>
      <c r="K125" s="6">
        <v>44.482517999999999</v>
      </c>
      <c r="L125" s="6">
        <v>-97.967359000000002</v>
      </c>
      <c r="M125" s="6" t="s">
        <v>246</v>
      </c>
      <c r="N125" s="4" t="s">
        <v>247</v>
      </c>
      <c r="O125" t="s">
        <v>105</v>
      </c>
      <c r="P125" t="s">
        <v>679</v>
      </c>
      <c r="Q125" s="5">
        <v>556</v>
      </c>
      <c r="R125" s="1">
        <v>44703</v>
      </c>
      <c r="S125" s="1">
        <v>44879</v>
      </c>
      <c r="T125">
        <v>202</v>
      </c>
      <c r="U125"/>
      <c r="V125"/>
      <c r="W125"/>
      <c r="X125"/>
      <c r="Z125">
        <v>2</v>
      </c>
      <c r="AA125" s="120"/>
      <c r="AB125" s="120"/>
      <c r="AC125" s="120"/>
    </row>
    <row r="126" spans="1:29" s="28" customFormat="1" x14ac:dyDescent="0.25">
      <c r="A126"/>
      <c r="B126"/>
      <c r="C126" s="31"/>
      <c r="D126" s="31"/>
      <c r="E126" s="31"/>
      <c r="F126" s="31"/>
      <c r="G126" s="6" t="s">
        <v>243</v>
      </c>
      <c r="H126" s="6" t="s">
        <v>244</v>
      </c>
      <c r="I126" s="6" t="s">
        <v>245</v>
      </c>
      <c r="J126" s="6" t="s">
        <v>52</v>
      </c>
      <c r="K126" s="6">
        <v>44.482517999999999</v>
      </c>
      <c r="L126" s="6">
        <v>-97.967359000000002</v>
      </c>
      <c r="M126" s="6" t="s">
        <v>246</v>
      </c>
      <c r="N126" s="4" t="s">
        <v>162</v>
      </c>
      <c r="O126" t="s">
        <v>83</v>
      </c>
      <c r="P126" t="s">
        <v>84</v>
      </c>
      <c r="Q126" s="5">
        <v>328</v>
      </c>
      <c r="R126" s="1">
        <v>45082</v>
      </c>
      <c r="S126" s="1">
        <v>45154</v>
      </c>
      <c r="T126">
        <v>202</v>
      </c>
      <c r="U126"/>
      <c r="V126"/>
      <c r="W126"/>
      <c r="X126"/>
      <c r="Z126">
        <v>2</v>
      </c>
      <c r="AA126" s="120"/>
      <c r="AB126" s="120"/>
      <c r="AC126" s="120"/>
    </row>
    <row r="127" spans="1:29" s="28" customFormat="1" x14ac:dyDescent="0.25">
      <c r="A127"/>
      <c r="B127"/>
      <c r="C127" s="31"/>
      <c r="D127" s="31"/>
      <c r="E127" s="31"/>
      <c r="F127" s="31"/>
      <c r="G127" s="6" t="s">
        <v>243</v>
      </c>
      <c r="H127" s="6" t="s">
        <v>244</v>
      </c>
      <c r="I127" s="6" t="s">
        <v>245</v>
      </c>
      <c r="J127" s="6" t="s">
        <v>52</v>
      </c>
      <c r="K127" s="6">
        <v>44.482517999999999</v>
      </c>
      <c r="L127" s="6">
        <v>-97.967359000000002</v>
      </c>
      <c r="M127" s="6" t="s">
        <v>246</v>
      </c>
      <c r="N127" s="4" t="s">
        <v>162</v>
      </c>
      <c r="O127" t="s">
        <v>54</v>
      </c>
      <c r="P127" t="s">
        <v>55</v>
      </c>
      <c r="Q127" s="5">
        <v>329</v>
      </c>
      <c r="R127" s="1">
        <v>45082</v>
      </c>
      <c r="S127" s="1">
        <v>45148</v>
      </c>
      <c r="T127">
        <v>202</v>
      </c>
      <c r="U127"/>
      <c r="V127">
        <v>473</v>
      </c>
      <c r="W127">
        <v>100</v>
      </c>
      <c r="X127">
        <v>51</v>
      </c>
      <c r="Z127">
        <v>2</v>
      </c>
      <c r="AA127" s="120"/>
      <c r="AB127" s="120"/>
      <c r="AC127" s="120"/>
    </row>
    <row r="128" spans="1:29" s="28" customFormat="1" x14ac:dyDescent="0.25">
      <c r="A128"/>
      <c r="B128" s="13">
        <v>45089</v>
      </c>
      <c r="C128" s="32">
        <v>4000</v>
      </c>
      <c r="D128" s="32">
        <v>0</v>
      </c>
      <c r="E128" s="32">
        <v>7219.08</v>
      </c>
      <c r="F128" s="32">
        <v>11219.08</v>
      </c>
      <c r="G128" s="8" t="s">
        <v>243</v>
      </c>
      <c r="H128" s="8" t="s">
        <v>244</v>
      </c>
      <c r="I128" s="8" t="s">
        <v>245</v>
      </c>
      <c r="J128" s="8" t="s">
        <v>52</v>
      </c>
      <c r="K128" s="8">
        <v>44.482517999999999</v>
      </c>
      <c r="L128" s="8">
        <v>-97.967359000000002</v>
      </c>
      <c r="M128" s="8" t="s">
        <v>246</v>
      </c>
      <c r="N128" s="10" t="s">
        <v>162</v>
      </c>
      <c r="O128" s="66" t="s">
        <v>56</v>
      </c>
      <c r="P128" s="66" t="s">
        <v>57</v>
      </c>
      <c r="Q128" s="12">
        <v>329</v>
      </c>
      <c r="R128" s="13">
        <v>45124</v>
      </c>
      <c r="S128" s="13">
        <v>45143</v>
      </c>
      <c r="T128" s="11">
        <v>202</v>
      </c>
      <c r="U128" s="11"/>
      <c r="V128" s="11">
        <v>539</v>
      </c>
      <c r="W128" s="11">
        <v>148</v>
      </c>
      <c r="X128" s="11">
        <v>77</v>
      </c>
      <c r="Z128">
        <v>2</v>
      </c>
      <c r="AA128" s="120"/>
      <c r="AB128" s="120"/>
      <c r="AC128" s="120"/>
    </row>
    <row r="129" spans="1:29" s="28" customFormat="1" x14ac:dyDescent="0.25">
      <c r="A129"/>
      <c r="B129"/>
      <c r="C129" s="31"/>
      <c r="D129" s="31"/>
      <c r="E129" s="31"/>
      <c r="F129" s="31"/>
      <c r="G129" s="20" t="s">
        <v>248</v>
      </c>
      <c r="H129" s="20" t="s">
        <v>50</v>
      </c>
      <c r="I129" s="20" t="s">
        <v>249</v>
      </c>
      <c r="J129" s="20" t="s">
        <v>250</v>
      </c>
      <c r="K129" s="20">
        <v>43.163657999999998</v>
      </c>
      <c r="L129" s="20">
        <v>-97.874202999999994</v>
      </c>
      <c r="M129" s="20" t="s">
        <v>64</v>
      </c>
      <c r="N129" s="4" t="s">
        <v>251</v>
      </c>
      <c r="O129" t="s">
        <v>54</v>
      </c>
      <c r="P129" t="s">
        <v>55</v>
      </c>
      <c r="Q129" s="5">
        <v>329</v>
      </c>
      <c r="R129" s="1">
        <v>44682</v>
      </c>
      <c r="S129" s="1">
        <v>44844</v>
      </c>
      <c r="T129">
        <v>15</v>
      </c>
      <c r="U129"/>
      <c r="V129">
        <v>66</v>
      </c>
      <c r="W129">
        <v>16</v>
      </c>
      <c r="X129">
        <v>11</v>
      </c>
      <c r="Z129">
        <v>2</v>
      </c>
      <c r="AA129" s="120"/>
      <c r="AB129" s="120"/>
      <c r="AC129" s="120"/>
    </row>
    <row r="130" spans="1:29" s="28" customFormat="1" x14ac:dyDescent="0.25">
      <c r="A130"/>
      <c r="B130" s="1">
        <v>44764</v>
      </c>
      <c r="C130" s="31">
        <v>0</v>
      </c>
      <c r="D130" s="31">
        <v>331</v>
      </c>
      <c r="E130" s="31">
        <v>268.2</v>
      </c>
      <c r="F130" s="31">
        <v>599.20000000000005</v>
      </c>
      <c r="G130" s="6" t="s">
        <v>248</v>
      </c>
      <c r="H130" s="6" t="s">
        <v>50</v>
      </c>
      <c r="I130" s="6" t="s">
        <v>249</v>
      </c>
      <c r="J130" s="6" t="s">
        <v>250</v>
      </c>
      <c r="K130" s="6">
        <v>43.163657999999998</v>
      </c>
      <c r="L130" s="6">
        <v>-97.874202999999994</v>
      </c>
      <c r="M130" s="6" t="s">
        <v>64</v>
      </c>
      <c r="N130" s="4" t="s">
        <v>251</v>
      </c>
      <c r="O130" t="s">
        <v>56</v>
      </c>
      <c r="P130" t="s">
        <v>57</v>
      </c>
      <c r="Q130" s="5">
        <v>340</v>
      </c>
      <c r="R130" s="1">
        <v>44655</v>
      </c>
      <c r="S130" s="1">
        <v>44795</v>
      </c>
      <c r="T130">
        <v>15</v>
      </c>
      <c r="U130"/>
      <c r="V130">
        <v>163</v>
      </c>
      <c r="W130">
        <v>56</v>
      </c>
      <c r="X130">
        <v>41</v>
      </c>
      <c r="Z130">
        <v>2</v>
      </c>
      <c r="AA130" s="120"/>
      <c r="AB130" s="120"/>
      <c r="AC130" s="120"/>
    </row>
    <row r="131" spans="1:29" s="28" customFormat="1" x14ac:dyDescent="0.25">
      <c r="A131"/>
      <c r="B131" s="1">
        <v>44687</v>
      </c>
      <c r="C131" s="31">
        <v>0</v>
      </c>
      <c r="D131" s="31">
        <v>134</v>
      </c>
      <c r="E131" s="31">
        <v>259</v>
      </c>
      <c r="F131" s="31">
        <v>393</v>
      </c>
      <c r="G131" s="6" t="s">
        <v>248</v>
      </c>
      <c r="H131" s="6" t="s">
        <v>50</v>
      </c>
      <c r="I131" s="6" t="s">
        <v>249</v>
      </c>
      <c r="J131" s="6" t="s">
        <v>250</v>
      </c>
      <c r="K131" s="6">
        <v>43.163657999999998</v>
      </c>
      <c r="L131" s="6">
        <v>-97.874202999999994</v>
      </c>
      <c r="M131" s="6" t="s">
        <v>64</v>
      </c>
      <c r="N131" s="4" t="s">
        <v>251</v>
      </c>
      <c r="O131" t="s">
        <v>132</v>
      </c>
      <c r="P131" t="s">
        <v>133</v>
      </c>
      <c r="Q131" s="5"/>
      <c r="R131" s="1">
        <v>44655</v>
      </c>
      <c r="S131" s="1">
        <v>44713</v>
      </c>
      <c r="T131">
        <v>5</v>
      </c>
      <c r="U131"/>
      <c r="V131"/>
      <c r="W131"/>
      <c r="X131"/>
      <c r="Z131">
        <v>2</v>
      </c>
      <c r="AA131" s="120"/>
      <c r="AB131" s="120"/>
      <c r="AC131" s="120"/>
    </row>
    <row r="132" spans="1:29" s="28" customFormat="1" x14ac:dyDescent="0.25">
      <c r="A132"/>
      <c r="B132"/>
      <c r="C132" s="31"/>
      <c r="D132" s="31"/>
      <c r="E132" s="31"/>
      <c r="F132" s="31"/>
      <c r="G132" s="6" t="s">
        <v>248</v>
      </c>
      <c r="H132" s="6" t="s">
        <v>50</v>
      </c>
      <c r="I132" s="6" t="s">
        <v>249</v>
      </c>
      <c r="J132" s="6" t="s">
        <v>250</v>
      </c>
      <c r="K132" s="6">
        <v>43.163657999999998</v>
      </c>
      <c r="L132" s="6">
        <v>-97.874202999999994</v>
      </c>
      <c r="M132" s="6" t="s">
        <v>64</v>
      </c>
      <c r="N132" s="4" t="s">
        <v>252</v>
      </c>
      <c r="O132" t="s">
        <v>54</v>
      </c>
      <c r="P132" t="s">
        <v>55</v>
      </c>
      <c r="Q132" s="5">
        <v>329</v>
      </c>
      <c r="R132" s="1">
        <v>45017</v>
      </c>
      <c r="S132" s="1">
        <v>45083</v>
      </c>
      <c r="T132">
        <v>40</v>
      </c>
      <c r="U132"/>
      <c r="V132">
        <v>100</v>
      </c>
      <c r="W132">
        <v>35</v>
      </c>
      <c r="X132">
        <v>24</v>
      </c>
      <c r="Z132">
        <v>2</v>
      </c>
      <c r="AA132" s="120"/>
      <c r="AB132" s="120"/>
      <c r="AC132" s="120"/>
    </row>
    <row r="133" spans="1:29" s="28" customFormat="1" x14ac:dyDescent="0.25">
      <c r="A133"/>
      <c r="B133" s="1">
        <v>45061</v>
      </c>
      <c r="C133" s="31">
        <v>2985.58</v>
      </c>
      <c r="D133" s="31">
        <v>0</v>
      </c>
      <c r="E133" s="31">
        <v>1990.38</v>
      </c>
      <c r="F133" s="31">
        <v>4975.96</v>
      </c>
      <c r="G133" s="6" t="s">
        <v>248</v>
      </c>
      <c r="H133" s="6" t="s">
        <v>50</v>
      </c>
      <c r="I133" s="6" t="s">
        <v>249</v>
      </c>
      <c r="J133" s="6" t="s">
        <v>250</v>
      </c>
      <c r="K133" s="6">
        <v>43.163657999999998</v>
      </c>
      <c r="L133" s="6">
        <v>-97.874202999999994</v>
      </c>
      <c r="M133" s="6" t="s">
        <v>64</v>
      </c>
      <c r="N133" s="4" t="s">
        <v>252</v>
      </c>
      <c r="O133" t="s">
        <v>132</v>
      </c>
      <c r="P133" t="s">
        <v>133</v>
      </c>
      <c r="Q133" s="5"/>
      <c r="R133" s="1">
        <v>45017</v>
      </c>
      <c r="S133" s="1">
        <v>45077</v>
      </c>
      <c r="T133">
        <v>40</v>
      </c>
      <c r="U133"/>
      <c r="V133">
        <v>225</v>
      </c>
      <c r="W133">
        <v>77</v>
      </c>
      <c r="X133">
        <v>56</v>
      </c>
      <c r="Z133">
        <v>2</v>
      </c>
      <c r="AA133" s="120"/>
      <c r="AB133" s="120"/>
      <c r="AC133" s="120"/>
    </row>
    <row r="134" spans="1:29" s="28" customFormat="1" x14ac:dyDescent="0.25">
      <c r="A134"/>
      <c r="B134"/>
      <c r="C134" s="31"/>
      <c r="D134" s="31"/>
      <c r="E134" s="31"/>
      <c r="F134" s="31"/>
      <c r="G134" s="6" t="s">
        <v>248</v>
      </c>
      <c r="H134" s="6" t="s">
        <v>50</v>
      </c>
      <c r="I134" s="6" t="s">
        <v>249</v>
      </c>
      <c r="J134" s="6" t="s">
        <v>250</v>
      </c>
      <c r="K134" s="6">
        <v>43.157899</v>
      </c>
      <c r="L134" s="6">
        <v>-97.895435000000006</v>
      </c>
      <c r="M134" s="6" t="s">
        <v>64</v>
      </c>
      <c r="N134" s="4" t="s">
        <v>253</v>
      </c>
      <c r="O134" t="s">
        <v>83</v>
      </c>
      <c r="P134" t="s">
        <v>84</v>
      </c>
      <c r="Q134" s="5">
        <v>328</v>
      </c>
      <c r="R134" s="1">
        <v>45413</v>
      </c>
      <c r="S134" s="1">
        <v>45600</v>
      </c>
      <c r="T134">
        <v>84</v>
      </c>
      <c r="U134"/>
      <c r="V134"/>
      <c r="W134"/>
      <c r="X134"/>
      <c r="Z134">
        <v>3</v>
      </c>
      <c r="AA134" s="120"/>
      <c r="AB134" s="120"/>
      <c r="AC134" s="120"/>
    </row>
    <row r="135" spans="1:29" s="28" customFormat="1" x14ac:dyDescent="0.25">
      <c r="A135"/>
      <c r="B135"/>
      <c r="C135" s="31"/>
      <c r="D135" s="31"/>
      <c r="E135" s="31"/>
      <c r="F135" s="31"/>
      <c r="G135" s="6" t="s">
        <v>248</v>
      </c>
      <c r="H135" s="6" t="s">
        <v>50</v>
      </c>
      <c r="I135" s="6" t="s">
        <v>249</v>
      </c>
      <c r="J135" s="6" t="s">
        <v>250</v>
      </c>
      <c r="K135" s="6">
        <v>43.157899</v>
      </c>
      <c r="L135" s="6">
        <v>-97.895435000000006</v>
      </c>
      <c r="M135" s="6" t="s">
        <v>64</v>
      </c>
      <c r="N135" s="4" t="s">
        <v>253</v>
      </c>
      <c r="O135" t="s">
        <v>54</v>
      </c>
      <c r="P135" t="s">
        <v>55</v>
      </c>
      <c r="Q135" s="5">
        <v>329</v>
      </c>
      <c r="R135" s="1">
        <v>45433</v>
      </c>
      <c r="S135" s="1">
        <v>45600</v>
      </c>
      <c r="T135">
        <v>84</v>
      </c>
      <c r="U135"/>
      <c r="V135">
        <v>296</v>
      </c>
      <c r="W135">
        <v>69</v>
      </c>
      <c r="X135">
        <v>48</v>
      </c>
      <c r="Z135">
        <v>3</v>
      </c>
      <c r="AA135" s="120"/>
      <c r="AB135" s="120"/>
      <c r="AC135" s="120"/>
    </row>
    <row r="136" spans="1:29" s="28" customFormat="1" x14ac:dyDescent="0.25">
      <c r="A136"/>
      <c r="B136" s="13">
        <v>45519</v>
      </c>
      <c r="C136" s="32">
        <v>2100</v>
      </c>
      <c r="D136" s="32"/>
      <c r="E136" s="32">
        <v>2567.88</v>
      </c>
      <c r="F136" s="32">
        <v>4667.88</v>
      </c>
      <c r="G136" s="8" t="s">
        <v>248</v>
      </c>
      <c r="H136" s="8" t="s">
        <v>50</v>
      </c>
      <c r="I136" s="8" t="s">
        <v>249</v>
      </c>
      <c r="J136" s="8" t="s">
        <v>250</v>
      </c>
      <c r="K136" s="8">
        <v>43.157899</v>
      </c>
      <c r="L136" s="8">
        <v>-97.895435000000006</v>
      </c>
      <c r="M136" s="8" t="s">
        <v>64</v>
      </c>
      <c r="N136" s="10" t="s">
        <v>253</v>
      </c>
      <c r="O136" s="11" t="s">
        <v>56</v>
      </c>
      <c r="P136" s="11" t="s">
        <v>57</v>
      </c>
      <c r="Q136" s="12">
        <v>340</v>
      </c>
      <c r="R136" s="13">
        <v>45433</v>
      </c>
      <c r="S136" s="13">
        <v>45600</v>
      </c>
      <c r="T136">
        <v>84</v>
      </c>
      <c r="U136" s="11"/>
      <c r="V136" s="11">
        <v>756</v>
      </c>
      <c r="W136" s="11">
        <v>260</v>
      </c>
      <c r="X136" s="11">
        <v>189</v>
      </c>
      <c r="Z136">
        <v>3</v>
      </c>
      <c r="AA136" s="120"/>
      <c r="AB136" s="120"/>
      <c r="AC136" s="120"/>
    </row>
    <row r="137" spans="1:29" s="28" customFormat="1" x14ac:dyDescent="0.25">
      <c r="A137"/>
      <c r="B137"/>
      <c r="C137" s="31"/>
      <c r="D137" s="31"/>
      <c r="E137" s="31"/>
      <c r="F137" s="31"/>
      <c r="G137" s="20" t="s">
        <v>254</v>
      </c>
      <c r="H137" s="20" t="s">
        <v>255</v>
      </c>
      <c r="I137" s="20" t="s">
        <v>256</v>
      </c>
      <c r="J137" s="20" t="s">
        <v>257</v>
      </c>
      <c r="K137" s="20">
        <v>43.980998999999997</v>
      </c>
      <c r="L137" s="20">
        <v>-96.686104999999998</v>
      </c>
      <c r="M137" s="20" t="s">
        <v>258</v>
      </c>
      <c r="N137" s="4" t="s">
        <v>259</v>
      </c>
      <c r="O137" t="s">
        <v>54</v>
      </c>
      <c r="P137" t="s">
        <v>55</v>
      </c>
      <c r="Q137" s="5">
        <v>329</v>
      </c>
      <c r="R137" s="1">
        <v>44682</v>
      </c>
      <c r="S137" s="1">
        <v>44875</v>
      </c>
      <c r="T137" s="83">
        <v>15</v>
      </c>
      <c r="U137"/>
      <c r="V137">
        <v>83</v>
      </c>
      <c r="W137">
        <v>16</v>
      </c>
      <c r="X137">
        <v>11</v>
      </c>
      <c r="Z137">
        <v>2</v>
      </c>
      <c r="AA137" s="120"/>
      <c r="AB137" s="120"/>
      <c r="AC137" s="120"/>
    </row>
    <row r="138" spans="1:29" s="28" customFormat="1" x14ac:dyDescent="0.25">
      <c r="A138"/>
      <c r="B138" s="13">
        <v>44743</v>
      </c>
      <c r="C138" s="32">
        <v>421.04</v>
      </c>
      <c r="D138" s="32">
        <v>0</v>
      </c>
      <c r="E138" s="32">
        <v>421.04</v>
      </c>
      <c r="F138" s="32">
        <v>842.08</v>
      </c>
      <c r="G138" s="8" t="s">
        <v>254</v>
      </c>
      <c r="H138" s="8" t="s">
        <v>255</v>
      </c>
      <c r="I138" s="8" t="s">
        <v>256</v>
      </c>
      <c r="J138" s="8" t="s">
        <v>257</v>
      </c>
      <c r="K138" s="8">
        <v>43.980998999999997</v>
      </c>
      <c r="L138" s="8">
        <v>-96.686104999999998</v>
      </c>
      <c r="M138" s="8" t="s">
        <v>258</v>
      </c>
      <c r="N138" s="10" t="s">
        <v>259</v>
      </c>
      <c r="O138" s="11" t="s">
        <v>56</v>
      </c>
      <c r="P138" s="11" t="s">
        <v>57</v>
      </c>
      <c r="Q138" s="12">
        <v>340</v>
      </c>
      <c r="R138" s="13">
        <v>44713</v>
      </c>
      <c r="S138" s="13">
        <v>44858</v>
      </c>
      <c r="T138">
        <v>15</v>
      </c>
      <c r="U138" s="11"/>
      <c r="V138" s="11">
        <v>170</v>
      </c>
      <c r="W138" s="11">
        <v>54</v>
      </c>
      <c r="X138" s="11">
        <v>37</v>
      </c>
      <c r="Z138">
        <v>2</v>
      </c>
      <c r="AA138" s="120"/>
      <c r="AB138" s="120"/>
      <c r="AC138" s="120"/>
    </row>
    <row r="139" spans="1:29" s="28" customFormat="1" x14ac:dyDescent="0.25">
      <c r="A139"/>
      <c r="B139"/>
      <c r="C139" s="31"/>
      <c r="D139" s="31"/>
      <c r="E139" s="31"/>
      <c r="F139" s="31"/>
      <c r="G139" s="20" t="s">
        <v>260</v>
      </c>
      <c r="H139" s="20" t="s">
        <v>261</v>
      </c>
      <c r="I139" s="20" t="s">
        <v>262</v>
      </c>
      <c r="J139" s="20" t="s">
        <v>263</v>
      </c>
      <c r="K139" s="20">
        <v>44.042935</v>
      </c>
      <c r="L139" s="20">
        <v>-97.576173999999995</v>
      </c>
      <c r="M139" s="20" t="s">
        <v>189</v>
      </c>
      <c r="N139" s="4" t="s">
        <v>264</v>
      </c>
      <c r="O139" t="s">
        <v>54</v>
      </c>
      <c r="P139" t="s">
        <v>55</v>
      </c>
      <c r="Q139" s="5">
        <v>329</v>
      </c>
      <c r="R139" s="1">
        <v>44682</v>
      </c>
      <c r="S139" s="1">
        <v>44875</v>
      </c>
      <c r="T139" s="83">
        <v>160</v>
      </c>
      <c r="U139"/>
      <c r="V139">
        <v>317</v>
      </c>
      <c r="W139">
        <v>46</v>
      </c>
      <c r="X139">
        <v>24</v>
      </c>
      <c r="Z139">
        <v>2</v>
      </c>
      <c r="AA139" s="120"/>
      <c r="AB139" s="120"/>
      <c r="AC139" s="120"/>
    </row>
    <row r="140" spans="1:29" s="28" customFormat="1" x14ac:dyDescent="0.25">
      <c r="A140"/>
      <c r="B140" s="13">
        <v>44814</v>
      </c>
      <c r="C140" s="32">
        <v>1700</v>
      </c>
      <c r="D140" s="32">
        <v>0</v>
      </c>
      <c r="E140" s="32">
        <v>2880</v>
      </c>
      <c r="F140" s="32">
        <v>4580</v>
      </c>
      <c r="G140" s="8" t="s">
        <v>260</v>
      </c>
      <c r="H140" s="8" t="s">
        <v>261</v>
      </c>
      <c r="I140" s="8" t="s">
        <v>262</v>
      </c>
      <c r="J140" s="8" t="s">
        <v>263</v>
      </c>
      <c r="K140" s="8">
        <v>44.042935</v>
      </c>
      <c r="L140" s="8">
        <v>-97.576173999999995</v>
      </c>
      <c r="M140" s="8" t="s">
        <v>189</v>
      </c>
      <c r="N140" s="10" t="s">
        <v>264</v>
      </c>
      <c r="O140" s="11" t="s">
        <v>56</v>
      </c>
      <c r="P140" s="11" t="s">
        <v>57</v>
      </c>
      <c r="Q140" s="12">
        <v>340</v>
      </c>
      <c r="R140" s="13">
        <v>44759</v>
      </c>
      <c r="S140" s="13">
        <v>44867</v>
      </c>
      <c r="T140" s="11">
        <v>160</v>
      </c>
      <c r="U140" s="11"/>
      <c r="V140" s="11">
        <v>524</v>
      </c>
      <c r="W140" s="11">
        <v>147</v>
      </c>
      <c r="X140" s="11">
        <v>85</v>
      </c>
      <c r="Z140">
        <v>2</v>
      </c>
      <c r="AA140" s="120"/>
      <c r="AB140" s="120"/>
      <c r="AC140" s="120"/>
    </row>
    <row r="141" spans="1:29" s="28" customFormat="1" x14ac:dyDescent="0.25">
      <c r="A141"/>
      <c r="B141"/>
      <c r="C141" s="31"/>
      <c r="D141" s="31"/>
      <c r="E141" s="31"/>
      <c r="F141" s="31"/>
      <c r="G141" s="20" t="s">
        <v>265</v>
      </c>
      <c r="H141" s="20" t="s">
        <v>266</v>
      </c>
      <c r="I141" s="20" t="s">
        <v>267</v>
      </c>
      <c r="J141" s="20" t="s">
        <v>268</v>
      </c>
      <c r="K141" s="20">
        <v>43.289501999999999</v>
      </c>
      <c r="L141" s="20">
        <v>-98.992805000000004</v>
      </c>
      <c r="M141" s="20" t="s">
        <v>269</v>
      </c>
      <c r="N141" s="4" t="s">
        <v>270</v>
      </c>
      <c r="O141" t="s">
        <v>54</v>
      </c>
      <c r="P141" t="s">
        <v>55</v>
      </c>
      <c r="Q141" s="5">
        <v>329</v>
      </c>
      <c r="R141" s="1">
        <v>44682</v>
      </c>
      <c r="S141" s="1">
        <v>44875</v>
      </c>
      <c r="T141">
        <v>160</v>
      </c>
      <c r="U141"/>
      <c r="V141">
        <v>596</v>
      </c>
      <c r="W141">
        <v>124</v>
      </c>
      <c r="X141">
        <v>83</v>
      </c>
      <c r="Z141">
        <v>2</v>
      </c>
      <c r="AA141" s="120"/>
      <c r="AB141" s="120"/>
      <c r="AC141" s="120"/>
    </row>
    <row r="142" spans="1:29" s="28" customFormat="1" x14ac:dyDescent="0.25">
      <c r="A142"/>
      <c r="B142" s="1">
        <v>44777</v>
      </c>
      <c r="C142" s="31">
        <v>3080</v>
      </c>
      <c r="D142" s="31">
        <v>0</v>
      </c>
      <c r="E142" s="31">
        <v>3080</v>
      </c>
      <c r="F142" s="31">
        <v>6160</v>
      </c>
      <c r="G142" s="6" t="s">
        <v>265</v>
      </c>
      <c r="H142" s="6" t="s">
        <v>266</v>
      </c>
      <c r="I142" s="6" t="s">
        <v>267</v>
      </c>
      <c r="J142" s="6" t="s">
        <v>268</v>
      </c>
      <c r="K142" s="6">
        <v>43.289501999999999</v>
      </c>
      <c r="L142" s="6">
        <v>-98.992805000000004</v>
      </c>
      <c r="M142" s="6" t="s">
        <v>269</v>
      </c>
      <c r="N142" s="4" t="s">
        <v>270</v>
      </c>
      <c r="O142" t="s">
        <v>56</v>
      </c>
      <c r="P142" t="s">
        <v>57</v>
      </c>
      <c r="Q142" s="5">
        <v>340</v>
      </c>
      <c r="R142" s="1">
        <v>44753</v>
      </c>
      <c r="S142" s="1">
        <v>44928</v>
      </c>
      <c r="T142">
        <v>160</v>
      </c>
      <c r="U142"/>
      <c r="V142">
        <v>1270</v>
      </c>
      <c r="W142">
        <v>413</v>
      </c>
      <c r="X142">
        <v>287</v>
      </c>
      <c r="Z142">
        <v>2</v>
      </c>
      <c r="AA142" s="120"/>
      <c r="AB142" s="120"/>
      <c r="AC142" s="120"/>
    </row>
    <row r="143" spans="1:29" s="28" customFormat="1" x14ac:dyDescent="0.25">
      <c r="A143"/>
      <c r="B143" s="11"/>
      <c r="C143" s="32"/>
      <c r="D143" s="32"/>
      <c r="E143" s="32"/>
      <c r="F143" s="32"/>
      <c r="G143" s="8" t="s">
        <v>265</v>
      </c>
      <c r="H143" s="8" t="s">
        <v>266</v>
      </c>
      <c r="I143" s="8" t="s">
        <v>267</v>
      </c>
      <c r="J143" s="8" t="s">
        <v>268</v>
      </c>
      <c r="K143" s="8">
        <v>43.289501999999999</v>
      </c>
      <c r="L143" s="8">
        <v>-98.992805000000004</v>
      </c>
      <c r="M143" s="8" t="s">
        <v>269</v>
      </c>
      <c r="N143" s="10" t="s">
        <v>270</v>
      </c>
      <c r="O143" s="11" t="s">
        <v>105</v>
      </c>
      <c r="P143" s="11" t="s">
        <v>679</v>
      </c>
      <c r="Q143" s="12">
        <v>556</v>
      </c>
      <c r="R143" s="13">
        <v>44682</v>
      </c>
      <c r="S143" s="13">
        <v>44875</v>
      </c>
      <c r="T143" s="11">
        <v>160</v>
      </c>
      <c r="U143" s="11"/>
      <c r="V143" s="11"/>
      <c r="W143" s="11"/>
      <c r="X143" s="11"/>
      <c r="Z143">
        <v>2</v>
      </c>
      <c r="AA143" s="120"/>
      <c r="AB143" s="120"/>
      <c r="AC143" s="120"/>
    </row>
    <row r="144" spans="1:29" s="28" customFormat="1" x14ac:dyDescent="0.25">
      <c r="A144"/>
      <c r="B144"/>
      <c r="C144" s="31"/>
      <c r="D144" s="31"/>
      <c r="E144" s="31"/>
      <c r="F144" s="31"/>
      <c r="G144" s="20" t="s">
        <v>271</v>
      </c>
      <c r="H144" s="20" t="s">
        <v>272</v>
      </c>
      <c r="I144" s="20" t="s">
        <v>273</v>
      </c>
      <c r="J144" s="20" t="s">
        <v>274</v>
      </c>
      <c r="K144" s="20">
        <v>45.244373000000003</v>
      </c>
      <c r="L144" s="20">
        <v>-96.858258000000006</v>
      </c>
      <c r="M144" s="20" t="s">
        <v>275</v>
      </c>
      <c r="N144" s="4">
        <v>2021003</v>
      </c>
      <c r="O144" t="s">
        <v>54</v>
      </c>
      <c r="P144" t="s">
        <v>55</v>
      </c>
      <c r="Q144" s="5">
        <v>329</v>
      </c>
      <c r="R144" s="1">
        <v>44409</v>
      </c>
      <c r="S144" s="1">
        <v>44454</v>
      </c>
      <c r="T144">
        <v>120</v>
      </c>
      <c r="U144"/>
      <c r="V144">
        <v>221</v>
      </c>
      <c r="W144">
        <v>44</v>
      </c>
      <c r="X144">
        <v>29</v>
      </c>
      <c r="Z144">
        <v>2</v>
      </c>
      <c r="AA144" s="120"/>
      <c r="AB144" s="120"/>
      <c r="AC144" s="120"/>
    </row>
    <row r="145" spans="1:29" s="28" customFormat="1" x14ac:dyDescent="0.25">
      <c r="A145"/>
      <c r="B145"/>
      <c r="C145" s="31"/>
      <c r="D145" s="31"/>
      <c r="E145" s="31"/>
      <c r="F145" s="31"/>
      <c r="G145" s="6" t="s">
        <v>271</v>
      </c>
      <c r="H145" s="6" t="s">
        <v>272</v>
      </c>
      <c r="I145" s="6" t="s">
        <v>273</v>
      </c>
      <c r="J145" s="6" t="s">
        <v>274</v>
      </c>
      <c r="K145" s="6">
        <v>45.271711000000003</v>
      </c>
      <c r="L145" s="6">
        <v>-96.847289000000004</v>
      </c>
      <c r="M145" s="6" t="s">
        <v>275</v>
      </c>
      <c r="N145" s="4">
        <v>2021003</v>
      </c>
      <c r="O145" t="s">
        <v>54</v>
      </c>
      <c r="P145" t="s">
        <v>55</v>
      </c>
      <c r="Q145" s="5">
        <v>329</v>
      </c>
      <c r="R145" s="1">
        <v>44409</v>
      </c>
      <c r="S145" s="1">
        <v>44423</v>
      </c>
      <c r="T145">
        <v>135</v>
      </c>
      <c r="U145"/>
      <c r="V145">
        <v>247</v>
      </c>
      <c r="W145">
        <v>49</v>
      </c>
      <c r="X145">
        <v>32</v>
      </c>
      <c r="Z145">
        <v>2</v>
      </c>
      <c r="AA145" s="120"/>
      <c r="AB145" s="120"/>
      <c r="AC145" s="120"/>
    </row>
    <row r="146" spans="1:29" s="28" customFormat="1" x14ac:dyDescent="0.25">
      <c r="A146"/>
      <c r="B146" s="1">
        <v>44397</v>
      </c>
      <c r="C146" s="31">
        <v>0</v>
      </c>
      <c r="D146" s="31">
        <v>3060</v>
      </c>
      <c r="E146" s="31">
        <v>13132.12</v>
      </c>
      <c r="F146" s="31">
        <v>16192.12</v>
      </c>
      <c r="G146" s="6" t="s">
        <v>271</v>
      </c>
      <c r="H146" s="6" t="s">
        <v>272</v>
      </c>
      <c r="I146" s="6" t="s">
        <v>273</v>
      </c>
      <c r="J146" s="6" t="s">
        <v>274</v>
      </c>
      <c r="K146" s="6">
        <v>45.244373000000003</v>
      </c>
      <c r="L146" s="6">
        <v>-96.858258000000006</v>
      </c>
      <c r="M146" s="6" t="s">
        <v>275</v>
      </c>
      <c r="N146" s="4">
        <v>2021003</v>
      </c>
      <c r="O146" t="s">
        <v>56</v>
      </c>
      <c r="P146" t="s">
        <v>57</v>
      </c>
      <c r="Q146" s="5">
        <v>340</v>
      </c>
      <c r="R146" s="1">
        <v>44378</v>
      </c>
      <c r="S146" s="1">
        <v>44392</v>
      </c>
      <c r="T146">
        <v>255</v>
      </c>
      <c r="U146"/>
      <c r="V146">
        <v>966</v>
      </c>
      <c r="W146">
        <v>282</v>
      </c>
      <c r="X146">
        <v>211</v>
      </c>
      <c r="Z146">
        <v>2</v>
      </c>
      <c r="AA146" s="120"/>
      <c r="AB146" s="120"/>
      <c r="AC146" s="120"/>
    </row>
    <row r="147" spans="1:29" s="28" customFormat="1" x14ac:dyDescent="0.25">
      <c r="A147"/>
      <c r="B147"/>
      <c r="C147" s="31"/>
      <c r="D147" s="31"/>
      <c r="E147" s="31"/>
      <c r="F147" s="31"/>
      <c r="G147" s="6" t="s">
        <v>271</v>
      </c>
      <c r="H147" s="6" t="s">
        <v>272</v>
      </c>
      <c r="I147" s="6" t="s">
        <v>273</v>
      </c>
      <c r="J147" s="6" t="s">
        <v>274</v>
      </c>
      <c r="K147" s="6">
        <v>45.244373000000003</v>
      </c>
      <c r="L147" s="6">
        <v>-96.858258000000006</v>
      </c>
      <c r="M147" s="6" t="s">
        <v>275</v>
      </c>
      <c r="N147" s="4">
        <v>2021003</v>
      </c>
      <c r="O147" t="s">
        <v>105</v>
      </c>
      <c r="P147" t="s">
        <v>276</v>
      </c>
      <c r="Q147" s="5">
        <v>528</v>
      </c>
      <c r="R147" s="1">
        <v>44440</v>
      </c>
      <c r="S147" s="1">
        <v>44470</v>
      </c>
      <c r="T147">
        <v>120</v>
      </c>
      <c r="U147"/>
      <c r="V147"/>
      <c r="W147"/>
      <c r="X147"/>
      <c r="Z147">
        <v>2</v>
      </c>
      <c r="AA147" s="120"/>
      <c r="AB147" s="120"/>
      <c r="AC147" s="120"/>
    </row>
    <row r="148" spans="1:29" s="28" customFormat="1" x14ac:dyDescent="0.25">
      <c r="A148"/>
      <c r="B148"/>
      <c r="C148" s="31"/>
      <c r="D148" s="31"/>
      <c r="E148" s="31"/>
      <c r="F148" s="31"/>
      <c r="G148" s="6" t="s">
        <v>271</v>
      </c>
      <c r="H148" s="6" t="s">
        <v>272</v>
      </c>
      <c r="I148" s="6" t="s">
        <v>273</v>
      </c>
      <c r="J148" s="6" t="s">
        <v>274</v>
      </c>
      <c r="K148" s="6">
        <v>45.242403000000003</v>
      </c>
      <c r="L148" s="6">
        <v>-96.899850999999998</v>
      </c>
      <c r="M148" s="6" t="s">
        <v>275</v>
      </c>
      <c r="N148" s="4">
        <v>202401</v>
      </c>
      <c r="O148" t="s">
        <v>54</v>
      </c>
      <c r="P148" t="s">
        <v>55</v>
      </c>
      <c r="Q148" s="5">
        <v>329</v>
      </c>
      <c r="R148" s="1">
        <v>45809</v>
      </c>
      <c r="S148" s="1">
        <v>45809</v>
      </c>
      <c r="T148">
        <v>160</v>
      </c>
      <c r="U148" t="s">
        <v>277</v>
      </c>
      <c r="V148" s="117">
        <v>292</v>
      </c>
      <c r="W148" s="117">
        <v>126</v>
      </c>
      <c r="X148" s="117">
        <v>82</v>
      </c>
      <c r="Z148">
        <v>3</v>
      </c>
      <c r="AA148" s="120">
        <v>338</v>
      </c>
      <c r="AB148" s="120">
        <v>129</v>
      </c>
      <c r="AC148" s="120">
        <v>84</v>
      </c>
    </row>
    <row r="149" spans="1:29" s="28" customFormat="1" x14ac:dyDescent="0.25">
      <c r="A149"/>
      <c r="B149" s="13">
        <v>45689</v>
      </c>
      <c r="C149" s="32">
        <v>4800</v>
      </c>
      <c r="D149" s="32"/>
      <c r="E149" s="32">
        <v>10444.99</v>
      </c>
      <c r="F149" s="32">
        <v>15244.99</v>
      </c>
      <c r="G149" s="8" t="s">
        <v>271</v>
      </c>
      <c r="H149" s="8" t="s">
        <v>272</v>
      </c>
      <c r="I149" s="8" t="s">
        <v>273</v>
      </c>
      <c r="J149" s="8" t="s">
        <v>274</v>
      </c>
      <c r="K149" s="8">
        <v>45.242403000000003</v>
      </c>
      <c r="L149" s="8">
        <v>-96.899850999999998</v>
      </c>
      <c r="M149" s="8" t="s">
        <v>275</v>
      </c>
      <c r="N149" s="10">
        <v>202401</v>
      </c>
      <c r="O149" s="11" t="s">
        <v>56</v>
      </c>
      <c r="P149" s="11" t="s">
        <v>57</v>
      </c>
      <c r="Q149" s="12">
        <v>340</v>
      </c>
      <c r="R149" s="13">
        <v>45809</v>
      </c>
      <c r="S149" s="13">
        <v>45809</v>
      </c>
      <c r="T149" s="11">
        <v>160</v>
      </c>
      <c r="U149" s="66" t="s">
        <v>277</v>
      </c>
      <c r="V149" s="116">
        <v>79</v>
      </c>
      <c r="W149" s="116">
        <v>15</v>
      </c>
      <c r="X149" s="116">
        <v>10</v>
      </c>
      <c r="Z149">
        <v>3</v>
      </c>
      <c r="AA149" s="38">
        <v>338</v>
      </c>
      <c r="AB149" s="38">
        <v>129</v>
      </c>
      <c r="AC149" s="38">
        <v>84</v>
      </c>
    </row>
    <row r="150" spans="1:29" s="28" customFormat="1" x14ac:dyDescent="0.25">
      <c r="A150"/>
      <c r="B150"/>
      <c r="C150" s="31"/>
      <c r="D150" s="31"/>
      <c r="E150" s="31"/>
      <c r="F150" s="31"/>
      <c r="G150" s="20" t="s">
        <v>278</v>
      </c>
      <c r="H150" s="20" t="s">
        <v>279</v>
      </c>
      <c r="I150" s="20" t="s">
        <v>280</v>
      </c>
      <c r="J150" s="20" t="s">
        <v>80</v>
      </c>
      <c r="K150" s="20">
        <v>43.737093000000002</v>
      </c>
      <c r="L150" s="20">
        <v>-96.603538</v>
      </c>
      <c r="M150" s="20" t="s">
        <v>281</v>
      </c>
      <c r="N150" s="4" t="s">
        <v>282</v>
      </c>
      <c r="O150" t="s">
        <v>83</v>
      </c>
      <c r="P150" t="s">
        <v>84</v>
      </c>
      <c r="Q150" s="5">
        <v>328</v>
      </c>
      <c r="R150" s="1">
        <v>44287</v>
      </c>
      <c r="S150" s="1">
        <v>44409</v>
      </c>
      <c r="T150">
        <v>110</v>
      </c>
      <c r="U150"/>
      <c r="V150"/>
      <c r="W150"/>
      <c r="X150"/>
      <c r="Z150">
        <v>2</v>
      </c>
      <c r="AA150" s="120"/>
      <c r="AB150" s="120"/>
      <c r="AC150" s="120"/>
    </row>
    <row r="151" spans="1:29" s="28" customFormat="1" x14ac:dyDescent="0.25">
      <c r="A151"/>
      <c r="B151"/>
      <c r="C151" s="31"/>
      <c r="D151" s="31"/>
      <c r="E151" s="31"/>
      <c r="F151" s="31"/>
      <c r="G151" s="6" t="s">
        <v>278</v>
      </c>
      <c r="H151" s="6" t="s">
        <v>279</v>
      </c>
      <c r="I151" s="6" t="s">
        <v>280</v>
      </c>
      <c r="J151" s="6" t="s">
        <v>80</v>
      </c>
      <c r="K151" s="6">
        <v>43.737093000000002</v>
      </c>
      <c r="L151" s="6">
        <v>-96.603538</v>
      </c>
      <c r="M151" s="6" t="s">
        <v>281</v>
      </c>
      <c r="N151" s="4" t="s">
        <v>282</v>
      </c>
      <c r="O151" t="s">
        <v>54</v>
      </c>
      <c r="P151" t="s">
        <v>55</v>
      </c>
      <c r="Q151" s="5">
        <v>329</v>
      </c>
      <c r="R151" s="1">
        <v>44287</v>
      </c>
      <c r="S151" s="1">
        <v>44409</v>
      </c>
      <c r="T151">
        <v>110</v>
      </c>
      <c r="U151"/>
      <c r="V151">
        <v>726</v>
      </c>
      <c r="W151">
        <v>138</v>
      </c>
      <c r="X151">
        <v>89</v>
      </c>
      <c r="Z151">
        <v>2</v>
      </c>
      <c r="AA151" s="120"/>
      <c r="AB151" s="120"/>
      <c r="AC151" s="120"/>
    </row>
    <row r="152" spans="1:29" s="28" customFormat="1" x14ac:dyDescent="0.25">
      <c r="A152"/>
      <c r="B152" s="1">
        <v>44440</v>
      </c>
      <c r="C152" s="31">
        <v>2750</v>
      </c>
      <c r="D152" s="31">
        <v>0</v>
      </c>
      <c r="E152" s="31">
        <v>1980</v>
      </c>
      <c r="F152" s="31">
        <v>4730</v>
      </c>
      <c r="G152" s="6" t="s">
        <v>278</v>
      </c>
      <c r="H152" s="6" t="s">
        <v>279</v>
      </c>
      <c r="I152" s="6" t="s">
        <v>280</v>
      </c>
      <c r="J152" s="6" t="s">
        <v>80</v>
      </c>
      <c r="K152" s="6">
        <v>43.737093000000002</v>
      </c>
      <c r="L152" s="6">
        <v>-96.603538</v>
      </c>
      <c r="M152" s="6" t="s">
        <v>281</v>
      </c>
      <c r="N152" s="4" t="s">
        <v>282</v>
      </c>
      <c r="O152" t="s">
        <v>56</v>
      </c>
      <c r="P152" t="s">
        <v>57</v>
      </c>
      <c r="Q152" s="5">
        <v>340</v>
      </c>
      <c r="R152" s="1">
        <v>44291</v>
      </c>
      <c r="S152" s="1">
        <v>44493</v>
      </c>
      <c r="T152">
        <v>110</v>
      </c>
      <c r="U152"/>
      <c r="V152">
        <v>813</v>
      </c>
      <c r="W152">
        <v>282</v>
      </c>
      <c r="X152">
        <v>209</v>
      </c>
      <c r="Z152">
        <v>2</v>
      </c>
      <c r="AA152" s="120"/>
      <c r="AB152" s="120"/>
      <c r="AC152" s="120"/>
    </row>
    <row r="153" spans="1:29" s="28" customFormat="1" x14ac:dyDescent="0.25">
      <c r="A153"/>
      <c r="B153"/>
      <c r="C153" s="31"/>
      <c r="D153" s="31"/>
      <c r="E153" s="31"/>
      <c r="F153" s="31"/>
      <c r="G153" s="6" t="s">
        <v>278</v>
      </c>
      <c r="H153" s="6" t="s">
        <v>279</v>
      </c>
      <c r="I153" s="6" t="s">
        <v>280</v>
      </c>
      <c r="J153" s="6" t="s">
        <v>80</v>
      </c>
      <c r="K153" s="6">
        <v>43.737093000000002</v>
      </c>
      <c r="L153" s="6">
        <v>-96.603538</v>
      </c>
      <c r="M153" s="6" t="s">
        <v>281</v>
      </c>
      <c r="N153" s="4" t="s">
        <v>283</v>
      </c>
      <c r="O153" t="s">
        <v>54</v>
      </c>
      <c r="P153" t="s">
        <v>55</v>
      </c>
      <c r="Q153" s="5">
        <v>329</v>
      </c>
      <c r="R153" s="1">
        <v>44682</v>
      </c>
      <c r="S153" s="1">
        <v>44880</v>
      </c>
      <c r="T153">
        <v>110</v>
      </c>
      <c r="U153"/>
      <c r="V153">
        <v>1090</v>
      </c>
      <c r="W153">
        <v>208</v>
      </c>
      <c r="X153">
        <v>129</v>
      </c>
      <c r="Z153">
        <v>2</v>
      </c>
      <c r="AA153" s="120"/>
      <c r="AB153" s="120"/>
      <c r="AC153" s="120"/>
    </row>
    <row r="154" spans="1:29" s="28" customFormat="1" x14ac:dyDescent="0.25">
      <c r="A154"/>
      <c r="B154"/>
      <c r="C154" s="31"/>
      <c r="D154" s="31"/>
      <c r="E154" s="31"/>
      <c r="F154" s="31"/>
      <c r="G154" s="6" t="s">
        <v>278</v>
      </c>
      <c r="H154" s="6" t="s">
        <v>279</v>
      </c>
      <c r="I154" s="6" t="s">
        <v>280</v>
      </c>
      <c r="J154" s="6" t="s">
        <v>80</v>
      </c>
      <c r="K154" s="6">
        <v>43.737093000000002</v>
      </c>
      <c r="L154" s="6">
        <v>-96.603538</v>
      </c>
      <c r="M154" s="6" t="s">
        <v>281</v>
      </c>
      <c r="N154" s="4" t="s">
        <v>283</v>
      </c>
      <c r="O154" t="s">
        <v>56</v>
      </c>
      <c r="P154" t="s">
        <v>57</v>
      </c>
      <c r="Q154" s="5">
        <v>340</v>
      </c>
      <c r="R154" s="1">
        <v>44682</v>
      </c>
      <c r="S154" s="1">
        <v>44880</v>
      </c>
      <c r="T154">
        <v>110</v>
      </c>
      <c r="U154"/>
      <c r="V154">
        <v>1005</v>
      </c>
      <c r="W154">
        <v>334</v>
      </c>
      <c r="X154">
        <v>238</v>
      </c>
      <c r="Z154">
        <v>2</v>
      </c>
      <c r="AA154" s="120"/>
      <c r="AB154" s="120"/>
      <c r="AC154" s="120"/>
    </row>
    <row r="155" spans="1:29" s="28" customFormat="1" x14ac:dyDescent="0.25">
      <c r="A155"/>
      <c r="B155" s="11"/>
      <c r="C155" s="32"/>
      <c r="D155" s="32"/>
      <c r="E155" s="32"/>
      <c r="F155" s="32"/>
      <c r="G155" s="8" t="s">
        <v>278</v>
      </c>
      <c r="H155" s="8" t="s">
        <v>279</v>
      </c>
      <c r="I155" s="8" t="s">
        <v>280</v>
      </c>
      <c r="J155" s="8" t="s">
        <v>80</v>
      </c>
      <c r="K155" s="8">
        <v>43.737093000000002</v>
      </c>
      <c r="L155" s="8">
        <v>-96.603538</v>
      </c>
      <c r="M155" s="8" t="s">
        <v>281</v>
      </c>
      <c r="N155" s="10" t="s">
        <v>283</v>
      </c>
      <c r="O155" s="11" t="s">
        <v>105</v>
      </c>
      <c r="P155" s="11" t="s">
        <v>679</v>
      </c>
      <c r="Q155" s="12">
        <v>556</v>
      </c>
      <c r="R155" s="13">
        <v>44682</v>
      </c>
      <c r="S155" s="13">
        <v>44880</v>
      </c>
      <c r="T155" s="11">
        <v>110</v>
      </c>
      <c r="U155" s="11"/>
      <c r="V155" s="11"/>
      <c r="W155" s="11"/>
      <c r="X155" s="11"/>
      <c r="Z155">
        <v>2</v>
      </c>
      <c r="AA155" s="120"/>
      <c r="AB155" s="120"/>
      <c r="AC155" s="120"/>
    </row>
    <row r="156" spans="1:29" s="28" customFormat="1" x14ac:dyDescent="0.25">
      <c r="A156"/>
      <c r="B156"/>
      <c r="C156" s="31"/>
      <c r="D156" s="31"/>
      <c r="E156" s="31"/>
      <c r="F156" s="31"/>
      <c r="G156" s="20" t="s">
        <v>284</v>
      </c>
      <c r="H156" s="20" t="s">
        <v>285</v>
      </c>
      <c r="I156" s="20" t="s">
        <v>286</v>
      </c>
      <c r="J156" s="20" t="s">
        <v>69</v>
      </c>
      <c r="K156" s="20">
        <v>43.903872999999997</v>
      </c>
      <c r="L156" s="20">
        <v>-97.753050999999999</v>
      </c>
      <c r="M156" s="20" t="s">
        <v>189</v>
      </c>
      <c r="N156" s="4" t="s">
        <v>287</v>
      </c>
      <c r="O156" t="s">
        <v>54</v>
      </c>
      <c r="P156" t="s">
        <v>55</v>
      </c>
      <c r="Q156" s="5">
        <v>329</v>
      </c>
      <c r="R156" s="1">
        <v>44682</v>
      </c>
      <c r="S156" s="1">
        <v>44844</v>
      </c>
      <c r="T156">
        <v>80</v>
      </c>
      <c r="U156"/>
      <c r="V156">
        <v>152</v>
      </c>
      <c r="W156">
        <v>23</v>
      </c>
      <c r="X156">
        <v>13</v>
      </c>
      <c r="Z156">
        <v>2</v>
      </c>
      <c r="AA156" s="120"/>
      <c r="AB156" s="120"/>
      <c r="AC156" s="120"/>
    </row>
    <row r="157" spans="1:29" s="28" customFormat="1" x14ac:dyDescent="0.25">
      <c r="A157"/>
      <c r="B157" s="13">
        <v>44802</v>
      </c>
      <c r="C157" s="32">
        <v>0</v>
      </c>
      <c r="D157" s="32">
        <v>999.38</v>
      </c>
      <c r="E157" s="32">
        <v>999.38</v>
      </c>
      <c r="F157" s="32">
        <v>1998.76</v>
      </c>
      <c r="G157" s="8" t="s">
        <v>284</v>
      </c>
      <c r="H157" s="8" t="s">
        <v>285</v>
      </c>
      <c r="I157" s="8" t="s">
        <v>286</v>
      </c>
      <c r="J157" s="8" t="s">
        <v>69</v>
      </c>
      <c r="K157" s="8">
        <v>43.903872999999997</v>
      </c>
      <c r="L157" s="8">
        <v>-97.753050999999999</v>
      </c>
      <c r="M157" s="8" t="s">
        <v>189</v>
      </c>
      <c r="N157" s="10" t="s">
        <v>287</v>
      </c>
      <c r="O157" s="11" t="s">
        <v>56</v>
      </c>
      <c r="P157" s="11" t="s">
        <v>57</v>
      </c>
      <c r="Q157" s="12">
        <v>340</v>
      </c>
      <c r="R157" s="13">
        <v>44655</v>
      </c>
      <c r="S157" s="13">
        <v>44837</v>
      </c>
      <c r="T157" s="11">
        <v>80</v>
      </c>
      <c r="U157" s="11"/>
      <c r="V157" s="11">
        <v>258</v>
      </c>
      <c r="W157" s="11">
        <v>74</v>
      </c>
      <c r="X157" s="11">
        <v>43</v>
      </c>
      <c r="Z157">
        <v>2</v>
      </c>
      <c r="AA157" s="120"/>
      <c r="AB157" s="120"/>
      <c r="AC157" s="120"/>
    </row>
    <row r="158" spans="1:29" s="28" customFormat="1" x14ac:dyDescent="0.25">
      <c r="A158"/>
      <c r="B158"/>
      <c r="C158" s="31"/>
      <c r="D158" s="31"/>
      <c r="E158" s="31"/>
      <c r="F158" s="31"/>
      <c r="G158" s="20" t="s">
        <v>288</v>
      </c>
      <c r="H158" s="20" t="s">
        <v>289</v>
      </c>
      <c r="I158" s="20" t="s">
        <v>290</v>
      </c>
      <c r="J158" s="20" t="s">
        <v>291</v>
      </c>
      <c r="K158" s="20">
        <v>44.593342</v>
      </c>
      <c r="L158" s="20">
        <v>-97.234306000000004</v>
      </c>
      <c r="M158" s="20" t="s">
        <v>128</v>
      </c>
      <c r="N158" s="4" t="s">
        <v>292</v>
      </c>
      <c r="O158" t="s">
        <v>54</v>
      </c>
      <c r="P158" t="s">
        <v>55</v>
      </c>
      <c r="Q158" s="5">
        <v>329</v>
      </c>
      <c r="R158" s="1">
        <v>45047</v>
      </c>
      <c r="S158" s="1">
        <v>45168</v>
      </c>
      <c r="T158">
        <v>14</v>
      </c>
      <c r="U158"/>
      <c r="V158">
        <v>27</v>
      </c>
      <c r="W158">
        <v>6</v>
      </c>
      <c r="X158">
        <v>4</v>
      </c>
      <c r="Z158">
        <v>2</v>
      </c>
      <c r="AA158" s="120"/>
      <c r="AB158" s="120"/>
      <c r="AC158" s="120"/>
    </row>
    <row r="159" spans="1:29" s="28" customFormat="1" x14ac:dyDescent="0.25">
      <c r="A159"/>
      <c r="B159" s="13">
        <v>45153</v>
      </c>
      <c r="C159" s="32">
        <v>368</v>
      </c>
      <c r="D159" s="32">
        <v>0</v>
      </c>
      <c r="E159" s="32">
        <v>368</v>
      </c>
      <c r="F159" s="32">
        <v>736</v>
      </c>
      <c r="G159" s="8" t="s">
        <v>288</v>
      </c>
      <c r="H159" s="8" t="s">
        <v>289</v>
      </c>
      <c r="I159" s="8" t="s">
        <v>290</v>
      </c>
      <c r="J159" s="8" t="s">
        <v>291</v>
      </c>
      <c r="K159" s="8">
        <v>44.593342</v>
      </c>
      <c r="L159" s="8">
        <v>-97.234306000000004</v>
      </c>
      <c r="M159" s="8" t="s">
        <v>128</v>
      </c>
      <c r="N159" s="10" t="s">
        <v>292</v>
      </c>
      <c r="O159" s="11" t="s">
        <v>56</v>
      </c>
      <c r="P159" s="11" t="s">
        <v>57</v>
      </c>
      <c r="Q159" s="12">
        <v>340</v>
      </c>
      <c r="R159" s="13">
        <v>45047</v>
      </c>
      <c r="S159" s="13">
        <v>45168</v>
      </c>
      <c r="T159" s="11">
        <v>14</v>
      </c>
      <c r="U159" s="11"/>
      <c r="V159" s="11">
        <v>65</v>
      </c>
      <c r="W159" s="11">
        <v>22</v>
      </c>
      <c r="X159" s="11">
        <v>16</v>
      </c>
      <c r="Z159">
        <v>2</v>
      </c>
      <c r="AA159" s="120"/>
      <c r="AB159" s="120"/>
      <c r="AC159" s="120"/>
    </row>
    <row r="160" spans="1:29" s="28" customFormat="1" x14ac:dyDescent="0.25">
      <c r="A160"/>
      <c r="B160"/>
      <c r="C160" s="31"/>
      <c r="D160" s="31"/>
      <c r="E160" s="31"/>
      <c r="F160" s="31"/>
      <c r="G160" s="20" t="s">
        <v>293</v>
      </c>
      <c r="H160" s="20" t="s">
        <v>294</v>
      </c>
      <c r="I160" s="20" t="s">
        <v>295</v>
      </c>
      <c r="J160" s="20" t="s">
        <v>222</v>
      </c>
      <c r="K160" s="20">
        <v>44.897343999999997</v>
      </c>
      <c r="L160" s="20">
        <v>-97.198954999999998</v>
      </c>
      <c r="M160" s="20" t="s">
        <v>223</v>
      </c>
      <c r="N160" s="4">
        <v>2021009</v>
      </c>
      <c r="O160" t="s">
        <v>54</v>
      </c>
      <c r="P160" t="s">
        <v>55</v>
      </c>
      <c r="Q160" s="5">
        <v>329</v>
      </c>
      <c r="R160" s="1">
        <v>44317</v>
      </c>
      <c r="S160" s="1">
        <v>44331</v>
      </c>
      <c r="T160">
        <v>24</v>
      </c>
      <c r="U160"/>
      <c r="V160">
        <v>105</v>
      </c>
      <c r="W160">
        <v>33</v>
      </c>
      <c r="X160">
        <v>24</v>
      </c>
      <c r="Z160">
        <v>2</v>
      </c>
      <c r="AA160" s="120"/>
      <c r="AB160" s="120"/>
      <c r="AC160" s="120"/>
    </row>
    <row r="161" spans="1:29" s="28" customFormat="1" x14ac:dyDescent="0.25">
      <c r="A161"/>
      <c r="B161" s="13">
        <v>44377</v>
      </c>
      <c r="C161" s="32">
        <v>0</v>
      </c>
      <c r="D161" s="32">
        <v>510.75</v>
      </c>
      <c r="E161" s="32">
        <v>512.58000000000004</v>
      </c>
      <c r="F161" s="32">
        <v>1023.33</v>
      </c>
      <c r="G161" s="8" t="s">
        <v>293</v>
      </c>
      <c r="H161" s="8" t="s">
        <v>294</v>
      </c>
      <c r="I161" s="8" t="s">
        <v>295</v>
      </c>
      <c r="J161" s="8" t="s">
        <v>222</v>
      </c>
      <c r="K161" s="8">
        <v>44.897343999999997</v>
      </c>
      <c r="L161" s="8">
        <v>-97.198954999999998</v>
      </c>
      <c r="M161" s="8" t="s">
        <v>223</v>
      </c>
      <c r="N161" s="10">
        <v>2021009</v>
      </c>
      <c r="O161" s="11" t="s">
        <v>56</v>
      </c>
      <c r="P161" s="11" t="s">
        <v>57</v>
      </c>
      <c r="Q161" s="12">
        <v>340</v>
      </c>
      <c r="R161" s="13">
        <v>44287</v>
      </c>
      <c r="S161" s="13">
        <v>44361</v>
      </c>
      <c r="T161" s="11">
        <v>24</v>
      </c>
      <c r="U161" s="11"/>
      <c r="V161" s="11">
        <v>129</v>
      </c>
      <c r="W161" s="11">
        <v>44</v>
      </c>
      <c r="X161" s="11">
        <v>32</v>
      </c>
      <c r="Z161">
        <v>2</v>
      </c>
      <c r="AA161" s="120"/>
      <c r="AB161" s="120"/>
      <c r="AC161" s="120"/>
    </row>
    <row r="162" spans="1:29" s="28" customFormat="1" x14ac:dyDescent="0.25">
      <c r="A162"/>
      <c r="B162"/>
      <c r="C162" s="31"/>
      <c r="D162" s="31"/>
      <c r="E162" s="31"/>
      <c r="F162" s="31"/>
      <c r="G162" s="20" t="s">
        <v>296</v>
      </c>
      <c r="H162" s="20" t="s">
        <v>297</v>
      </c>
      <c r="I162" s="20" t="s">
        <v>298</v>
      </c>
      <c r="J162" s="20" t="s">
        <v>99</v>
      </c>
      <c r="K162" s="20">
        <v>43.287734999999998</v>
      </c>
      <c r="L162" s="20">
        <v>-97.55744</v>
      </c>
      <c r="M162" s="20" t="s">
        <v>64</v>
      </c>
      <c r="N162" s="4">
        <v>2006</v>
      </c>
      <c r="O162" t="s">
        <v>54</v>
      </c>
      <c r="P162" t="s">
        <v>55</v>
      </c>
      <c r="Q162" s="5">
        <v>329</v>
      </c>
      <c r="R162" s="1">
        <v>44761</v>
      </c>
      <c r="S162" s="1">
        <v>44761</v>
      </c>
      <c r="T162">
        <v>32</v>
      </c>
      <c r="U162"/>
      <c r="V162">
        <v>117</v>
      </c>
      <c r="W162">
        <v>28</v>
      </c>
      <c r="X162">
        <v>20</v>
      </c>
      <c r="Z162">
        <v>2</v>
      </c>
      <c r="AA162" s="120"/>
      <c r="AB162" s="120"/>
      <c r="AC162" s="120"/>
    </row>
    <row r="163" spans="1:29" s="28" customFormat="1" x14ac:dyDescent="0.25">
      <c r="A163"/>
      <c r="B163" s="13">
        <v>44779</v>
      </c>
      <c r="C163" s="32">
        <v>800</v>
      </c>
      <c r="D163" s="32">
        <v>0</v>
      </c>
      <c r="E163" s="32">
        <v>1111.3599999999999</v>
      </c>
      <c r="F163" s="32">
        <v>1911.36</v>
      </c>
      <c r="G163" s="8" t="s">
        <v>296</v>
      </c>
      <c r="H163" s="8" t="s">
        <v>297</v>
      </c>
      <c r="I163" s="8" t="s">
        <v>298</v>
      </c>
      <c r="J163" s="8" t="s">
        <v>99</v>
      </c>
      <c r="K163" s="8">
        <v>43.287734999999998</v>
      </c>
      <c r="L163" s="8">
        <v>-97.55744</v>
      </c>
      <c r="M163" s="8" t="s">
        <v>64</v>
      </c>
      <c r="N163" s="10">
        <v>2006</v>
      </c>
      <c r="O163" s="11" t="s">
        <v>56</v>
      </c>
      <c r="P163" s="11" t="s">
        <v>57</v>
      </c>
      <c r="Q163" s="12">
        <v>340</v>
      </c>
      <c r="R163" s="13">
        <v>44761</v>
      </c>
      <c r="S163" s="13">
        <v>44761</v>
      </c>
      <c r="T163" s="11">
        <v>32</v>
      </c>
      <c r="U163" s="11"/>
      <c r="V163" s="11">
        <v>303</v>
      </c>
      <c r="W163" s="11">
        <v>105</v>
      </c>
      <c r="X163" s="11">
        <v>77</v>
      </c>
      <c r="Z163">
        <v>2</v>
      </c>
      <c r="AA163" s="120"/>
      <c r="AB163" s="120"/>
      <c r="AC163" s="120"/>
    </row>
    <row r="164" spans="1:29" s="28" customFormat="1" x14ac:dyDescent="0.25">
      <c r="A164"/>
      <c r="B164"/>
      <c r="C164" s="31"/>
      <c r="D164" s="31"/>
      <c r="E164" s="31"/>
      <c r="F164" s="31"/>
      <c r="G164" s="20" t="s">
        <v>299</v>
      </c>
      <c r="H164" s="20" t="s">
        <v>300</v>
      </c>
      <c r="I164" s="20" t="s">
        <v>301</v>
      </c>
      <c r="J164" s="20" t="s">
        <v>302</v>
      </c>
      <c r="K164" s="20">
        <v>45.381179000000003</v>
      </c>
      <c r="L164" s="20">
        <v>-96.785336999999998</v>
      </c>
      <c r="M164" s="20" t="s">
        <v>275</v>
      </c>
      <c r="N164" s="4">
        <v>202205</v>
      </c>
      <c r="O164" t="s">
        <v>54</v>
      </c>
      <c r="P164" t="s">
        <v>55</v>
      </c>
      <c r="Q164" s="5">
        <v>329</v>
      </c>
      <c r="R164" s="1">
        <v>44682</v>
      </c>
      <c r="S164" s="1">
        <v>44713</v>
      </c>
      <c r="T164">
        <v>45</v>
      </c>
      <c r="U164"/>
      <c r="V164">
        <v>91</v>
      </c>
      <c r="W164">
        <v>21</v>
      </c>
      <c r="X164">
        <v>14</v>
      </c>
      <c r="Z164">
        <v>2</v>
      </c>
      <c r="AA164" s="120"/>
      <c r="AB164" s="120"/>
      <c r="AC164" s="120"/>
    </row>
    <row r="165" spans="1:29" s="28" customFormat="1" x14ac:dyDescent="0.25">
      <c r="A165"/>
      <c r="B165" s="1">
        <v>44770</v>
      </c>
      <c r="C165" s="31">
        <v>0</v>
      </c>
      <c r="D165" s="31">
        <v>1125</v>
      </c>
      <c r="E165" s="31">
        <v>1406.25</v>
      </c>
      <c r="F165" s="31">
        <v>2531.25</v>
      </c>
      <c r="G165" s="6" t="s">
        <v>299</v>
      </c>
      <c r="H165" s="6" t="s">
        <v>300</v>
      </c>
      <c r="I165" s="6" t="s">
        <v>301</v>
      </c>
      <c r="J165" s="6" t="s">
        <v>302</v>
      </c>
      <c r="K165" s="6">
        <v>45.381179000000003</v>
      </c>
      <c r="L165" s="6">
        <v>-96.785336999999998</v>
      </c>
      <c r="M165" s="6" t="s">
        <v>275</v>
      </c>
      <c r="N165" s="4">
        <v>202205</v>
      </c>
      <c r="O165" t="s">
        <v>56</v>
      </c>
      <c r="P165" t="s">
        <v>57</v>
      </c>
      <c r="Q165" s="5">
        <v>340</v>
      </c>
      <c r="R165" s="1">
        <v>44743</v>
      </c>
      <c r="S165" s="1">
        <v>45047</v>
      </c>
      <c r="T165">
        <v>45</v>
      </c>
      <c r="U165"/>
      <c r="V165">
        <v>208</v>
      </c>
      <c r="W165">
        <v>70</v>
      </c>
      <c r="X165">
        <v>50</v>
      </c>
      <c r="Z165">
        <v>2</v>
      </c>
      <c r="AA165" s="120"/>
      <c r="AB165" s="120"/>
      <c r="AC165" s="120"/>
    </row>
    <row r="166" spans="1:29" s="28" customFormat="1" x14ac:dyDescent="0.25">
      <c r="A166"/>
      <c r="B166" s="1">
        <v>45264</v>
      </c>
      <c r="C166" s="31">
        <v>5642.3</v>
      </c>
      <c r="D166" s="31"/>
      <c r="E166" s="31">
        <v>5642.3</v>
      </c>
      <c r="F166" s="31">
        <v>11284.6</v>
      </c>
      <c r="G166" s="6" t="s">
        <v>299</v>
      </c>
      <c r="H166" s="6" t="s">
        <v>300</v>
      </c>
      <c r="I166" s="6" t="s">
        <v>303</v>
      </c>
      <c r="J166" s="6" t="s">
        <v>302</v>
      </c>
      <c r="K166" s="6">
        <v>45.379987999999997</v>
      </c>
      <c r="L166" s="6">
        <v>-96.794134999999997</v>
      </c>
      <c r="M166" s="6" t="s">
        <v>275</v>
      </c>
      <c r="N166" s="4" t="s">
        <v>240</v>
      </c>
      <c r="O166" t="s">
        <v>75</v>
      </c>
      <c r="P166" t="s">
        <v>304</v>
      </c>
      <c r="Q166" s="5">
        <v>516</v>
      </c>
      <c r="R166" s="1">
        <v>45214</v>
      </c>
      <c r="S166" s="1">
        <v>45255</v>
      </c>
      <c r="T166">
        <v>250</v>
      </c>
      <c r="U166"/>
      <c r="V166">
        <v>407</v>
      </c>
      <c r="W166">
        <v>77</v>
      </c>
      <c r="X166">
        <v>41</v>
      </c>
      <c r="Z166">
        <v>3</v>
      </c>
      <c r="AA166" s="120"/>
      <c r="AB166" s="120"/>
      <c r="AC166" s="120"/>
    </row>
    <row r="167" spans="1:29" s="28" customFormat="1" x14ac:dyDescent="0.25">
      <c r="A167"/>
      <c r="B167" s="1">
        <v>45255</v>
      </c>
      <c r="C167" s="31">
        <v>5088.5200000000004</v>
      </c>
      <c r="D167" s="31"/>
      <c r="E167" s="31">
        <v>5088.53</v>
      </c>
      <c r="F167" s="31">
        <v>10177.049999999999</v>
      </c>
      <c r="G167" s="6" t="s">
        <v>299</v>
      </c>
      <c r="H167" s="6" t="s">
        <v>300</v>
      </c>
      <c r="I167" s="6" t="s">
        <v>303</v>
      </c>
      <c r="J167" s="6" t="s">
        <v>302</v>
      </c>
      <c r="K167" s="6">
        <v>45.379987999999997</v>
      </c>
      <c r="L167" s="6">
        <v>-96.794134999999997</v>
      </c>
      <c r="M167" s="6" t="s">
        <v>275</v>
      </c>
      <c r="N167" s="4" t="s">
        <v>240</v>
      </c>
      <c r="O167" t="s">
        <v>75</v>
      </c>
      <c r="P167" t="s">
        <v>305</v>
      </c>
      <c r="Q167" s="5">
        <v>382</v>
      </c>
      <c r="R167" s="1">
        <v>45214</v>
      </c>
      <c r="S167" s="1">
        <v>45255</v>
      </c>
      <c r="T167"/>
      <c r="U167" t="s">
        <v>145</v>
      </c>
      <c r="V167" t="s">
        <v>145</v>
      </c>
      <c r="W167" t="s">
        <v>145</v>
      </c>
      <c r="X167" t="s">
        <v>145</v>
      </c>
      <c r="Z167">
        <v>3</v>
      </c>
      <c r="AA167" s="120"/>
      <c r="AB167" s="120"/>
      <c r="AC167" s="120"/>
    </row>
    <row r="168" spans="1:29" s="28" customFormat="1" x14ac:dyDescent="0.25">
      <c r="A168"/>
      <c r="C168" s="31"/>
      <c r="D168" s="31"/>
      <c r="E168" s="31"/>
      <c r="F168" s="31"/>
      <c r="G168" s="6" t="s">
        <v>299</v>
      </c>
      <c r="H168" s="6" t="s">
        <v>300</v>
      </c>
      <c r="I168" s="6" t="s">
        <v>303</v>
      </c>
      <c r="J168" s="6" t="s">
        <v>302</v>
      </c>
      <c r="K168" s="6">
        <v>45.379987999999997</v>
      </c>
      <c r="L168" s="6">
        <v>-96.794134999999997</v>
      </c>
      <c r="M168" s="6" t="s">
        <v>275</v>
      </c>
      <c r="N168" s="4" t="s">
        <v>240</v>
      </c>
      <c r="O168" t="s">
        <v>75</v>
      </c>
      <c r="P168" t="s">
        <v>306</v>
      </c>
      <c r="Q168" s="5"/>
      <c r="R168" s="1">
        <v>45214</v>
      </c>
      <c r="S168" s="1">
        <v>45255</v>
      </c>
      <c r="T168"/>
      <c r="U168" t="s">
        <v>145</v>
      </c>
      <c r="V168"/>
      <c r="W168"/>
      <c r="X168"/>
      <c r="Z168">
        <v>3</v>
      </c>
      <c r="AA168" s="120"/>
      <c r="AB168" s="120"/>
      <c r="AC168" s="120"/>
    </row>
    <row r="169" spans="1:29" s="28" customFormat="1" x14ac:dyDescent="0.25">
      <c r="A169"/>
      <c r="B169" s="72">
        <v>45244</v>
      </c>
      <c r="C169" s="32">
        <v>833.6</v>
      </c>
      <c r="D169" s="32"/>
      <c r="E169" s="32">
        <v>0</v>
      </c>
      <c r="F169" s="32">
        <v>833.6</v>
      </c>
      <c r="G169" s="8" t="s">
        <v>299</v>
      </c>
      <c r="H169" s="8" t="s">
        <v>300</v>
      </c>
      <c r="I169" s="8" t="s">
        <v>303</v>
      </c>
      <c r="J169" s="8" t="s">
        <v>302</v>
      </c>
      <c r="K169" s="8">
        <v>45.379987999999997</v>
      </c>
      <c r="L169" s="8">
        <v>-96.794134999999997</v>
      </c>
      <c r="M169" s="8" t="s">
        <v>275</v>
      </c>
      <c r="N169" s="10" t="s">
        <v>240</v>
      </c>
      <c r="O169" s="11" t="s">
        <v>75</v>
      </c>
      <c r="P169" s="11" t="s">
        <v>307</v>
      </c>
      <c r="Q169" s="12">
        <v>614</v>
      </c>
      <c r="R169" s="13">
        <v>45214</v>
      </c>
      <c r="S169" s="13">
        <v>45255</v>
      </c>
      <c r="T169" s="11"/>
      <c r="U169" s="11" t="s">
        <v>145</v>
      </c>
      <c r="V169" s="11"/>
      <c r="W169" s="11"/>
      <c r="X169" s="11"/>
      <c r="Z169">
        <v>3</v>
      </c>
      <c r="AA169" s="120"/>
      <c r="AB169" s="120"/>
      <c r="AC169" s="120"/>
    </row>
    <row r="170" spans="1:29" s="28" customFormat="1" x14ac:dyDescent="0.25">
      <c r="A170"/>
      <c r="B170" s="13">
        <v>44697</v>
      </c>
      <c r="C170" s="32">
        <v>7758.36</v>
      </c>
      <c r="D170" s="32">
        <v>1692.27</v>
      </c>
      <c r="E170" s="32">
        <v>9450.6299999999992</v>
      </c>
      <c r="F170" s="32">
        <v>18901.259999999998</v>
      </c>
      <c r="G170" s="30" t="s">
        <v>308</v>
      </c>
      <c r="H170" s="30" t="s">
        <v>261</v>
      </c>
      <c r="I170" s="30" t="s">
        <v>309</v>
      </c>
      <c r="J170" s="30" t="s">
        <v>310</v>
      </c>
      <c r="K170" s="30">
        <v>44.665036999999998</v>
      </c>
      <c r="L170" s="30">
        <v>-103.573125</v>
      </c>
      <c r="M170" s="30" t="s">
        <v>311</v>
      </c>
      <c r="N170" s="25" t="s">
        <v>312</v>
      </c>
      <c r="O170" s="24" t="s">
        <v>75</v>
      </c>
      <c r="P170" s="24" t="s">
        <v>304</v>
      </c>
      <c r="Q170" s="26">
        <v>516</v>
      </c>
      <c r="R170" s="27">
        <v>44287</v>
      </c>
      <c r="S170" s="27">
        <v>45139</v>
      </c>
      <c r="T170" s="24">
        <v>310</v>
      </c>
      <c r="U170" s="24"/>
      <c r="V170" s="24">
        <v>306</v>
      </c>
      <c r="W170" s="24">
        <v>68</v>
      </c>
      <c r="X170" s="24">
        <v>42</v>
      </c>
      <c r="Z170">
        <v>2</v>
      </c>
      <c r="AA170" s="120"/>
      <c r="AB170" s="120"/>
      <c r="AC170" s="120"/>
    </row>
    <row r="171" spans="1:29" s="28" customFormat="1" x14ac:dyDescent="0.25">
      <c r="A171"/>
      <c r="B171"/>
      <c r="C171" s="31"/>
      <c r="D171" s="31"/>
      <c r="E171" s="31"/>
      <c r="F171" s="31"/>
      <c r="G171" s="20" t="s">
        <v>313</v>
      </c>
      <c r="H171" s="20" t="s">
        <v>314</v>
      </c>
      <c r="I171" s="20" t="s">
        <v>315</v>
      </c>
      <c r="J171" s="20" t="s">
        <v>316</v>
      </c>
      <c r="K171" s="20">
        <v>44.672642000000003</v>
      </c>
      <c r="L171" s="20">
        <v>-103.310658</v>
      </c>
      <c r="M171" s="20" t="s">
        <v>317</v>
      </c>
      <c r="N171" s="4" t="s">
        <v>318</v>
      </c>
      <c r="O171" t="s">
        <v>54</v>
      </c>
      <c r="P171" t="s">
        <v>55</v>
      </c>
      <c r="Q171" s="5">
        <v>329</v>
      </c>
      <c r="R171" s="1">
        <v>45047</v>
      </c>
      <c r="S171" s="1">
        <v>45077</v>
      </c>
      <c r="T171">
        <v>30</v>
      </c>
      <c r="U171"/>
      <c r="V171">
        <v>57</v>
      </c>
      <c r="W171">
        <v>13</v>
      </c>
      <c r="X171">
        <v>10</v>
      </c>
      <c r="Z171">
        <v>2</v>
      </c>
      <c r="AA171" s="120"/>
      <c r="AB171" s="120"/>
      <c r="AC171" s="120"/>
    </row>
    <row r="172" spans="1:29" s="28" customFormat="1" x14ac:dyDescent="0.25">
      <c r="A172"/>
      <c r="B172" s="13">
        <v>45077</v>
      </c>
      <c r="C172" s="32">
        <v>0</v>
      </c>
      <c r="D172" s="32">
        <v>2740.5</v>
      </c>
      <c r="E172" s="32">
        <v>1827</v>
      </c>
      <c r="F172" s="32">
        <v>4567.5</v>
      </c>
      <c r="G172" s="8" t="s">
        <v>313</v>
      </c>
      <c r="H172" s="8" t="s">
        <v>314</v>
      </c>
      <c r="I172" s="8" t="s">
        <v>315</v>
      </c>
      <c r="J172" s="8" t="s">
        <v>316</v>
      </c>
      <c r="K172" s="8">
        <v>44.672642000000003</v>
      </c>
      <c r="L172" s="8">
        <v>-103.310658</v>
      </c>
      <c r="M172" s="8" t="s">
        <v>317</v>
      </c>
      <c r="N172" s="10" t="s">
        <v>318</v>
      </c>
      <c r="O172" s="11" t="s">
        <v>132</v>
      </c>
      <c r="P172" s="11" t="s">
        <v>133</v>
      </c>
      <c r="Q172" s="12"/>
      <c r="R172" s="13">
        <v>45078</v>
      </c>
      <c r="S172" s="13">
        <v>45107</v>
      </c>
      <c r="T172" s="11">
        <v>30</v>
      </c>
      <c r="U172" s="11"/>
      <c r="V172" s="11">
        <v>134</v>
      </c>
      <c r="W172" s="11">
        <v>45</v>
      </c>
      <c r="X172" s="11">
        <v>33</v>
      </c>
      <c r="Z172">
        <v>2</v>
      </c>
      <c r="AA172" s="120"/>
      <c r="AB172" s="120"/>
      <c r="AC172" s="120"/>
    </row>
    <row r="173" spans="1:29" s="28" customFormat="1" x14ac:dyDescent="0.25">
      <c r="A173"/>
      <c r="B173"/>
      <c r="C173" s="31"/>
      <c r="D173" s="31"/>
      <c r="E173" s="31"/>
      <c r="F173" s="31"/>
      <c r="G173" s="20" t="s">
        <v>319</v>
      </c>
      <c r="H173" s="20" t="s">
        <v>320</v>
      </c>
      <c r="I173" s="20" t="s">
        <v>321</v>
      </c>
      <c r="J173" s="20" t="s">
        <v>99</v>
      </c>
      <c r="K173" s="20">
        <v>43.312444999999997</v>
      </c>
      <c r="L173" s="20">
        <v>-97.384052999999994</v>
      </c>
      <c r="M173" s="20" t="s">
        <v>100</v>
      </c>
      <c r="N173" s="4">
        <v>2010</v>
      </c>
      <c r="O173" t="s">
        <v>54</v>
      </c>
      <c r="P173" t="s">
        <v>55</v>
      </c>
      <c r="Q173" s="5">
        <v>329</v>
      </c>
      <c r="R173" s="1">
        <v>44808</v>
      </c>
      <c r="S173" s="1">
        <v>44814</v>
      </c>
      <c r="T173">
        <v>60</v>
      </c>
      <c r="U173"/>
      <c r="V173">
        <v>220</v>
      </c>
      <c r="W173">
        <v>53</v>
      </c>
      <c r="X173">
        <v>37</v>
      </c>
      <c r="Z173">
        <v>2</v>
      </c>
      <c r="AA173" s="120"/>
      <c r="AB173" s="120"/>
      <c r="AC173" s="120"/>
    </row>
    <row r="174" spans="1:29" s="28" customFormat="1" x14ac:dyDescent="0.25">
      <c r="A174"/>
      <c r="B174" s="13">
        <v>44819</v>
      </c>
      <c r="C174" s="32">
        <v>845.62</v>
      </c>
      <c r="D174" s="32">
        <v>0</v>
      </c>
      <c r="E174" s="32">
        <v>845.63</v>
      </c>
      <c r="F174" s="32">
        <v>1961.25</v>
      </c>
      <c r="G174" s="8" t="s">
        <v>319</v>
      </c>
      <c r="H174" s="8" t="s">
        <v>320</v>
      </c>
      <c r="I174" s="8" t="s">
        <v>321</v>
      </c>
      <c r="J174" s="8" t="s">
        <v>99</v>
      </c>
      <c r="K174" s="8">
        <v>43.312444999999997</v>
      </c>
      <c r="L174" s="8">
        <v>-97.384052999999994</v>
      </c>
      <c r="M174" s="8" t="s">
        <v>100</v>
      </c>
      <c r="N174" s="10">
        <v>2010</v>
      </c>
      <c r="O174" s="11" t="s">
        <v>56</v>
      </c>
      <c r="P174" s="11" t="s">
        <v>57</v>
      </c>
      <c r="Q174" s="12">
        <v>340</v>
      </c>
      <c r="R174" s="13">
        <v>44808</v>
      </c>
      <c r="S174" s="13">
        <v>44814</v>
      </c>
      <c r="T174" s="11">
        <v>60</v>
      </c>
      <c r="U174" s="11"/>
      <c r="V174" s="11">
        <v>571</v>
      </c>
      <c r="W174" s="11">
        <v>198</v>
      </c>
      <c r="X174" s="11">
        <v>145</v>
      </c>
      <c r="Z174">
        <v>2</v>
      </c>
      <c r="AA174" s="120"/>
      <c r="AB174" s="120"/>
      <c r="AC174" s="120"/>
    </row>
    <row r="175" spans="1:29" s="28" customFormat="1" x14ac:dyDescent="0.25">
      <c r="A175"/>
      <c r="B175"/>
      <c r="C175" s="31"/>
      <c r="D175" s="31"/>
      <c r="E175" s="31"/>
      <c r="F175" s="31"/>
      <c r="G175" s="20" t="s">
        <v>322</v>
      </c>
      <c r="H175" s="20" t="s">
        <v>323</v>
      </c>
      <c r="I175" s="20" t="s">
        <v>324</v>
      </c>
      <c r="J175" s="20" t="s">
        <v>325</v>
      </c>
      <c r="K175" s="20">
        <v>45.397055000000002</v>
      </c>
      <c r="L175" s="20">
        <v>-97.127134999999996</v>
      </c>
      <c r="M175" s="20" t="s">
        <v>223</v>
      </c>
      <c r="N175" s="4">
        <v>202207</v>
      </c>
      <c r="O175" t="s">
        <v>54</v>
      </c>
      <c r="P175" t="s">
        <v>55</v>
      </c>
      <c r="Q175" s="5">
        <v>329</v>
      </c>
      <c r="R175" s="1">
        <v>45078</v>
      </c>
      <c r="S175" s="1">
        <v>45108</v>
      </c>
      <c r="T175">
        <v>18</v>
      </c>
      <c r="U175"/>
      <c r="V175">
        <v>39</v>
      </c>
      <c r="W175">
        <v>9</v>
      </c>
      <c r="X175">
        <v>6</v>
      </c>
      <c r="Z175">
        <v>2</v>
      </c>
      <c r="AA175" s="120"/>
      <c r="AB175" s="120"/>
      <c r="AC175" s="120"/>
    </row>
    <row r="176" spans="1:29" s="28" customFormat="1" x14ac:dyDescent="0.25">
      <c r="A176"/>
      <c r="B176" s="13">
        <v>44770</v>
      </c>
      <c r="C176" s="32">
        <v>0</v>
      </c>
      <c r="D176" s="32">
        <v>405</v>
      </c>
      <c r="E176" s="32">
        <v>405</v>
      </c>
      <c r="F176" s="32">
        <v>810</v>
      </c>
      <c r="G176" s="8" t="s">
        <v>322</v>
      </c>
      <c r="H176" s="8" t="s">
        <v>323</v>
      </c>
      <c r="I176" s="8" t="s">
        <v>324</v>
      </c>
      <c r="J176" s="8" t="s">
        <v>325</v>
      </c>
      <c r="K176" s="8">
        <v>45.397055000000002</v>
      </c>
      <c r="L176" s="8">
        <v>-97.127134999999996</v>
      </c>
      <c r="M176" s="8" t="s">
        <v>223</v>
      </c>
      <c r="N176" s="10">
        <v>202207</v>
      </c>
      <c r="O176" s="11" t="s">
        <v>56</v>
      </c>
      <c r="P176" s="11" t="s">
        <v>57</v>
      </c>
      <c r="Q176" s="12">
        <v>340</v>
      </c>
      <c r="R176" s="13">
        <v>44682</v>
      </c>
      <c r="S176" s="13">
        <v>45078</v>
      </c>
      <c r="T176" s="11">
        <v>18</v>
      </c>
      <c r="U176" s="11"/>
      <c r="V176" s="11">
        <v>100</v>
      </c>
      <c r="W176" s="11">
        <v>34</v>
      </c>
      <c r="X176" s="11">
        <v>25</v>
      </c>
      <c r="Z176">
        <v>2</v>
      </c>
      <c r="AA176" s="120"/>
      <c r="AB176" s="120"/>
      <c r="AC176" s="120"/>
    </row>
    <row r="177" spans="1:29" s="28" customFormat="1" x14ac:dyDescent="0.25">
      <c r="A177"/>
      <c r="B177"/>
      <c r="C177" s="31"/>
      <c r="D177" s="31"/>
      <c r="E177" s="31"/>
      <c r="F177" s="31"/>
      <c r="G177" s="20" t="s">
        <v>326</v>
      </c>
      <c r="H177" s="20" t="s">
        <v>327</v>
      </c>
      <c r="I177" s="20" t="s">
        <v>328</v>
      </c>
      <c r="J177" s="20" t="s">
        <v>178</v>
      </c>
      <c r="K177" s="20">
        <v>42.942016000000002</v>
      </c>
      <c r="L177" s="20">
        <v>-98.084417000000002</v>
      </c>
      <c r="M177" s="20" t="s">
        <v>113</v>
      </c>
      <c r="N177" s="4">
        <v>20211917</v>
      </c>
      <c r="O177" t="s">
        <v>54</v>
      </c>
      <c r="P177" t="s">
        <v>55</v>
      </c>
      <c r="Q177" s="5">
        <v>329</v>
      </c>
      <c r="R177" s="1">
        <v>44317</v>
      </c>
      <c r="S177" s="1">
        <v>44484</v>
      </c>
      <c r="T177">
        <v>222</v>
      </c>
      <c r="U177"/>
      <c r="V177"/>
      <c r="W177"/>
      <c r="X177"/>
      <c r="Z177">
        <v>2</v>
      </c>
      <c r="AA177" s="120"/>
      <c r="AB177" s="120"/>
      <c r="AC177" s="120"/>
    </row>
    <row r="178" spans="1:29" s="28" customFormat="1" x14ac:dyDescent="0.25">
      <c r="A178"/>
      <c r="B178" s="1">
        <v>44470</v>
      </c>
      <c r="C178" s="31">
        <v>4664</v>
      </c>
      <c r="D178" s="31">
        <v>0</v>
      </c>
      <c r="E178" s="31">
        <v>4884</v>
      </c>
      <c r="F178" s="31">
        <v>9548</v>
      </c>
      <c r="G178" s="6" t="s">
        <v>326</v>
      </c>
      <c r="H178" s="6" t="s">
        <v>327</v>
      </c>
      <c r="I178" s="6" t="s">
        <v>328</v>
      </c>
      <c r="J178" s="6" t="s">
        <v>178</v>
      </c>
      <c r="K178" s="6">
        <v>42.942016000000002</v>
      </c>
      <c r="L178" s="6">
        <v>-98.084417000000002</v>
      </c>
      <c r="M178" s="6" t="s">
        <v>113</v>
      </c>
      <c r="N178" s="4">
        <v>20211917</v>
      </c>
      <c r="O178" t="s">
        <v>56</v>
      </c>
      <c r="P178" t="s">
        <v>57</v>
      </c>
      <c r="Q178" s="5">
        <v>340</v>
      </c>
      <c r="R178" s="1">
        <v>44378</v>
      </c>
      <c r="S178" s="1">
        <v>44489</v>
      </c>
      <c r="T178">
        <v>222</v>
      </c>
      <c r="U178"/>
      <c r="V178">
        <v>1205</v>
      </c>
      <c r="W178">
        <v>405</v>
      </c>
      <c r="X178">
        <v>291</v>
      </c>
      <c r="Z178">
        <v>2</v>
      </c>
      <c r="AA178" s="120"/>
      <c r="AB178" s="120"/>
      <c r="AC178" s="120"/>
    </row>
    <row r="179" spans="1:29" s="28" customFormat="1" x14ac:dyDescent="0.25">
      <c r="A179"/>
      <c r="B179" s="11"/>
      <c r="C179" s="32"/>
      <c r="D179" s="32"/>
      <c r="E179" s="32"/>
      <c r="F179" s="32"/>
      <c r="G179" s="8" t="s">
        <v>326</v>
      </c>
      <c r="H179" s="8" t="s">
        <v>329</v>
      </c>
      <c r="I179" s="8" t="s">
        <v>328</v>
      </c>
      <c r="J179" s="8" t="s">
        <v>178</v>
      </c>
      <c r="K179" s="8">
        <v>42.941783999999998</v>
      </c>
      <c r="L179" s="8">
        <v>-98.080903000000006</v>
      </c>
      <c r="M179" s="8" t="s">
        <v>113</v>
      </c>
      <c r="N179" s="10">
        <v>20211916</v>
      </c>
      <c r="O179" s="11" t="s">
        <v>54</v>
      </c>
      <c r="P179" s="11" t="s">
        <v>55</v>
      </c>
      <c r="Q179" s="12">
        <v>329</v>
      </c>
      <c r="R179" s="13">
        <v>44317</v>
      </c>
      <c r="S179" s="13">
        <v>44409</v>
      </c>
      <c r="T179" s="11">
        <v>112</v>
      </c>
      <c r="U179" s="11"/>
      <c r="V179" s="11"/>
      <c r="W179" s="11"/>
      <c r="X179" s="11"/>
      <c r="Z179">
        <v>2</v>
      </c>
      <c r="AA179" s="120"/>
      <c r="AB179" s="120"/>
      <c r="AC179" s="120"/>
    </row>
    <row r="180" spans="1:29" s="28" customFormat="1" x14ac:dyDescent="0.25">
      <c r="A180"/>
      <c r="B180" s="27">
        <v>44476</v>
      </c>
      <c r="C180" s="33">
        <v>2800</v>
      </c>
      <c r="D180" s="33">
        <v>0</v>
      </c>
      <c r="E180" s="33">
        <v>2016</v>
      </c>
      <c r="F180" s="33">
        <v>4816</v>
      </c>
      <c r="G180" s="30" t="s">
        <v>326</v>
      </c>
      <c r="H180" s="30" t="s">
        <v>329</v>
      </c>
      <c r="I180" s="30" t="s">
        <v>328</v>
      </c>
      <c r="J180" s="30" t="s">
        <v>178</v>
      </c>
      <c r="K180" s="30">
        <v>42.941783999999998</v>
      </c>
      <c r="L180" s="30">
        <v>-98.080903000000006</v>
      </c>
      <c r="M180" s="30" t="s">
        <v>113</v>
      </c>
      <c r="N180" s="25">
        <v>20211916</v>
      </c>
      <c r="O180" s="24" t="s">
        <v>56</v>
      </c>
      <c r="P180" s="24" t="s">
        <v>57</v>
      </c>
      <c r="Q180" s="26">
        <v>340</v>
      </c>
      <c r="R180" s="27">
        <v>44431</v>
      </c>
      <c r="S180" s="27">
        <v>44479</v>
      </c>
      <c r="T180" s="24">
        <v>112</v>
      </c>
      <c r="U180" s="24"/>
      <c r="V180" s="24">
        <v>829</v>
      </c>
      <c r="W180" s="24">
        <v>289</v>
      </c>
      <c r="X180" s="24">
        <v>216</v>
      </c>
      <c r="Z180">
        <v>2</v>
      </c>
      <c r="AA180" s="120"/>
      <c r="AB180" s="120"/>
      <c r="AC180" s="120"/>
    </row>
    <row r="181" spans="1:29" s="28" customFormat="1" x14ac:dyDescent="0.25">
      <c r="A181"/>
      <c r="B181"/>
      <c r="C181" s="31"/>
      <c r="D181" s="31"/>
      <c r="E181" s="31"/>
      <c r="F181" s="31"/>
      <c r="G181" s="20" t="s">
        <v>330</v>
      </c>
      <c r="H181" s="20" t="s">
        <v>331</v>
      </c>
      <c r="I181" s="20" t="s">
        <v>332</v>
      </c>
      <c r="J181" s="20" t="s">
        <v>333</v>
      </c>
      <c r="K181" s="20">
        <v>45.250387000000003</v>
      </c>
      <c r="L181" s="20">
        <v>-99.839172000000005</v>
      </c>
      <c r="M181" s="20" t="s">
        <v>334</v>
      </c>
      <c r="N181" s="4">
        <v>2011</v>
      </c>
      <c r="O181" t="s">
        <v>54</v>
      </c>
      <c r="P181" t="s">
        <v>55</v>
      </c>
      <c r="Q181" s="5">
        <v>329</v>
      </c>
      <c r="R181" s="1">
        <v>44774</v>
      </c>
      <c r="S181" s="1">
        <v>44803</v>
      </c>
      <c r="T181">
        <v>308</v>
      </c>
      <c r="U181"/>
      <c r="V181">
        <v>295</v>
      </c>
      <c r="W181">
        <v>65</v>
      </c>
      <c r="X181">
        <v>44</v>
      </c>
      <c r="Z181">
        <v>2</v>
      </c>
      <c r="AA181" s="120"/>
      <c r="AB181" s="120"/>
      <c r="AC181" s="120"/>
    </row>
    <row r="182" spans="1:29" s="28" customFormat="1" x14ac:dyDescent="0.25">
      <c r="A182"/>
      <c r="B182" s="72">
        <v>44925</v>
      </c>
      <c r="C182" s="67">
        <v>4000</v>
      </c>
      <c r="D182" s="67">
        <v>0</v>
      </c>
      <c r="E182" s="67">
        <v>7806.87</v>
      </c>
      <c r="F182" s="67">
        <v>11806.87</v>
      </c>
      <c r="G182" s="68" t="s">
        <v>330</v>
      </c>
      <c r="H182" s="68" t="s">
        <v>331</v>
      </c>
      <c r="I182" s="68" t="s">
        <v>332</v>
      </c>
      <c r="J182" s="68" t="s">
        <v>333</v>
      </c>
      <c r="K182" s="68">
        <v>45.250387000000003</v>
      </c>
      <c r="L182" s="68">
        <v>-99.839172000000005</v>
      </c>
      <c r="M182" s="68" t="s">
        <v>334</v>
      </c>
      <c r="N182" s="70">
        <v>2011</v>
      </c>
      <c r="O182" s="66" t="s">
        <v>56</v>
      </c>
      <c r="P182" s="66" t="s">
        <v>57</v>
      </c>
      <c r="Q182" s="71">
        <v>340</v>
      </c>
      <c r="R182" s="72">
        <v>44774</v>
      </c>
      <c r="S182" s="72">
        <v>44798</v>
      </c>
      <c r="T182" s="66">
        <v>308</v>
      </c>
      <c r="U182" s="66"/>
      <c r="V182" s="66">
        <v>717.1</v>
      </c>
      <c r="W182" s="66">
        <v>242.7</v>
      </c>
      <c r="X182" s="66">
        <v>172.6</v>
      </c>
      <c r="Z182">
        <v>2</v>
      </c>
      <c r="AA182" s="120"/>
      <c r="AB182" s="120"/>
      <c r="AC182" s="120"/>
    </row>
    <row r="183" spans="1:29" s="28" customFormat="1" x14ac:dyDescent="0.25">
      <c r="A183"/>
      <c r="B183"/>
      <c r="C183" s="31"/>
      <c r="D183" s="31"/>
      <c r="E183" s="31"/>
      <c r="F183" s="31"/>
      <c r="G183" s="20" t="s">
        <v>330</v>
      </c>
      <c r="H183" s="20" t="s">
        <v>335</v>
      </c>
      <c r="I183" s="20" t="s">
        <v>336</v>
      </c>
      <c r="J183" s="20" t="s">
        <v>333</v>
      </c>
      <c r="K183" s="20">
        <v>45.257340999999997</v>
      </c>
      <c r="L183" s="20">
        <v>-99.838065</v>
      </c>
      <c r="M183" s="20" t="s">
        <v>334</v>
      </c>
      <c r="N183" s="4" t="s">
        <v>337</v>
      </c>
      <c r="O183" t="s">
        <v>54</v>
      </c>
      <c r="P183" t="s">
        <v>55</v>
      </c>
      <c r="Q183" s="5">
        <v>329</v>
      </c>
      <c r="R183" s="1">
        <v>45078</v>
      </c>
      <c r="S183" s="1">
        <v>45131</v>
      </c>
      <c r="T183">
        <v>155</v>
      </c>
      <c r="U183"/>
      <c r="V183">
        <v>607.70000000000005</v>
      </c>
      <c r="W183">
        <v>182.4</v>
      </c>
      <c r="X183">
        <v>129.1</v>
      </c>
      <c r="Z183">
        <v>2</v>
      </c>
      <c r="AA183" s="120"/>
      <c r="AB183" s="120"/>
      <c r="AC183" s="120"/>
    </row>
    <row r="184" spans="1:29" s="28" customFormat="1" x14ac:dyDescent="0.25">
      <c r="A184"/>
      <c r="B184" s="11">
        <v>1575</v>
      </c>
      <c r="C184" s="32">
        <v>0</v>
      </c>
      <c r="D184" s="32">
        <v>3896.25</v>
      </c>
      <c r="E184" s="32">
        <v>5471.25</v>
      </c>
      <c r="F184" s="32"/>
      <c r="G184" s="8" t="s">
        <v>330</v>
      </c>
      <c r="H184" s="8" t="s">
        <v>335</v>
      </c>
      <c r="I184" s="8" t="s">
        <v>336</v>
      </c>
      <c r="J184" s="8" t="s">
        <v>333</v>
      </c>
      <c r="K184" s="8">
        <v>45.257340999999997</v>
      </c>
      <c r="L184" s="8">
        <v>-99.838065</v>
      </c>
      <c r="M184" s="8" t="s">
        <v>334</v>
      </c>
      <c r="N184" s="10" t="s">
        <v>337</v>
      </c>
      <c r="O184" s="11" t="s">
        <v>56</v>
      </c>
      <c r="P184" s="11" t="s">
        <v>57</v>
      </c>
      <c r="Q184" s="12">
        <v>340</v>
      </c>
      <c r="R184" s="13">
        <v>45131</v>
      </c>
      <c r="S184" s="13">
        <v>45133</v>
      </c>
      <c r="T184" s="11">
        <v>155</v>
      </c>
      <c r="U184" s="11"/>
      <c r="V184" s="11">
        <v>807</v>
      </c>
      <c r="W184" s="11">
        <v>273.5</v>
      </c>
      <c r="X184" s="11">
        <v>194.7</v>
      </c>
      <c r="Z184">
        <v>2</v>
      </c>
      <c r="AA184" s="120"/>
      <c r="AB184" s="120"/>
      <c r="AC184" s="120"/>
    </row>
    <row r="185" spans="1:29" s="28" customFormat="1" x14ac:dyDescent="0.25">
      <c r="A185"/>
      <c r="B185"/>
      <c r="C185" s="31"/>
      <c r="D185" s="31"/>
      <c r="E185" s="31"/>
      <c r="F185" s="31"/>
      <c r="G185" s="20" t="s">
        <v>338</v>
      </c>
      <c r="H185" s="20" t="s">
        <v>339</v>
      </c>
      <c r="I185" s="20" t="s">
        <v>340</v>
      </c>
      <c r="J185" s="20" t="s">
        <v>69</v>
      </c>
      <c r="K185" s="20">
        <v>43.474753</v>
      </c>
      <c r="L185" s="20">
        <v>-98.306946999999994</v>
      </c>
      <c r="M185" s="20" t="s">
        <v>113</v>
      </c>
      <c r="N185" s="4" t="s">
        <v>341</v>
      </c>
      <c r="O185" t="s">
        <v>54</v>
      </c>
      <c r="P185" t="s">
        <v>55</v>
      </c>
      <c r="Q185" s="5">
        <v>329</v>
      </c>
      <c r="R185" s="1">
        <v>44682</v>
      </c>
      <c r="S185" s="1">
        <v>44888</v>
      </c>
      <c r="T185">
        <v>154</v>
      </c>
      <c r="U185"/>
      <c r="V185">
        <v>339</v>
      </c>
      <c r="W185">
        <v>51</v>
      </c>
      <c r="X185">
        <v>28</v>
      </c>
      <c r="Z185">
        <v>2</v>
      </c>
      <c r="AA185" s="120"/>
      <c r="AB185" s="120"/>
      <c r="AC185" s="120"/>
    </row>
    <row r="186" spans="1:29" s="28" customFormat="1" x14ac:dyDescent="0.25">
      <c r="A186"/>
      <c r="B186" s="13">
        <v>44852</v>
      </c>
      <c r="C186" s="32">
        <v>2205.2800000000002</v>
      </c>
      <c r="D186" s="32">
        <v>3850</v>
      </c>
      <c r="E186" s="32">
        <v>6055.28</v>
      </c>
      <c r="F186" s="32"/>
      <c r="G186" s="8" t="s">
        <v>338</v>
      </c>
      <c r="H186" s="8" t="s">
        <v>339</v>
      </c>
      <c r="I186" s="8" t="s">
        <v>340</v>
      </c>
      <c r="J186" s="8" t="s">
        <v>69</v>
      </c>
      <c r="K186" s="8">
        <v>43.474753</v>
      </c>
      <c r="L186" s="8">
        <v>-98.306946999999994</v>
      </c>
      <c r="M186" s="8" t="s">
        <v>113</v>
      </c>
      <c r="N186" s="10" t="s">
        <v>341</v>
      </c>
      <c r="O186" s="11" t="s">
        <v>56</v>
      </c>
      <c r="P186" s="11" t="s">
        <v>57</v>
      </c>
      <c r="Q186" s="12">
        <v>340</v>
      </c>
      <c r="R186" s="13">
        <v>44749</v>
      </c>
      <c r="S186" s="13">
        <v>44922</v>
      </c>
      <c r="T186" s="11">
        <v>154</v>
      </c>
      <c r="U186" s="11"/>
      <c r="V186" s="11">
        <v>622</v>
      </c>
      <c r="W186" s="11">
        <v>186</v>
      </c>
      <c r="X186" s="11">
        <v>112</v>
      </c>
      <c r="Z186">
        <v>2</v>
      </c>
      <c r="AA186" s="120"/>
      <c r="AB186" s="120"/>
      <c r="AC186" s="120"/>
    </row>
    <row r="187" spans="1:29" s="28" customFormat="1" x14ac:dyDescent="0.25">
      <c r="A187"/>
      <c r="B187"/>
      <c r="C187" s="31"/>
      <c r="D187" s="31"/>
      <c r="E187" s="31"/>
      <c r="F187" s="31"/>
      <c r="G187" s="20" t="s">
        <v>338</v>
      </c>
      <c r="H187" s="20" t="s">
        <v>342</v>
      </c>
      <c r="I187" s="20" t="s">
        <v>340</v>
      </c>
      <c r="J187" s="20" t="s">
        <v>69</v>
      </c>
      <c r="K187" s="20">
        <v>43.490566999999999</v>
      </c>
      <c r="L187" s="20">
        <v>-98.267360999999994</v>
      </c>
      <c r="M187" s="20" t="s">
        <v>113</v>
      </c>
      <c r="N187" s="4" t="s">
        <v>343</v>
      </c>
      <c r="O187" t="s">
        <v>54</v>
      </c>
      <c r="P187" t="s">
        <v>55</v>
      </c>
      <c r="Q187" s="5">
        <v>329</v>
      </c>
      <c r="R187" s="1">
        <v>44682</v>
      </c>
      <c r="S187" s="1">
        <v>44890</v>
      </c>
      <c r="T187">
        <v>78</v>
      </c>
      <c r="U187"/>
      <c r="V187">
        <v>308</v>
      </c>
      <c r="W187">
        <v>90</v>
      </c>
      <c r="X187">
        <v>55</v>
      </c>
      <c r="Z187">
        <v>2</v>
      </c>
      <c r="AA187" s="120"/>
      <c r="AB187" s="120"/>
      <c r="AC187" s="120"/>
    </row>
    <row r="188" spans="1:29" s="28" customFormat="1" x14ac:dyDescent="0.25">
      <c r="A188"/>
      <c r="B188" s="13">
        <v>44852</v>
      </c>
      <c r="C188" s="32">
        <v>1170</v>
      </c>
      <c r="D188" s="32">
        <v>0</v>
      </c>
      <c r="E188" s="32">
        <v>1950</v>
      </c>
      <c r="F188" s="32">
        <v>3120</v>
      </c>
      <c r="G188" s="8" t="s">
        <v>338</v>
      </c>
      <c r="H188" s="8" t="s">
        <v>342</v>
      </c>
      <c r="I188" s="8" t="s">
        <v>340</v>
      </c>
      <c r="J188" s="8" t="s">
        <v>69</v>
      </c>
      <c r="K188" s="8">
        <v>43.490566999999999</v>
      </c>
      <c r="L188" s="8">
        <v>-98.267360999999994</v>
      </c>
      <c r="M188" s="8" t="s">
        <v>113</v>
      </c>
      <c r="N188" s="10" t="s">
        <v>343</v>
      </c>
      <c r="O188" s="11" t="s">
        <v>56</v>
      </c>
      <c r="P188" s="11" t="s">
        <v>57</v>
      </c>
      <c r="Q188" s="12">
        <v>340</v>
      </c>
      <c r="R188" s="13">
        <v>44732</v>
      </c>
      <c r="S188" s="13">
        <v>44928</v>
      </c>
      <c r="T188" s="11">
        <v>78</v>
      </c>
      <c r="U188" s="11"/>
      <c r="V188" s="11">
        <v>176</v>
      </c>
      <c r="W188" s="11">
        <v>28</v>
      </c>
      <c r="X188" s="11">
        <v>16</v>
      </c>
      <c r="Z188">
        <v>2</v>
      </c>
      <c r="AA188" s="120"/>
      <c r="AB188" s="120"/>
      <c r="AC188" s="120"/>
    </row>
    <row r="189" spans="1:29" s="28" customFormat="1" x14ac:dyDescent="0.25">
      <c r="A189"/>
      <c r="B189"/>
      <c r="C189" s="31"/>
      <c r="D189" s="31"/>
      <c r="E189" s="31"/>
      <c r="F189" s="31"/>
      <c r="G189" s="20" t="s">
        <v>344</v>
      </c>
      <c r="H189" s="20" t="s">
        <v>345</v>
      </c>
      <c r="I189" s="20" t="s">
        <v>346</v>
      </c>
      <c r="J189" s="20" t="s">
        <v>347</v>
      </c>
      <c r="K189" s="20">
        <v>45.655549999999998</v>
      </c>
      <c r="L189" s="20">
        <v>-97.453809000000007</v>
      </c>
      <c r="M189" s="20" t="s">
        <v>169</v>
      </c>
      <c r="N189" s="4" t="s">
        <v>348</v>
      </c>
      <c r="O189" t="s">
        <v>54</v>
      </c>
      <c r="P189" t="s">
        <v>55</v>
      </c>
      <c r="Q189" s="5">
        <v>329</v>
      </c>
      <c r="R189" s="1">
        <v>45111</v>
      </c>
      <c r="S189" s="1">
        <v>45119</v>
      </c>
      <c r="T189">
        <v>77.42</v>
      </c>
      <c r="U189"/>
      <c r="V189">
        <v>296.5</v>
      </c>
      <c r="W189">
        <v>83.5</v>
      </c>
      <c r="X189">
        <v>56.5</v>
      </c>
      <c r="Z189">
        <v>2</v>
      </c>
      <c r="AA189" s="120"/>
      <c r="AB189" s="120"/>
      <c r="AC189" s="120"/>
    </row>
    <row r="190" spans="1:29" s="28" customFormat="1" x14ac:dyDescent="0.25">
      <c r="A190"/>
      <c r="B190" s="13">
        <v>45154</v>
      </c>
      <c r="C190" s="32">
        <v>1950.22</v>
      </c>
      <c r="D190" s="32">
        <v>0</v>
      </c>
      <c r="E190" s="32">
        <v>1950.28</v>
      </c>
      <c r="F190" s="32">
        <v>3900.5</v>
      </c>
      <c r="G190" s="8" t="s">
        <v>344</v>
      </c>
      <c r="H190" s="8" t="s">
        <v>345</v>
      </c>
      <c r="I190" s="8" t="s">
        <v>346</v>
      </c>
      <c r="J190" s="8" t="s">
        <v>347</v>
      </c>
      <c r="K190" s="8">
        <v>45.655549999999998</v>
      </c>
      <c r="L190" s="8">
        <v>-97.453809000000007</v>
      </c>
      <c r="M190" s="8" t="s">
        <v>169</v>
      </c>
      <c r="N190" s="10" t="s">
        <v>348</v>
      </c>
      <c r="O190" s="11" t="s">
        <v>56</v>
      </c>
      <c r="P190" s="11" t="s">
        <v>57</v>
      </c>
      <c r="Q190" s="12">
        <v>340</v>
      </c>
      <c r="R190" s="13">
        <v>45139</v>
      </c>
      <c r="S190" s="13">
        <v>45146</v>
      </c>
      <c r="T190" s="11">
        <v>77.42</v>
      </c>
      <c r="U190" s="11"/>
      <c r="V190" s="11">
        <v>438</v>
      </c>
      <c r="W190" s="11">
        <v>138.19999999999999</v>
      </c>
      <c r="X190" s="11">
        <v>94.7</v>
      </c>
      <c r="Z190">
        <v>2</v>
      </c>
      <c r="AA190" s="120"/>
      <c r="AB190" s="120"/>
      <c r="AC190" s="120"/>
    </row>
    <row r="191" spans="1:29" s="28" customFormat="1" x14ac:dyDescent="0.25">
      <c r="A191"/>
      <c r="B191"/>
      <c r="C191" s="31"/>
      <c r="D191" s="31"/>
      <c r="E191" s="31"/>
      <c r="F191" s="31"/>
      <c r="G191" s="20" t="s">
        <v>344</v>
      </c>
      <c r="H191" s="20" t="s">
        <v>349</v>
      </c>
      <c r="I191" s="20" t="s">
        <v>346</v>
      </c>
      <c r="J191" s="20" t="s">
        <v>347</v>
      </c>
      <c r="K191" s="20">
        <v>45.613238000000003</v>
      </c>
      <c r="L191" s="20">
        <v>-97.446682999999993</v>
      </c>
      <c r="M191" s="20" t="s">
        <v>169</v>
      </c>
      <c r="N191" s="4" t="s">
        <v>350</v>
      </c>
      <c r="O191" t="s">
        <v>54</v>
      </c>
      <c r="P191" t="s">
        <v>55</v>
      </c>
      <c r="Q191" s="5">
        <v>329</v>
      </c>
      <c r="R191" s="1">
        <v>45145</v>
      </c>
      <c r="S191" s="1">
        <v>45146</v>
      </c>
      <c r="T191">
        <v>94.1</v>
      </c>
      <c r="U191"/>
      <c r="V191">
        <v>206.5</v>
      </c>
      <c r="W191">
        <v>40</v>
      </c>
      <c r="X191">
        <v>25.8</v>
      </c>
      <c r="Z191">
        <v>2</v>
      </c>
      <c r="AA191" s="120"/>
      <c r="AB191" s="120"/>
      <c r="AC191" s="120"/>
    </row>
    <row r="192" spans="1:29" s="28" customFormat="1" x14ac:dyDescent="0.25">
      <c r="A192"/>
      <c r="B192" s="13">
        <v>45154</v>
      </c>
      <c r="C192" s="32">
        <v>2352.5</v>
      </c>
      <c r="D192" s="32">
        <v>0</v>
      </c>
      <c r="E192" s="32">
        <v>3500.52</v>
      </c>
      <c r="F192" s="32">
        <v>5853.02</v>
      </c>
      <c r="G192" s="8" t="s">
        <v>344</v>
      </c>
      <c r="H192" s="8" t="s">
        <v>349</v>
      </c>
      <c r="I192" s="8" t="s">
        <v>346</v>
      </c>
      <c r="J192" s="8" t="s">
        <v>347</v>
      </c>
      <c r="K192" s="8">
        <v>45.613238000000003</v>
      </c>
      <c r="L192" s="8">
        <v>-97.446682999999993</v>
      </c>
      <c r="M192" s="8" t="s">
        <v>169</v>
      </c>
      <c r="N192" s="10" t="s">
        <v>350</v>
      </c>
      <c r="O192" s="11" t="s">
        <v>56</v>
      </c>
      <c r="P192" s="11" t="s">
        <v>57</v>
      </c>
      <c r="Q192" s="12">
        <v>340</v>
      </c>
      <c r="R192" s="13">
        <v>45145</v>
      </c>
      <c r="S192" s="13">
        <v>45148</v>
      </c>
      <c r="T192" s="11">
        <v>94.1</v>
      </c>
      <c r="U192" s="11"/>
      <c r="V192" s="11">
        <v>456.4</v>
      </c>
      <c r="W192" s="11">
        <v>148.80000000000001</v>
      </c>
      <c r="X192" s="11">
        <v>101.1</v>
      </c>
      <c r="Z192">
        <v>2</v>
      </c>
      <c r="AA192" s="120"/>
      <c r="AB192" s="120"/>
      <c r="AC192" s="120"/>
    </row>
    <row r="193" spans="1:29" s="28" customFormat="1" x14ac:dyDescent="0.25">
      <c r="A193"/>
      <c r="B193"/>
      <c r="C193" s="31"/>
      <c r="D193" s="31"/>
      <c r="E193" s="31"/>
      <c r="F193" s="31"/>
      <c r="G193" s="20" t="s">
        <v>344</v>
      </c>
      <c r="H193" s="20" t="s">
        <v>69</v>
      </c>
      <c r="I193" s="20" t="s">
        <v>351</v>
      </c>
      <c r="J193" s="20" t="s">
        <v>347</v>
      </c>
      <c r="K193" s="20">
        <v>45.601360999999997</v>
      </c>
      <c r="L193" s="20">
        <v>-97.399608000000001</v>
      </c>
      <c r="M193" s="20" t="s">
        <v>169</v>
      </c>
      <c r="N193" s="4">
        <v>2002</v>
      </c>
      <c r="O193" t="s">
        <v>54</v>
      </c>
      <c r="P193" t="s">
        <v>55</v>
      </c>
      <c r="Q193" s="5">
        <v>329</v>
      </c>
      <c r="R193" s="1">
        <v>44852</v>
      </c>
      <c r="S193" s="1">
        <v>45083</v>
      </c>
      <c r="T193">
        <v>151</v>
      </c>
      <c r="U193"/>
      <c r="V193">
        <v>323.8</v>
      </c>
      <c r="W193">
        <v>61.2</v>
      </c>
      <c r="X193">
        <v>39.1</v>
      </c>
      <c r="Z193">
        <v>2</v>
      </c>
      <c r="AA193" s="120"/>
      <c r="AB193" s="120"/>
      <c r="AC193" s="120"/>
    </row>
    <row r="194" spans="1:29" s="28" customFormat="1" x14ac:dyDescent="0.25">
      <c r="A194"/>
      <c r="B194" s="13">
        <v>44826</v>
      </c>
      <c r="C194" s="32">
        <v>0</v>
      </c>
      <c r="D194" s="32">
        <v>0</v>
      </c>
      <c r="E194" s="32">
        <v>8395.1299999999992</v>
      </c>
      <c r="F194" s="32">
        <v>8395.1299999999992</v>
      </c>
      <c r="G194" s="8" t="s">
        <v>344</v>
      </c>
      <c r="H194" s="8" t="s">
        <v>69</v>
      </c>
      <c r="I194" s="8" t="s">
        <v>351</v>
      </c>
      <c r="J194" s="8" t="s">
        <v>347</v>
      </c>
      <c r="K194" s="8">
        <v>45.601360999999997</v>
      </c>
      <c r="L194" s="8">
        <v>-97.399608000000001</v>
      </c>
      <c r="M194" s="8" t="s">
        <v>169</v>
      </c>
      <c r="N194" s="10">
        <v>2002</v>
      </c>
      <c r="O194" s="11" t="s">
        <v>56</v>
      </c>
      <c r="P194" s="11" t="s">
        <v>57</v>
      </c>
      <c r="Q194" s="12">
        <v>340</v>
      </c>
      <c r="R194" s="13">
        <v>44852</v>
      </c>
      <c r="S194" s="13">
        <v>45082</v>
      </c>
      <c r="T194" s="11">
        <v>151</v>
      </c>
      <c r="U194" s="11"/>
      <c r="V194" s="11">
        <v>702.6</v>
      </c>
      <c r="W194" s="11">
        <v>227.4</v>
      </c>
      <c r="X194" s="11">
        <v>153</v>
      </c>
      <c r="Z194">
        <v>2</v>
      </c>
      <c r="AA194" s="120"/>
      <c r="AB194" s="120"/>
      <c r="AC194" s="120"/>
    </row>
    <row r="195" spans="1:29" s="28" customFormat="1" x14ac:dyDescent="0.25">
      <c r="A195"/>
      <c r="B195"/>
      <c r="C195" s="31"/>
      <c r="D195" s="31"/>
      <c r="E195" s="31"/>
      <c r="F195" s="31"/>
      <c r="G195" s="20" t="s">
        <v>352</v>
      </c>
      <c r="H195" s="20" t="s">
        <v>353</v>
      </c>
      <c r="I195" s="20" t="s">
        <v>354</v>
      </c>
      <c r="J195" s="20" t="s">
        <v>355</v>
      </c>
      <c r="K195" s="20">
        <v>43.126795000000001</v>
      </c>
      <c r="L195" s="20">
        <v>-97.492557000000005</v>
      </c>
      <c r="M195" s="20" t="s">
        <v>137</v>
      </c>
      <c r="N195" s="4" t="s">
        <v>356</v>
      </c>
      <c r="O195" t="s">
        <v>83</v>
      </c>
      <c r="P195" t="s">
        <v>84</v>
      </c>
      <c r="Q195" s="5">
        <v>328</v>
      </c>
      <c r="R195" s="1">
        <v>44682</v>
      </c>
      <c r="S195" s="1">
        <v>44841</v>
      </c>
      <c r="T195">
        <v>20</v>
      </c>
      <c r="U195"/>
      <c r="V195"/>
      <c r="W195"/>
      <c r="X195"/>
      <c r="Z195">
        <v>2</v>
      </c>
      <c r="AA195" s="120"/>
      <c r="AB195" s="120"/>
      <c r="AC195" s="120"/>
    </row>
    <row r="196" spans="1:29" s="28" customFormat="1" x14ac:dyDescent="0.25">
      <c r="A196"/>
      <c r="B196"/>
      <c r="C196" s="31"/>
      <c r="D196" s="31"/>
      <c r="E196" s="31"/>
      <c r="F196" s="31"/>
      <c r="G196" s="6" t="s">
        <v>352</v>
      </c>
      <c r="H196" s="6" t="s">
        <v>353</v>
      </c>
      <c r="I196" s="6" t="s">
        <v>354</v>
      </c>
      <c r="J196" s="6" t="s">
        <v>355</v>
      </c>
      <c r="K196" s="6">
        <v>43.126795000000001</v>
      </c>
      <c r="L196" s="6">
        <v>-97.492557000000005</v>
      </c>
      <c r="M196" s="6" t="s">
        <v>137</v>
      </c>
      <c r="N196" s="4" t="s">
        <v>356</v>
      </c>
      <c r="O196" t="s">
        <v>54</v>
      </c>
      <c r="P196" t="s">
        <v>55</v>
      </c>
      <c r="Q196" s="5">
        <v>329</v>
      </c>
      <c r="R196" s="1">
        <v>44682</v>
      </c>
      <c r="S196" s="1">
        <v>44841</v>
      </c>
      <c r="T196">
        <v>20</v>
      </c>
      <c r="U196"/>
      <c r="V196">
        <v>93</v>
      </c>
      <c r="W196">
        <v>22</v>
      </c>
      <c r="X196">
        <v>16</v>
      </c>
      <c r="Z196">
        <v>2</v>
      </c>
      <c r="AA196" s="120"/>
      <c r="AB196" s="120"/>
      <c r="AC196" s="120"/>
    </row>
    <row r="197" spans="1:29" s="28" customFormat="1" x14ac:dyDescent="0.25">
      <c r="A197"/>
      <c r="B197" s="1">
        <v>44788</v>
      </c>
      <c r="C197" s="31">
        <v>722.61</v>
      </c>
      <c r="D197" s="31">
        <v>0</v>
      </c>
      <c r="E197" s="31">
        <v>722.61</v>
      </c>
      <c r="F197" s="31">
        <v>1445.23</v>
      </c>
      <c r="G197" s="6" t="s">
        <v>352</v>
      </c>
      <c r="H197" s="6" t="s">
        <v>353</v>
      </c>
      <c r="I197" s="6" t="s">
        <v>354</v>
      </c>
      <c r="J197" s="6" t="s">
        <v>355</v>
      </c>
      <c r="K197" s="6">
        <v>43.126795000000001</v>
      </c>
      <c r="L197" s="6">
        <v>-97.492557000000005</v>
      </c>
      <c r="M197" s="6" t="s">
        <v>137</v>
      </c>
      <c r="N197" s="4" t="s">
        <v>356</v>
      </c>
      <c r="O197" t="s">
        <v>56</v>
      </c>
      <c r="P197" t="s">
        <v>57</v>
      </c>
      <c r="Q197" s="5">
        <v>340</v>
      </c>
      <c r="R197" s="1">
        <v>44762</v>
      </c>
      <c r="S197" s="1">
        <v>44932</v>
      </c>
      <c r="T197">
        <v>20</v>
      </c>
      <c r="U197"/>
      <c r="V197">
        <v>220</v>
      </c>
      <c r="W197">
        <v>75</v>
      </c>
      <c r="X197">
        <v>55</v>
      </c>
      <c r="Z197">
        <v>2</v>
      </c>
      <c r="AA197" s="120"/>
      <c r="AB197" s="120"/>
      <c r="AC197" s="120"/>
    </row>
    <row r="198" spans="1:29" s="28" customFormat="1" x14ac:dyDescent="0.25">
      <c r="A198"/>
      <c r="B198" s="11"/>
      <c r="C198" s="32"/>
      <c r="D198" s="32"/>
      <c r="E198" s="32"/>
      <c r="F198" s="32"/>
      <c r="G198" s="8" t="s">
        <v>352</v>
      </c>
      <c r="H198" s="8" t="s">
        <v>353</v>
      </c>
      <c r="I198" s="8" t="s">
        <v>354</v>
      </c>
      <c r="J198" s="8" t="s">
        <v>355</v>
      </c>
      <c r="K198" s="8">
        <v>43.126795000000001</v>
      </c>
      <c r="L198" s="8">
        <v>-97.492557000000005</v>
      </c>
      <c r="M198" s="8" t="s">
        <v>137</v>
      </c>
      <c r="N198" s="10" t="s">
        <v>356</v>
      </c>
      <c r="O198" s="11" t="s">
        <v>105</v>
      </c>
      <c r="P198" s="11" t="s">
        <v>679</v>
      </c>
      <c r="Q198" s="12">
        <v>556</v>
      </c>
      <c r="R198" s="13">
        <v>44682</v>
      </c>
      <c r="S198" s="13">
        <v>44841</v>
      </c>
      <c r="T198" s="11">
        <v>20</v>
      </c>
      <c r="U198" s="11"/>
      <c r="V198" s="11"/>
      <c r="W198" s="11"/>
      <c r="X198" s="11"/>
      <c r="Z198">
        <v>2</v>
      </c>
      <c r="AA198" s="120"/>
      <c r="AB198" s="120"/>
      <c r="AC198" s="120"/>
    </row>
    <row r="199" spans="1:29" s="28" customFormat="1" x14ac:dyDescent="0.25">
      <c r="A199"/>
      <c r="B199"/>
      <c r="C199" s="31"/>
      <c r="D199" s="31"/>
      <c r="E199" s="31"/>
      <c r="F199" s="31"/>
      <c r="G199" s="20" t="s">
        <v>357</v>
      </c>
      <c r="H199" s="20" t="s">
        <v>358</v>
      </c>
      <c r="I199" s="20" t="s">
        <v>359</v>
      </c>
      <c r="J199" s="20" t="s">
        <v>360</v>
      </c>
      <c r="K199" s="20">
        <v>45.700735000000002</v>
      </c>
      <c r="L199" s="20">
        <v>-97.865036000000003</v>
      </c>
      <c r="M199" s="20" t="s">
        <v>169</v>
      </c>
      <c r="N199" s="4">
        <v>2003</v>
      </c>
      <c r="O199" t="s">
        <v>54</v>
      </c>
      <c r="P199" t="s">
        <v>55</v>
      </c>
      <c r="Q199" s="5">
        <v>329</v>
      </c>
      <c r="R199" s="1">
        <v>44788</v>
      </c>
      <c r="S199" s="1">
        <v>44789</v>
      </c>
      <c r="T199">
        <v>676</v>
      </c>
      <c r="U199"/>
      <c r="V199">
        <v>1209.5</v>
      </c>
      <c r="W199">
        <v>181.8</v>
      </c>
      <c r="X199">
        <v>100</v>
      </c>
      <c r="Z199">
        <v>2</v>
      </c>
      <c r="AA199" s="120"/>
      <c r="AB199" s="120"/>
      <c r="AC199" s="120"/>
    </row>
    <row r="200" spans="1:29" s="28" customFormat="1" x14ac:dyDescent="0.25">
      <c r="A200"/>
      <c r="B200" s="13">
        <v>44778</v>
      </c>
      <c r="C200" s="32">
        <v>0</v>
      </c>
      <c r="D200" s="32">
        <v>1000</v>
      </c>
      <c r="E200" s="32">
        <v>18500</v>
      </c>
      <c r="F200" s="32">
        <v>22500</v>
      </c>
      <c r="G200" s="8" t="s">
        <v>357</v>
      </c>
      <c r="H200" s="8" t="s">
        <v>358</v>
      </c>
      <c r="I200" s="8" t="s">
        <v>359</v>
      </c>
      <c r="J200" s="8" t="s">
        <v>360</v>
      </c>
      <c r="K200" s="8">
        <v>45.700735000000002</v>
      </c>
      <c r="L200" s="8">
        <v>-97.865036000000003</v>
      </c>
      <c r="M200" s="8" t="s">
        <v>169</v>
      </c>
      <c r="N200" s="10">
        <v>2003</v>
      </c>
      <c r="O200" s="11" t="s">
        <v>56</v>
      </c>
      <c r="P200" s="11" t="s">
        <v>57</v>
      </c>
      <c r="Q200" s="12">
        <v>340</v>
      </c>
      <c r="R200" s="13">
        <v>44690</v>
      </c>
      <c r="S200" s="13">
        <v>44791</v>
      </c>
      <c r="T200" s="11">
        <v>1000</v>
      </c>
      <c r="U200" s="11"/>
      <c r="V200" s="11">
        <v>2206.1999999999998</v>
      </c>
      <c r="W200" s="11">
        <v>656.4</v>
      </c>
      <c r="X200" s="11">
        <v>391.5</v>
      </c>
      <c r="Z200">
        <v>2</v>
      </c>
      <c r="AA200" s="120"/>
      <c r="AB200" s="120"/>
      <c r="AC200" s="120"/>
    </row>
    <row r="201" spans="1:29" s="28" customFormat="1" x14ac:dyDescent="0.25">
      <c r="A201"/>
      <c r="B201"/>
      <c r="C201" s="31"/>
      <c r="D201" s="31"/>
      <c r="E201" s="31"/>
      <c r="F201" s="31"/>
      <c r="G201" s="20" t="s">
        <v>361</v>
      </c>
      <c r="H201" s="20" t="s">
        <v>122</v>
      </c>
      <c r="I201" s="20" t="s">
        <v>362</v>
      </c>
      <c r="J201" s="20" t="s">
        <v>222</v>
      </c>
      <c r="K201" s="20">
        <v>44.823754000000001</v>
      </c>
      <c r="L201" s="20">
        <v>-97.206113999999999</v>
      </c>
      <c r="M201" s="20" t="s">
        <v>363</v>
      </c>
      <c r="N201" s="4" t="s">
        <v>364</v>
      </c>
      <c r="O201" t="s">
        <v>83</v>
      </c>
      <c r="P201" t="s">
        <v>84</v>
      </c>
      <c r="Q201" s="5">
        <v>328</v>
      </c>
      <c r="R201" s="1">
        <v>45108</v>
      </c>
      <c r="S201" s="1">
        <v>45146</v>
      </c>
      <c r="T201">
        <v>64</v>
      </c>
      <c r="U201"/>
      <c r="V201"/>
      <c r="W201"/>
      <c r="X201"/>
      <c r="Z201">
        <v>2</v>
      </c>
      <c r="AA201" s="120"/>
      <c r="AB201" s="120"/>
      <c r="AC201" s="120"/>
    </row>
    <row r="202" spans="1:29" s="28" customFormat="1" x14ac:dyDescent="0.25">
      <c r="A202"/>
      <c r="B202"/>
      <c r="C202" s="31"/>
      <c r="D202" s="31"/>
      <c r="E202" s="31"/>
      <c r="F202" s="31"/>
      <c r="G202" s="6" t="s">
        <v>361</v>
      </c>
      <c r="H202" s="6" t="s">
        <v>122</v>
      </c>
      <c r="I202" s="6" t="s">
        <v>362</v>
      </c>
      <c r="J202" s="6" t="s">
        <v>222</v>
      </c>
      <c r="K202" s="6">
        <v>44.823754000000001</v>
      </c>
      <c r="L202" s="6">
        <v>-97.206113999999999</v>
      </c>
      <c r="M202" s="6" t="s">
        <v>363</v>
      </c>
      <c r="N202" s="4" t="s">
        <v>364</v>
      </c>
      <c r="O202" t="s">
        <v>54</v>
      </c>
      <c r="P202" t="s">
        <v>55</v>
      </c>
      <c r="Q202" s="5">
        <v>329</v>
      </c>
      <c r="R202" s="1">
        <v>45108</v>
      </c>
      <c r="S202" s="1">
        <v>45146</v>
      </c>
      <c r="T202">
        <v>64</v>
      </c>
      <c r="U202"/>
      <c r="V202"/>
      <c r="W202"/>
      <c r="X202"/>
      <c r="Z202">
        <v>2</v>
      </c>
      <c r="AA202" s="120"/>
      <c r="AB202" s="120"/>
      <c r="AC202" s="120"/>
    </row>
    <row r="203" spans="1:29" s="28" customFormat="1" x14ac:dyDescent="0.25">
      <c r="A203"/>
      <c r="B203" s="1">
        <v>45148</v>
      </c>
      <c r="C203" s="31">
        <v>1600</v>
      </c>
      <c r="D203" s="31">
        <v>0</v>
      </c>
      <c r="E203" s="31">
        <v>1770.43</v>
      </c>
      <c r="F203" s="31">
        <v>3370.43</v>
      </c>
      <c r="G203" s="6" t="s">
        <v>361</v>
      </c>
      <c r="H203" s="6" t="s">
        <v>122</v>
      </c>
      <c r="I203" s="6" t="s">
        <v>362</v>
      </c>
      <c r="J203" s="6" t="s">
        <v>222</v>
      </c>
      <c r="K203" s="6">
        <v>44.823754000000001</v>
      </c>
      <c r="L203" s="6">
        <v>-97.206113999999999</v>
      </c>
      <c r="M203" s="6" t="s">
        <v>363</v>
      </c>
      <c r="N203" s="4" t="s">
        <v>364</v>
      </c>
      <c r="O203" t="s">
        <v>56</v>
      </c>
      <c r="P203" t="s">
        <v>57</v>
      </c>
      <c r="Q203" s="5">
        <v>340</v>
      </c>
      <c r="R203" s="1">
        <v>45135</v>
      </c>
      <c r="S203" s="1">
        <v>45148</v>
      </c>
      <c r="T203">
        <v>64</v>
      </c>
      <c r="U203"/>
      <c r="V203">
        <v>87</v>
      </c>
      <c r="W203">
        <v>26</v>
      </c>
      <c r="X203">
        <v>19</v>
      </c>
      <c r="Z203">
        <v>2</v>
      </c>
      <c r="AA203" s="120"/>
      <c r="AB203" s="120"/>
      <c r="AC203" s="120"/>
    </row>
    <row r="204" spans="1:29" s="28" customFormat="1" x14ac:dyDescent="0.25">
      <c r="A204"/>
      <c r="B204"/>
      <c r="C204" s="31"/>
      <c r="D204" s="31"/>
      <c r="E204" s="31"/>
      <c r="F204" s="31"/>
      <c r="G204" s="6" t="s">
        <v>361</v>
      </c>
      <c r="H204" s="6" t="s">
        <v>122</v>
      </c>
      <c r="I204" s="6" t="s">
        <v>362</v>
      </c>
      <c r="J204" s="6" t="s">
        <v>222</v>
      </c>
      <c r="K204" s="6">
        <v>44.823754000000001</v>
      </c>
      <c r="L204" s="6">
        <v>-97.206113999999999</v>
      </c>
      <c r="M204" s="6" t="s">
        <v>363</v>
      </c>
      <c r="N204" s="4" t="s">
        <v>364</v>
      </c>
      <c r="O204" t="s">
        <v>105</v>
      </c>
      <c r="P204" t="s">
        <v>679</v>
      </c>
      <c r="Q204" s="5">
        <v>556</v>
      </c>
      <c r="R204" s="1">
        <v>45202</v>
      </c>
      <c r="S204" s="1">
        <v>45245</v>
      </c>
      <c r="T204">
        <v>64</v>
      </c>
      <c r="U204"/>
      <c r="V204"/>
      <c r="W204"/>
      <c r="X204"/>
      <c r="Z204">
        <v>3</v>
      </c>
      <c r="AA204" s="120"/>
      <c r="AB204" s="120"/>
      <c r="AC204" s="120"/>
    </row>
    <row r="205" spans="1:29" s="28" customFormat="1" x14ac:dyDescent="0.25">
      <c r="A205"/>
      <c r="B205"/>
      <c r="C205" s="31"/>
      <c r="D205" s="31"/>
      <c r="E205" s="31"/>
      <c r="F205" s="31"/>
      <c r="G205" s="6" t="s">
        <v>361</v>
      </c>
      <c r="H205" s="6" t="s">
        <v>122</v>
      </c>
      <c r="I205" s="6" t="s">
        <v>362</v>
      </c>
      <c r="J205" s="6" t="s">
        <v>222</v>
      </c>
      <c r="K205" s="6">
        <v>44.821370000000002</v>
      </c>
      <c r="L205" s="6">
        <v>-97.202697000000001</v>
      </c>
      <c r="M205" s="6" t="s">
        <v>363</v>
      </c>
      <c r="N205" s="4" t="s">
        <v>365</v>
      </c>
      <c r="O205" t="s">
        <v>83</v>
      </c>
      <c r="P205" t="s">
        <v>84</v>
      </c>
      <c r="Q205" s="5">
        <v>328</v>
      </c>
      <c r="R205" s="1">
        <v>45717</v>
      </c>
      <c r="S205" s="1">
        <v>45756</v>
      </c>
      <c r="T205">
        <v>20</v>
      </c>
      <c r="U205"/>
      <c r="V205"/>
      <c r="W205"/>
      <c r="X205"/>
      <c r="Z205">
        <v>3</v>
      </c>
      <c r="AA205" s="120"/>
      <c r="AB205" s="120"/>
      <c r="AC205" s="120"/>
    </row>
    <row r="206" spans="1:29" s="28" customFormat="1" x14ac:dyDescent="0.25">
      <c r="A206"/>
      <c r="B206"/>
      <c r="C206" s="31"/>
      <c r="D206" s="31"/>
      <c r="E206" s="31"/>
      <c r="F206" s="31"/>
      <c r="G206" s="6" t="s">
        <v>361</v>
      </c>
      <c r="H206" s="6" t="s">
        <v>122</v>
      </c>
      <c r="I206" s="6" t="s">
        <v>362</v>
      </c>
      <c r="J206" s="6" t="s">
        <v>222</v>
      </c>
      <c r="K206" s="6">
        <v>44.821370000000002</v>
      </c>
      <c r="L206" s="6">
        <v>-97.202697000000001</v>
      </c>
      <c r="M206" s="6" t="s">
        <v>363</v>
      </c>
      <c r="N206" s="4" t="s">
        <v>365</v>
      </c>
      <c r="O206" t="s">
        <v>54</v>
      </c>
      <c r="P206" t="s">
        <v>55</v>
      </c>
      <c r="Q206" s="5">
        <v>329</v>
      </c>
      <c r="R206" s="1">
        <v>45717</v>
      </c>
      <c r="S206" s="1">
        <v>45756</v>
      </c>
      <c r="T206">
        <v>20</v>
      </c>
      <c r="U206"/>
      <c r="V206">
        <v>55</v>
      </c>
      <c r="W206">
        <v>12</v>
      </c>
      <c r="X206">
        <v>8</v>
      </c>
      <c r="Z206">
        <v>3</v>
      </c>
      <c r="AA206" s="120"/>
      <c r="AB206" s="120"/>
      <c r="AC206" s="120"/>
    </row>
    <row r="207" spans="1:29" s="28" customFormat="1" ht="14.4" thickBot="1" x14ac:dyDescent="0.3">
      <c r="A207"/>
      <c r="B207" s="91">
        <v>45736</v>
      </c>
      <c r="C207" s="93">
        <v>1350.5</v>
      </c>
      <c r="D207" s="93"/>
      <c r="E207" s="93">
        <v>1350.25</v>
      </c>
      <c r="F207" s="93">
        <v>2700.5</v>
      </c>
      <c r="G207" s="61" t="s">
        <v>361</v>
      </c>
      <c r="H207" s="61" t="s">
        <v>122</v>
      </c>
      <c r="I207" s="61" t="s">
        <v>362</v>
      </c>
      <c r="J207" s="61" t="s">
        <v>222</v>
      </c>
      <c r="K207" s="61">
        <v>44.821370000000002</v>
      </c>
      <c r="L207" s="61">
        <v>-97.202697000000001</v>
      </c>
      <c r="M207" s="61" t="s">
        <v>363</v>
      </c>
      <c r="N207" s="95" t="s">
        <v>365</v>
      </c>
      <c r="O207" s="92" t="s">
        <v>132</v>
      </c>
      <c r="P207" s="92" t="s">
        <v>133</v>
      </c>
      <c r="Q207" s="96"/>
      <c r="R207" s="91">
        <v>45721</v>
      </c>
      <c r="S207" s="91">
        <v>45743</v>
      </c>
      <c r="T207" s="92">
        <v>20</v>
      </c>
      <c r="U207" s="92"/>
      <c r="V207" s="92">
        <v>119</v>
      </c>
      <c r="W207" s="92">
        <v>39</v>
      </c>
      <c r="X207" s="92">
        <v>28</v>
      </c>
      <c r="Z207">
        <v>3</v>
      </c>
      <c r="AA207" s="120"/>
      <c r="AB207" s="120"/>
      <c r="AC207" s="120"/>
    </row>
    <row r="208" spans="1:29" s="28" customFormat="1" x14ac:dyDescent="0.25">
      <c r="A208"/>
      <c r="B208" s="58" t="s">
        <v>661</v>
      </c>
      <c r="C208" s="55"/>
      <c r="D208" s="55"/>
      <c r="E208" s="55"/>
      <c r="F208" s="55"/>
      <c r="G208" s="94" t="s">
        <v>361</v>
      </c>
      <c r="H208" s="94" t="s">
        <v>122</v>
      </c>
      <c r="I208" s="94" t="s">
        <v>362</v>
      </c>
      <c r="J208" s="94" t="s">
        <v>222</v>
      </c>
      <c r="K208" s="94">
        <v>44.823754000000001</v>
      </c>
      <c r="L208" s="94">
        <v>-97.206113999999999</v>
      </c>
      <c r="M208" s="94" t="s">
        <v>363</v>
      </c>
      <c r="N208" s="56" t="s">
        <v>662</v>
      </c>
      <c r="O208" s="54" t="s">
        <v>56</v>
      </c>
      <c r="P208" s="54" t="s">
        <v>57</v>
      </c>
      <c r="Q208" s="57">
        <v>340</v>
      </c>
      <c r="R208" s="58">
        <v>44572</v>
      </c>
      <c r="S208" s="58">
        <v>44616</v>
      </c>
      <c r="T208" s="54">
        <v>50</v>
      </c>
      <c r="U208" s="54"/>
      <c r="V208" s="122">
        <v>32</v>
      </c>
      <c r="W208" s="122">
        <v>7.36</v>
      </c>
      <c r="X208" s="122">
        <v>5.32</v>
      </c>
      <c r="Z208" s="46">
        <v>2</v>
      </c>
      <c r="AA208" s="120"/>
      <c r="AB208" s="120"/>
      <c r="AC208" s="120"/>
    </row>
    <row r="209" spans="1:29" s="53" customFormat="1" x14ac:dyDescent="0.25">
      <c r="A209" s="46"/>
      <c r="B209" s="46" t="s">
        <v>76</v>
      </c>
      <c r="C209" s="47"/>
      <c r="D209" s="47"/>
      <c r="E209" s="47"/>
      <c r="F209" s="47"/>
      <c r="G209" s="48" t="s">
        <v>366</v>
      </c>
      <c r="H209" s="48" t="s">
        <v>367</v>
      </c>
      <c r="I209" s="48" t="s">
        <v>368</v>
      </c>
      <c r="J209" s="48" t="s">
        <v>69</v>
      </c>
      <c r="K209" s="48">
        <v>43.783549999999998</v>
      </c>
      <c r="L209" s="48">
        <v>-98.135919999999999</v>
      </c>
      <c r="M209" s="48" t="s">
        <v>189</v>
      </c>
      <c r="N209" s="50" t="s">
        <v>144</v>
      </c>
      <c r="O209" s="46" t="s">
        <v>54</v>
      </c>
      <c r="P209" s="46" t="s">
        <v>55</v>
      </c>
      <c r="Q209" s="51">
        <v>329</v>
      </c>
      <c r="R209" s="52">
        <v>44287</v>
      </c>
      <c r="S209" s="52">
        <v>44409</v>
      </c>
      <c r="T209" s="46"/>
      <c r="U209" s="46" t="s">
        <v>145</v>
      </c>
      <c r="V209" s="46">
        <v>887</v>
      </c>
      <c r="W209" s="46">
        <v>109</v>
      </c>
      <c r="X209" s="46">
        <v>49</v>
      </c>
      <c r="Z209" s="46">
        <v>2</v>
      </c>
      <c r="AA209" s="120"/>
      <c r="AB209" s="120"/>
      <c r="AC209" s="120"/>
    </row>
    <row r="210" spans="1:29" s="53" customFormat="1" x14ac:dyDescent="0.25">
      <c r="A210" s="46"/>
      <c r="B210" s="80" t="s">
        <v>76</v>
      </c>
      <c r="C210" s="84"/>
      <c r="D210" s="84"/>
      <c r="E210" s="84"/>
      <c r="F210" s="84"/>
      <c r="G210" s="8" t="s">
        <v>366</v>
      </c>
      <c r="H210" s="8" t="s">
        <v>367</v>
      </c>
      <c r="I210" s="8" t="s">
        <v>368</v>
      </c>
      <c r="J210" s="8" t="s">
        <v>69</v>
      </c>
      <c r="K210" s="8">
        <v>43.783549999999998</v>
      </c>
      <c r="L210" s="8">
        <v>-98.135919999999999</v>
      </c>
      <c r="M210" s="8" t="s">
        <v>189</v>
      </c>
      <c r="N210" s="56" t="s">
        <v>144</v>
      </c>
      <c r="O210" s="54" t="s">
        <v>56</v>
      </c>
      <c r="P210" s="54" t="s">
        <v>57</v>
      </c>
      <c r="Q210" s="57">
        <v>340</v>
      </c>
      <c r="R210" s="58">
        <v>44287</v>
      </c>
      <c r="S210" s="58">
        <v>44409</v>
      </c>
      <c r="T210" s="54"/>
      <c r="U210" s="54" t="s">
        <v>145</v>
      </c>
      <c r="V210" s="54">
        <v>1405</v>
      </c>
      <c r="W210" s="54">
        <v>382</v>
      </c>
      <c r="X210" s="54">
        <v>194</v>
      </c>
      <c r="Z210" s="46">
        <v>2</v>
      </c>
      <c r="AA210" s="120"/>
      <c r="AB210" s="120"/>
      <c r="AC210" s="120"/>
    </row>
    <row r="211" spans="1:29" s="28" customFormat="1" x14ac:dyDescent="0.25">
      <c r="A211"/>
      <c r="B211"/>
      <c r="C211" s="31"/>
      <c r="D211" s="31"/>
      <c r="E211" s="31"/>
      <c r="F211" s="31"/>
      <c r="G211" s="20" t="s">
        <v>369</v>
      </c>
      <c r="H211" s="20" t="s">
        <v>370</v>
      </c>
      <c r="I211" s="20" t="s">
        <v>371</v>
      </c>
      <c r="J211" s="20" t="s">
        <v>347</v>
      </c>
      <c r="K211" s="20">
        <v>45.585132000000002</v>
      </c>
      <c r="L211" s="20">
        <v>-97.370344000000003</v>
      </c>
      <c r="M211" s="20" t="s">
        <v>169</v>
      </c>
      <c r="N211" s="4" t="s">
        <v>372</v>
      </c>
      <c r="O211" t="s">
        <v>54</v>
      </c>
      <c r="P211" t="s">
        <v>55</v>
      </c>
      <c r="Q211" s="5">
        <v>329</v>
      </c>
      <c r="R211" s="1">
        <v>45152</v>
      </c>
      <c r="S211" s="1">
        <v>45152</v>
      </c>
      <c r="T211">
        <v>183</v>
      </c>
      <c r="U211"/>
      <c r="V211">
        <v>313.5</v>
      </c>
      <c r="W211">
        <v>67.900000000000006</v>
      </c>
      <c r="X211">
        <v>46.2</v>
      </c>
      <c r="Z211">
        <v>3</v>
      </c>
      <c r="AA211" s="120"/>
      <c r="AB211" s="120"/>
      <c r="AC211" s="120"/>
    </row>
    <row r="212" spans="1:29" s="28" customFormat="1" x14ac:dyDescent="0.25">
      <c r="A212"/>
      <c r="B212" s="13">
        <v>45153</v>
      </c>
      <c r="C212" s="32">
        <v>2256</v>
      </c>
      <c r="D212" s="32">
        <v>0</v>
      </c>
      <c r="E212" s="32">
        <v>3294</v>
      </c>
      <c r="F212" s="32">
        <v>5550</v>
      </c>
      <c r="G212" s="8" t="s">
        <v>369</v>
      </c>
      <c r="H212" s="8" t="s">
        <v>370</v>
      </c>
      <c r="I212" s="8" t="s">
        <v>371</v>
      </c>
      <c r="J212" s="8" t="s">
        <v>347</v>
      </c>
      <c r="K212" s="8">
        <v>45.585132000000002</v>
      </c>
      <c r="L212" s="8">
        <v>-97.370344000000003</v>
      </c>
      <c r="M212" s="8" t="s">
        <v>169</v>
      </c>
      <c r="N212" s="10" t="s">
        <v>372</v>
      </c>
      <c r="O212" s="11" t="s">
        <v>56</v>
      </c>
      <c r="P212" s="11" t="s">
        <v>57</v>
      </c>
      <c r="Q212" s="12">
        <v>340</v>
      </c>
      <c r="R212" s="13">
        <v>45112</v>
      </c>
      <c r="S212" s="13">
        <v>45126</v>
      </c>
      <c r="T212" s="11">
        <v>183</v>
      </c>
      <c r="U212" s="11"/>
      <c r="V212" s="11">
        <v>756.8</v>
      </c>
      <c r="W212" s="11">
        <v>255.4</v>
      </c>
      <c r="X212" s="11">
        <v>181</v>
      </c>
      <c r="Z212">
        <v>2</v>
      </c>
      <c r="AA212" s="120"/>
      <c r="AB212" s="120"/>
      <c r="AC212" s="120"/>
    </row>
    <row r="213" spans="1:29" s="53" customFormat="1" x14ac:dyDescent="0.25">
      <c r="A213" s="46"/>
      <c r="B213" s="46" t="s">
        <v>76</v>
      </c>
      <c r="C213" s="47"/>
      <c r="D213" s="47"/>
      <c r="E213" s="47"/>
      <c r="F213" s="47"/>
      <c r="G213" s="48" t="s">
        <v>373</v>
      </c>
      <c r="H213" s="48" t="s">
        <v>374</v>
      </c>
      <c r="I213" s="48" t="s">
        <v>375</v>
      </c>
      <c r="J213" s="48" t="s">
        <v>376</v>
      </c>
      <c r="K213" s="48">
        <v>43.742550000000001</v>
      </c>
      <c r="L213" s="48">
        <v>-97.307012999999998</v>
      </c>
      <c r="M213" s="48" t="s">
        <v>377</v>
      </c>
      <c r="N213" s="50" t="s">
        <v>378</v>
      </c>
      <c r="O213" s="46" t="s">
        <v>54</v>
      </c>
      <c r="P213" s="46" t="s">
        <v>55</v>
      </c>
      <c r="Q213" s="51">
        <v>329</v>
      </c>
      <c r="R213" s="52">
        <v>44287</v>
      </c>
      <c r="S213" s="52">
        <v>44409</v>
      </c>
      <c r="T213" s="46"/>
      <c r="U213" s="46" t="s">
        <v>145</v>
      </c>
      <c r="V213" s="46">
        <v>650</v>
      </c>
      <c r="W213" s="46">
        <v>93</v>
      </c>
      <c r="X213" s="46">
        <v>49</v>
      </c>
      <c r="Z213" s="46">
        <v>2</v>
      </c>
      <c r="AA213" s="120"/>
      <c r="AB213" s="120"/>
      <c r="AC213" s="120"/>
    </row>
    <row r="214" spans="1:29" s="53" customFormat="1" x14ac:dyDescent="0.25">
      <c r="A214" s="46"/>
      <c r="B214" s="80" t="s">
        <v>76</v>
      </c>
      <c r="C214" s="84"/>
      <c r="D214" s="84"/>
      <c r="E214" s="84"/>
      <c r="F214" s="84"/>
      <c r="G214" s="8" t="s">
        <v>373</v>
      </c>
      <c r="H214" s="8" t="s">
        <v>374</v>
      </c>
      <c r="I214" s="8" t="s">
        <v>375</v>
      </c>
      <c r="J214" s="8" t="s">
        <v>376</v>
      </c>
      <c r="K214" s="8">
        <v>43.742550000000001</v>
      </c>
      <c r="L214" s="8">
        <v>-97.307012999999998</v>
      </c>
      <c r="M214" s="8" t="s">
        <v>377</v>
      </c>
      <c r="N214" s="56" t="s">
        <v>378</v>
      </c>
      <c r="O214" s="54" t="s">
        <v>56</v>
      </c>
      <c r="P214" s="54" t="s">
        <v>57</v>
      </c>
      <c r="Q214" s="57">
        <v>340</v>
      </c>
      <c r="R214" s="58">
        <v>44287</v>
      </c>
      <c r="S214" s="58">
        <v>44385</v>
      </c>
      <c r="T214" s="54"/>
      <c r="U214" s="54" t="s">
        <v>145</v>
      </c>
      <c r="V214" s="54">
        <v>501</v>
      </c>
      <c r="W214" s="54">
        <v>157</v>
      </c>
      <c r="X214" s="54">
        <v>101</v>
      </c>
      <c r="Z214" s="46">
        <v>2</v>
      </c>
      <c r="AA214" s="120"/>
      <c r="AB214" s="120"/>
      <c r="AC214" s="120"/>
    </row>
    <row r="215" spans="1:29" s="28" customFormat="1" x14ac:dyDescent="0.25">
      <c r="A215"/>
      <c r="B215" s="1">
        <v>44440</v>
      </c>
      <c r="C215" s="31">
        <v>0</v>
      </c>
      <c r="D215" s="31">
        <v>1991.71</v>
      </c>
      <c r="E215" s="31">
        <v>2754</v>
      </c>
      <c r="F215" s="31">
        <v>4745.7</v>
      </c>
      <c r="G215" s="20" t="s">
        <v>379</v>
      </c>
      <c r="H215" s="20" t="s">
        <v>380</v>
      </c>
      <c r="I215" s="20" t="s">
        <v>381</v>
      </c>
      <c r="J215" s="20" t="s">
        <v>382</v>
      </c>
      <c r="K215" s="20">
        <v>43.604491000000003</v>
      </c>
      <c r="L215" s="20">
        <v>-98.774021000000005</v>
      </c>
      <c r="M215" s="20" t="s">
        <v>383</v>
      </c>
      <c r="N215" s="4">
        <v>20211012</v>
      </c>
      <c r="O215" t="s">
        <v>56</v>
      </c>
      <c r="P215" t="s">
        <v>57</v>
      </c>
      <c r="Q215" s="5">
        <v>340</v>
      </c>
      <c r="R215" s="1">
        <v>44317</v>
      </c>
      <c r="S215" s="1">
        <v>44502</v>
      </c>
      <c r="T215"/>
      <c r="U215" t="s">
        <v>145</v>
      </c>
      <c r="V215">
        <v>88</v>
      </c>
      <c r="W215">
        <v>27</v>
      </c>
      <c r="X215">
        <v>16</v>
      </c>
      <c r="Z215">
        <v>2</v>
      </c>
      <c r="AA215" s="120"/>
      <c r="AB215" s="120"/>
      <c r="AC215" s="120"/>
    </row>
    <row r="216" spans="1:29" s="28" customFormat="1" x14ac:dyDescent="0.25">
      <c r="A216"/>
      <c r="B216" s="11"/>
      <c r="C216" s="32"/>
      <c r="D216" s="32"/>
      <c r="E216" s="32"/>
      <c r="F216" s="32"/>
      <c r="G216" s="8" t="s">
        <v>379</v>
      </c>
      <c r="H216" s="8" t="s">
        <v>380</v>
      </c>
      <c r="I216" s="8" t="s">
        <v>381</v>
      </c>
      <c r="J216" s="8" t="s">
        <v>382</v>
      </c>
      <c r="K216" s="8">
        <v>43.597665999999997</v>
      </c>
      <c r="L216" s="8">
        <v>-98.764962999999995</v>
      </c>
      <c r="M216" s="8" t="s">
        <v>383</v>
      </c>
      <c r="N216" s="10">
        <v>20211012</v>
      </c>
      <c r="O216" s="11" t="s">
        <v>56</v>
      </c>
      <c r="P216" s="11" t="s">
        <v>57</v>
      </c>
      <c r="Q216" s="12">
        <v>340</v>
      </c>
      <c r="R216" s="13">
        <v>44424</v>
      </c>
      <c r="S216" s="13">
        <v>44494</v>
      </c>
      <c r="T216" s="11"/>
      <c r="U216" s="11" t="s">
        <v>145</v>
      </c>
      <c r="V216" s="11">
        <v>195</v>
      </c>
      <c r="W216" s="11">
        <v>58</v>
      </c>
      <c r="X216" s="11">
        <v>35</v>
      </c>
      <c r="Z216">
        <v>2</v>
      </c>
      <c r="AA216" s="120"/>
      <c r="AB216" s="120"/>
      <c r="AC216" s="120"/>
    </row>
    <row r="217" spans="1:29" x14ac:dyDescent="0.25">
      <c r="B217" s="13">
        <v>44767</v>
      </c>
      <c r="C217" s="32">
        <v>0</v>
      </c>
      <c r="D217" s="32">
        <v>8307.73</v>
      </c>
      <c r="E217" s="32">
        <v>8307.73</v>
      </c>
      <c r="F217" s="32">
        <v>16615.46</v>
      </c>
      <c r="G217" s="30" t="s">
        <v>379</v>
      </c>
      <c r="H217" s="30" t="s">
        <v>126</v>
      </c>
      <c r="I217" s="30" t="s">
        <v>381</v>
      </c>
      <c r="J217" s="30" t="s">
        <v>69</v>
      </c>
      <c r="K217" s="30">
        <v>43.748218999999999</v>
      </c>
      <c r="L217" s="30">
        <v>-97.990437</v>
      </c>
      <c r="M217" s="30" t="s">
        <v>189</v>
      </c>
      <c r="N217" s="25" t="s">
        <v>384</v>
      </c>
      <c r="O217" s="24" t="s">
        <v>75</v>
      </c>
      <c r="P217" s="24" t="s">
        <v>304</v>
      </c>
      <c r="Q217" s="26">
        <v>516</v>
      </c>
      <c r="R217" s="27">
        <v>44502</v>
      </c>
      <c r="S217" s="27">
        <v>44793</v>
      </c>
      <c r="T217" s="24">
        <v>301</v>
      </c>
      <c r="U217" s="24"/>
      <c r="V217" s="24">
        <v>483.3</v>
      </c>
      <c r="W217" s="24">
        <v>67.7</v>
      </c>
      <c r="X217" s="24">
        <v>23.4</v>
      </c>
      <c r="Y217" s="28" t="s">
        <v>385</v>
      </c>
      <c r="Z217">
        <v>2</v>
      </c>
    </row>
    <row r="218" spans="1:29" s="46" customFormat="1" x14ac:dyDescent="0.25">
      <c r="B218" s="46" t="s">
        <v>76</v>
      </c>
      <c r="C218" s="47"/>
      <c r="D218" s="47"/>
      <c r="E218" s="47"/>
      <c r="F218" s="47"/>
      <c r="G218" s="48" t="s">
        <v>386</v>
      </c>
      <c r="H218" s="48" t="s">
        <v>387</v>
      </c>
      <c r="I218" s="48" t="s">
        <v>388</v>
      </c>
      <c r="J218" s="48" t="s">
        <v>291</v>
      </c>
      <c r="K218" s="48">
        <v>44.599328999999997</v>
      </c>
      <c r="L218" s="48">
        <v>-97.118268999999998</v>
      </c>
      <c r="M218" s="48" t="s">
        <v>128</v>
      </c>
      <c r="N218" s="50" t="s">
        <v>378</v>
      </c>
      <c r="O218" s="46" t="s">
        <v>83</v>
      </c>
      <c r="P218" s="46" t="s">
        <v>84</v>
      </c>
      <c r="Q218" s="51">
        <v>328</v>
      </c>
      <c r="R218" s="52">
        <v>44287</v>
      </c>
      <c r="S218" s="52">
        <v>44409</v>
      </c>
      <c r="U218" s="46" t="s">
        <v>145</v>
      </c>
      <c r="Y218" s="53"/>
      <c r="Z218" s="46">
        <v>2</v>
      </c>
      <c r="AA218" s="120"/>
      <c r="AB218" s="120"/>
      <c r="AC218" s="120"/>
    </row>
    <row r="219" spans="1:29" s="46" customFormat="1" x14ac:dyDescent="0.25">
      <c r="B219" s="38" t="s">
        <v>76</v>
      </c>
      <c r="C219" s="82"/>
      <c r="D219" s="82"/>
      <c r="E219" s="82"/>
      <c r="F219" s="82"/>
      <c r="G219" s="6" t="s">
        <v>386</v>
      </c>
      <c r="H219" s="6" t="s">
        <v>387</v>
      </c>
      <c r="I219" s="6" t="s">
        <v>388</v>
      </c>
      <c r="J219" s="6" t="s">
        <v>291</v>
      </c>
      <c r="K219" s="6">
        <v>44.599328999999997</v>
      </c>
      <c r="L219" s="6">
        <v>-97.118268999999998</v>
      </c>
      <c r="M219" s="6" t="s">
        <v>128</v>
      </c>
      <c r="N219" s="50" t="s">
        <v>378</v>
      </c>
      <c r="O219" s="46" t="s">
        <v>54</v>
      </c>
      <c r="P219" s="46" t="s">
        <v>55</v>
      </c>
      <c r="Q219" s="51">
        <v>329</v>
      </c>
      <c r="R219" s="52">
        <v>44287</v>
      </c>
      <c r="S219" s="52">
        <v>44409</v>
      </c>
      <c r="U219" s="46" t="s">
        <v>145</v>
      </c>
      <c r="V219" s="46">
        <v>363</v>
      </c>
      <c r="W219" s="46">
        <v>61</v>
      </c>
      <c r="X219" s="46">
        <v>36</v>
      </c>
      <c r="Y219" s="53"/>
      <c r="Z219" s="46">
        <v>2</v>
      </c>
      <c r="AA219" s="120"/>
      <c r="AB219" s="120"/>
      <c r="AC219" s="120"/>
    </row>
    <row r="220" spans="1:29" s="46" customFormat="1" x14ac:dyDescent="0.25">
      <c r="B220" s="39" t="s">
        <v>76</v>
      </c>
      <c r="C220" s="84"/>
      <c r="D220" s="84"/>
      <c r="E220" s="84"/>
      <c r="F220" s="84"/>
      <c r="G220" s="8" t="s">
        <v>386</v>
      </c>
      <c r="H220" s="8" t="s">
        <v>387</v>
      </c>
      <c r="I220" s="8" t="s">
        <v>388</v>
      </c>
      <c r="J220" s="8" t="s">
        <v>291</v>
      </c>
      <c r="K220" s="8">
        <v>44.599328999999997</v>
      </c>
      <c r="L220" s="8">
        <v>-97.118268999999998</v>
      </c>
      <c r="M220" s="8" t="s">
        <v>128</v>
      </c>
      <c r="N220" s="56" t="s">
        <v>378</v>
      </c>
      <c r="O220" s="54" t="s">
        <v>56</v>
      </c>
      <c r="P220" s="54" t="s">
        <v>57</v>
      </c>
      <c r="Q220" s="57">
        <v>340</v>
      </c>
      <c r="R220" s="58">
        <v>44287</v>
      </c>
      <c r="S220" s="58">
        <v>44409</v>
      </c>
      <c r="T220" s="54"/>
      <c r="U220" s="54" t="s">
        <v>145</v>
      </c>
      <c r="V220" s="54">
        <v>154</v>
      </c>
      <c r="W220" s="54">
        <v>49</v>
      </c>
      <c r="X220" s="54">
        <v>33</v>
      </c>
      <c r="Y220" s="53"/>
      <c r="Z220" s="46">
        <v>2</v>
      </c>
      <c r="AA220" s="120"/>
      <c r="AB220" s="120"/>
      <c r="AC220" s="120"/>
    </row>
    <row r="221" spans="1:29" x14ac:dyDescent="0.25">
      <c r="G221" s="20" t="s">
        <v>389</v>
      </c>
      <c r="H221" s="20" t="s">
        <v>390</v>
      </c>
      <c r="I221" s="20" t="s">
        <v>391</v>
      </c>
      <c r="J221" s="20" t="s">
        <v>257</v>
      </c>
      <c r="K221" s="20">
        <v>44.031689</v>
      </c>
      <c r="L221" s="20">
        <v>-96.724134000000006</v>
      </c>
      <c r="M221" s="20" t="s">
        <v>258</v>
      </c>
      <c r="N221" s="4" t="s">
        <v>392</v>
      </c>
      <c r="O221" t="s">
        <v>54</v>
      </c>
      <c r="P221" t="s">
        <v>55</v>
      </c>
      <c r="Q221" s="5">
        <v>329</v>
      </c>
      <c r="R221" s="1">
        <v>44682</v>
      </c>
      <c r="S221" s="1">
        <v>44875</v>
      </c>
      <c r="T221">
        <v>184</v>
      </c>
      <c r="V221">
        <v>472</v>
      </c>
      <c r="W221">
        <v>84</v>
      </c>
      <c r="X221">
        <v>52</v>
      </c>
      <c r="Z221">
        <v>2</v>
      </c>
    </row>
    <row r="222" spans="1:29" x14ac:dyDescent="0.25">
      <c r="B222" s="1">
        <v>44854</v>
      </c>
      <c r="C222" s="31">
        <v>2281</v>
      </c>
      <c r="D222" s="31">
        <v>0</v>
      </c>
      <c r="E222" s="31">
        <v>2930.2</v>
      </c>
      <c r="F222" s="31">
        <v>5211.2</v>
      </c>
      <c r="G222" s="6" t="s">
        <v>389</v>
      </c>
      <c r="H222" s="6" t="s">
        <v>390</v>
      </c>
      <c r="I222" s="6" t="s">
        <v>391</v>
      </c>
      <c r="J222" s="6" t="s">
        <v>257</v>
      </c>
      <c r="K222" s="6">
        <v>44.031689</v>
      </c>
      <c r="L222" s="6">
        <v>-96.724134000000006</v>
      </c>
      <c r="M222" s="6" t="s">
        <v>258</v>
      </c>
      <c r="N222" s="4" t="s">
        <v>392</v>
      </c>
      <c r="O222" t="s">
        <v>56</v>
      </c>
      <c r="P222" t="s">
        <v>57</v>
      </c>
      <c r="Q222" s="5">
        <v>340</v>
      </c>
      <c r="R222" s="1">
        <v>44743</v>
      </c>
      <c r="S222" s="1">
        <v>44887</v>
      </c>
      <c r="T222">
        <v>184</v>
      </c>
      <c r="V222">
        <v>900</v>
      </c>
      <c r="W222">
        <v>276</v>
      </c>
      <c r="X222">
        <v>180</v>
      </c>
      <c r="Z222">
        <v>2</v>
      </c>
    </row>
    <row r="223" spans="1:29" x14ac:dyDescent="0.25">
      <c r="B223" s="11"/>
      <c r="C223" s="32"/>
      <c r="D223" s="32"/>
      <c r="E223" s="32"/>
      <c r="F223" s="32"/>
      <c r="G223" s="8" t="s">
        <v>389</v>
      </c>
      <c r="H223" s="8" t="s">
        <v>390</v>
      </c>
      <c r="I223" s="8" t="s">
        <v>391</v>
      </c>
      <c r="J223" s="8" t="s">
        <v>257</v>
      </c>
      <c r="K223" s="8">
        <v>44.031689</v>
      </c>
      <c r="L223" s="8">
        <v>-96.724134000000006</v>
      </c>
      <c r="M223" s="8" t="s">
        <v>258</v>
      </c>
      <c r="N223" s="10" t="s">
        <v>392</v>
      </c>
      <c r="O223" s="11" t="s">
        <v>105</v>
      </c>
      <c r="P223" s="11" t="s">
        <v>679</v>
      </c>
      <c r="Q223" s="12">
        <v>556</v>
      </c>
      <c r="R223" s="13">
        <v>44682</v>
      </c>
      <c r="S223" s="13">
        <v>44875</v>
      </c>
      <c r="T223" s="11">
        <v>184</v>
      </c>
      <c r="U223" s="11"/>
      <c r="V223" s="11"/>
      <c r="W223" s="11"/>
      <c r="X223" s="11"/>
      <c r="Z223">
        <v>2</v>
      </c>
    </row>
    <row r="224" spans="1:29" x14ac:dyDescent="0.25">
      <c r="G224" s="20" t="s">
        <v>393</v>
      </c>
      <c r="H224" s="20" t="s">
        <v>195</v>
      </c>
      <c r="I224" s="20" t="s">
        <v>394</v>
      </c>
      <c r="J224" s="20" t="s">
        <v>395</v>
      </c>
      <c r="K224" s="20">
        <v>45.548445999999998</v>
      </c>
      <c r="L224" s="20">
        <v>-97.105709000000004</v>
      </c>
      <c r="M224" s="20" t="s">
        <v>396</v>
      </c>
      <c r="N224" s="4">
        <v>202210</v>
      </c>
      <c r="O224" t="s">
        <v>54</v>
      </c>
      <c r="P224" t="s">
        <v>55</v>
      </c>
      <c r="Q224" s="5">
        <v>329</v>
      </c>
      <c r="R224" s="1">
        <v>44682</v>
      </c>
      <c r="S224" s="1">
        <v>44845</v>
      </c>
      <c r="T224">
        <v>160</v>
      </c>
      <c r="V224">
        <v>301</v>
      </c>
      <c r="W224">
        <v>65</v>
      </c>
      <c r="X224">
        <v>44</v>
      </c>
      <c r="Z224">
        <v>2</v>
      </c>
    </row>
    <row r="225" spans="1:29" x14ac:dyDescent="0.25">
      <c r="B225" s="13">
        <v>44805</v>
      </c>
      <c r="C225" s="32">
        <v>4000</v>
      </c>
      <c r="D225" s="32">
        <v>0</v>
      </c>
      <c r="E225" s="32">
        <v>4109.88</v>
      </c>
      <c r="F225" s="32">
        <v>8106.88</v>
      </c>
      <c r="G225" s="8" t="s">
        <v>393</v>
      </c>
      <c r="H225" s="8" t="s">
        <v>195</v>
      </c>
      <c r="I225" s="8" t="s">
        <v>394</v>
      </c>
      <c r="J225" s="8" t="s">
        <v>395</v>
      </c>
      <c r="K225" s="8">
        <v>45.548445999999998</v>
      </c>
      <c r="L225" s="8">
        <v>-97.105709000000004</v>
      </c>
      <c r="M225" s="8" t="s">
        <v>396</v>
      </c>
      <c r="N225" s="10">
        <v>202210</v>
      </c>
      <c r="O225" s="11" t="s">
        <v>56</v>
      </c>
      <c r="P225" s="11" t="s">
        <v>57</v>
      </c>
      <c r="Q225" s="12">
        <v>340</v>
      </c>
      <c r="R225" s="13">
        <v>44652</v>
      </c>
      <c r="S225" s="13">
        <v>44823</v>
      </c>
      <c r="T225" s="11">
        <v>160</v>
      </c>
      <c r="U225" s="11"/>
      <c r="V225" s="11">
        <v>720</v>
      </c>
      <c r="W225" s="11">
        <v>242</v>
      </c>
      <c r="X225" s="11">
        <v>171</v>
      </c>
      <c r="Z225">
        <v>2</v>
      </c>
    </row>
    <row r="226" spans="1:29" x14ac:dyDescent="0.25">
      <c r="G226" s="20" t="s">
        <v>397</v>
      </c>
      <c r="H226" s="20" t="s">
        <v>398</v>
      </c>
      <c r="I226" s="20" t="s">
        <v>399</v>
      </c>
      <c r="J226" s="20" t="s">
        <v>302</v>
      </c>
      <c r="K226" s="20">
        <v>45.206733</v>
      </c>
      <c r="L226" s="20">
        <v>-96.834397999999993</v>
      </c>
      <c r="M226" s="20" t="s">
        <v>400</v>
      </c>
      <c r="N226" s="4">
        <v>202205</v>
      </c>
      <c r="O226" t="s">
        <v>54</v>
      </c>
      <c r="P226" t="s">
        <v>55</v>
      </c>
      <c r="Q226" s="5">
        <v>329</v>
      </c>
      <c r="R226" s="1">
        <v>44774</v>
      </c>
      <c r="S226" s="1">
        <v>45139</v>
      </c>
      <c r="T226">
        <v>27</v>
      </c>
      <c r="V226">
        <v>118</v>
      </c>
      <c r="W226">
        <v>39</v>
      </c>
      <c r="X226">
        <v>27</v>
      </c>
      <c r="Z226">
        <v>2</v>
      </c>
    </row>
    <row r="227" spans="1:29" x14ac:dyDescent="0.25">
      <c r="B227" s="13">
        <v>44865</v>
      </c>
      <c r="C227" s="32">
        <v>545.4</v>
      </c>
      <c r="D227" s="32">
        <v>0</v>
      </c>
      <c r="E227" s="32">
        <v>545.4</v>
      </c>
      <c r="F227" s="32">
        <v>1090.8</v>
      </c>
      <c r="G227" s="8" t="s">
        <v>397</v>
      </c>
      <c r="H227" s="8" t="s">
        <v>398</v>
      </c>
      <c r="I227" s="8" t="s">
        <v>399</v>
      </c>
      <c r="J227" s="8" t="s">
        <v>302</v>
      </c>
      <c r="K227" s="8">
        <v>45.206733</v>
      </c>
      <c r="L227" s="8">
        <v>-96.834397999999993</v>
      </c>
      <c r="M227" s="8" t="s">
        <v>400</v>
      </c>
      <c r="N227" s="10">
        <v>202205</v>
      </c>
      <c r="O227" s="11" t="s">
        <v>56</v>
      </c>
      <c r="P227" s="11" t="s">
        <v>57</v>
      </c>
      <c r="Q227" s="12">
        <v>340</v>
      </c>
      <c r="R227" s="13">
        <v>44718</v>
      </c>
      <c r="S227" s="13">
        <v>44885</v>
      </c>
      <c r="T227" s="11">
        <v>27</v>
      </c>
      <c r="U227" s="11"/>
      <c r="V227" s="11">
        <v>54</v>
      </c>
      <c r="W227" s="11">
        <v>12</v>
      </c>
      <c r="X227" s="11">
        <v>8</v>
      </c>
      <c r="Z227">
        <v>2</v>
      </c>
    </row>
    <row r="228" spans="1:29" x14ac:dyDescent="0.25">
      <c r="G228" s="20" t="s">
        <v>397</v>
      </c>
      <c r="H228" s="20" t="s">
        <v>401</v>
      </c>
      <c r="I228" s="20" t="s">
        <v>402</v>
      </c>
      <c r="J228" s="20" t="s">
        <v>302</v>
      </c>
      <c r="K228" s="20">
        <v>45.192798000000003</v>
      </c>
      <c r="L228" s="20">
        <v>-96.825912000000002</v>
      </c>
      <c r="M228" s="20" t="s">
        <v>400</v>
      </c>
      <c r="N228" s="4">
        <v>2021200</v>
      </c>
      <c r="O228" t="s">
        <v>54</v>
      </c>
      <c r="P228" t="s">
        <v>55</v>
      </c>
      <c r="Q228" s="5">
        <v>329</v>
      </c>
      <c r="R228" s="1">
        <v>44440</v>
      </c>
      <c r="S228" s="1">
        <v>44498</v>
      </c>
      <c r="T228">
        <v>210</v>
      </c>
      <c r="V228">
        <v>309</v>
      </c>
      <c r="W228">
        <v>82</v>
      </c>
      <c r="X228">
        <v>52</v>
      </c>
      <c r="Z228">
        <v>2</v>
      </c>
    </row>
    <row r="229" spans="1:29" x14ac:dyDescent="0.25">
      <c r="B229" s="1">
        <v>44508</v>
      </c>
      <c r="C229" s="31">
        <v>2041.21</v>
      </c>
      <c r="D229" s="31">
        <v>0</v>
      </c>
      <c r="E229" s="31">
        <v>1360.8</v>
      </c>
      <c r="F229" s="31">
        <v>3402.01</v>
      </c>
      <c r="G229" s="6" t="s">
        <v>397</v>
      </c>
      <c r="H229" s="6" t="s">
        <v>401</v>
      </c>
      <c r="I229" s="6" t="s">
        <v>402</v>
      </c>
      <c r="J229" s="6" t="s">
        <v>302</v>
      </c>
      <c r="K229" s="6">
        <v>45.210529999999999</v>
      </c>
      <c r="L229" s="6">
        <v>-96.831704000000002</v>
      </c>
      <c r="M229" s="6" t="s">
        <v>400</v>
      </c>
      <c r="N229" s="4">
        <v>2021200</v>
      </c>
      <c r="O229" t="s">
        <v>56</v>
      </c>
      <c r="P229" t="s">
        <v>57</v>
      </c>
      <c r="Q229" s="5">
        <v>340</v>
      </c>
      <c r="R229" s="1">
        <v>44470</v>
      </c>
      <c r="S229" s="1">
        <v>44487</v>
      </c>
      <c r="T229">
        <v>187</v>
      </c>
      <c r="V229">
        <v>592</v>
      </c>
      <c r="W229">
        <v>189</v>
      </c>
      <c r="X229">
        <v>125</v>
      </c>
      <c r="Z229">
        <v>2</v>
      </c>
    </row>
    <row r="230" spans="1:29" s="28" customFormat="1" x14ac:dyDescent="0.25">
      <c r="A230"/>
      <c r="B230"/>
      <c r="C230" s="31"/>
      <c r="D230" s="31"/>
      <c r="E230" s="31"/>
      <c r="F230" s="31"/>
      <c r="G230" s="6" t="s">
        <v>397</v>
      </c>
      <c r="H230" s="6" t="s">
        <v>401</v>
      </c>
      <c r="I230" s="6" t="s">
        <v>402</v>
      </c>
      <c r="J230" s="6" t="s">
        <v>302</v>
      </c>
      <c r="K230" s="6">
        <v>45.192798000000003</v>
      </c>
      <c r="L230" s="6">
        <v>-96.825912000000002</v>
      </c>
      <c r="M230" s="6" t="s">
        <v>400</v>
      </c>
      <c r="N230" s="4">
        <v>2021200</v>
      </c>
      <c r="O230" t="s">
        <v>105</v>
      </c>
      <c r="P230" t="s">
        <v>679</v>
      </c>
      <c r="Q230" s="5">
        <v>556</v>
      </c>
      <c r="R230" s="1">
        <v>44287</v>
      </c>
      <c r="S230" s="1">
        <v>44348</v>
      </c>
      <c r="T230">
        <v>210</v>
      </c>
      <c r="U230"/>
      <c r="V230"/>
      <c r="W230"/>
      <c r="X230"/>
      <c r="Z230">
        <v>2</v>
      </c>
      <c r="AA230" s="120"/>
      <c r="AB230" s="120"/>
      <c r="AC230" s="120"/>
    </row>
    <row r="231" spans="1:29" s="28" customFormat="1" x14ac:dyDescent="0.25">
      <c r="A231"/>
      <c r="B231"/>
      <c r="C231" s="31"/>
      <c r="D231" s="31"/>
      <c r="E231" s="31"/>
      <c r="F231" s="31"/>
      <c r="G231" s="6" t="s">
        <v>397</v>
      </c>
      <c r="H231" s="6" t="s">
        <v>401</v>
      </c>
      <c r="I231" s="6" t="s">
        <v>402</v>
      </c>
      <c r="J231" s="6" t="s">
        <v>302</v>
      </c>
      <c r="K231" s="6">
        <v>45.180712</v>
      </c>
      <c r="L231" s="6">
        <v>-96.826802000000001</v>
      </c>
      <c r="M231" s="6" t="s">
        <v>400</v>
      </c>
      <c r="N231" s="4">
        <v>202201</v>
      </c>
      <c r="O231" t="s">
        <v>54</v>
      </c>
      <c r="P231" t="s">
        <v>55</v>
      </c>
      <c r="Q231" s="5">
        <v>329</v>
      </c>
      <c r="R231" s="1">
        <v>44805</v>
      </c>
      <c r="S231" s="1">
        <v>45170</v>
      </c>
      <c r="T231">
        <v>210</v>
      </c>
      <c r="U231"/>
      <c r="V231">
        <v>204</v>
      </c>
      <c r="W231">
        <v>41</v>
      </c>
      <c r="X231">
        <v>27</v>
      </c>
      <c r="Z231">
        <v>2</v>
      </c>
      <c r="AA231" s="120"/>
      <c r="AB231" s="120"/>
      <c r="AC231" s="120"/>
    </row>
    <row r="232" spans="1:29" s="28" customFormat="1" x14ac:dyDescent="0.25">
      <c r="A232"/>
      <c r="B232" s="13">
        <v>44865</v>
      </c>
      <c r="C232" s="32">
        <v>1918.99</v>
      </c>
      <c r="D232" s="32">
        <v>0</v>
      </c>
      <c r="E232" s="32">
        <v>1918.99</v>
      </c>
      <c r="F232" s="32">
        <v>3837.98</v>
      </c>
      <c r="G232" s="8" t="s">
        <v>397</v>
      </c>
      <c r="H232" s="8" t="s">
        <v>401</v>
      </c>
      <c r="I232" s="8" t="s">
        <v>402</v>
      </c>
      <c r="J232" s="8" t="s">
        <v>302</v>
      </c>
      <c r="K232" s="8">
        <v>45.180712</v>
      </c>
      <c r="L232" s="8">
        <v>-96.826802000000001</v>
      </c>
      <c r="M232" s="8" t="s">
        <v>400</v>
      </c>
      <c r="N232" s="10">
        <v>202201</v>
      </c>
      <c r="O232" s="11" t="s">
        <v>56</v>
      </c>
      <c r="P232" s="11" t="s">
        <v>57</v>
      </c>
      <c r="Q232" s="12">
        <v>340</v>
      </c>
      <c r="R232" s="13">
        <v>44805</v>
      </c>
      <c r="S232" s="13">
        <v>45170</v>
      </c>
      <c r="T232" s="11">
        <v>187</v>
      </c>
      <c r="U232" s="11"/>
      <c r="V232" s="11">
        <v>461</v>
      </c>
      <c r="W232" s="11">
        <v>152</v>
      </c>
      <c r="X232" s="11">
        <v>27</v>
      </c>
      <c r="Z232">
        <v>2</v>
      </c>
      <c r="AA232" s="120"/>
      <c r="AB232" s="120"/>
      <c r="AC232" s="120"/>
    </row>
    <row r="233" spans="1:29" s="28" customFormat="1" x14ac:dyDescent="0.25">
      <c r="A233"/>
      <c r="B233"/>
      <c r="C233" s="31"/>
      <c r="D233" s="31"/>
      <c r="E233" s="31"/>
      <c r="F233" s="31"/>
      <c r="G233" s="20" t="s">
        <v>397</v>
      </c>
      <c r="H233" s="20" t="s">
        <v>403</v>
      </c>
      <c r="I233" s="20" t="s">
        <v>404</v>
      </c>
      <c r="J233" s="20" t="s">
        <v>274</v>
      </c>
      <c r="K233" s="20">
        <v>45.191873999999999</v>
      </c>
      <c r="L233" s="20">
        <v>-96.827167000000003</v>
      </c>
      <c r="M233" s="20" t="s">
        <v>400</v>
      </c>
      <c r="N233" s="4" t="s">
        <v>240</v>
      </c>
      <c r="O233" t="s">
        <v>54</v>
      </c>
      <c r="P233" t="s">
        <v>55</v>
      </c>
      <c r="Q233" s="5">
        <v>329</v>
      </c>
      <c r="R233" s="1">
        <v>45017</v>
      </c>
      <c r="S233" s="1">
        <v>45383</v>
      </c>
      <c r="T233">
        <v>101</v>
      </c>
      <c r="U233"/>
      <c r="V233"/>
      <c r="W233"/>
      <c r="X233"/>
      <c r="Z233">
        <v>2</v>
      </c>
      <c r="AA233" s="120"/>
      <c r="AB233" s="120"/>
      <c r="AC233" s="120"/>
    </row>
    <row r="234" spans="1:29" s="28" customFormat="1" x14ac:dyDescent="0.25">
      <c r="A234"/>
      <c r="B234" s="13">
        <v>44865</v>
      </c>
      <c r="C234" s="32">
        <v>2025.42</v>
      </c>
      <c r="D234" s="32">
        <v>0</v>
      </c>
      <c r="E234" s="32">
        <v>2025.44</v>
      </c>
      <c r="F234" s="32">
        <v>4050.86</v>
      </c>
      <c r="G234" s="8" t="s">
        <v>397</v>
      </c>
      <c r="H234" s="8" t="s">
        <v>403</v>
      </c>
      <c r="I234" s="8" t="s">
        <v>404</v>
      </c>
      <c r="J234" s="8" t="s">
        <v>274</v>
      </c>
      <c r="K234" s="8">
        <v>45.175505000000001</v>
      </c>
      <c r="L234" s="8">
        <v>-96.798634000000007</v>
      </c>
      <c r="M234" s="8" t="s">
        <v>400</v>
      </c>
      <c r="N234" s="10" t="s">
        <v>240</v>
      </c>
      <c r="O234" s="11" t="s">
        <v>56</v>
      </c>
      <c r="P234" s="11" t="s">
        <v>57</v>
      </c>
      <c r="Q234" s="12">
        <v>340</v>
      </c>
      <c r="R234" s="13">
        <v>44805</v>
      </c>
      <c r="S234" s="13">
        <v>45153</v>
      </c>
      <c r="T234" s="11">
        <v>101</v>
      </c>
      <c r="U234" s="11"/>
      <c r="V234" s="11"/>
      <c r="W234" s="11"/>
      <c r="X234" s="11"/>
      <c r="Z234">
        <v>2</v>
      </c>
      <c r="AA234" s="120"/>
      <c r="AB234" s="120"/>
      <c r="AC234" s="120"/>
    </row>
    <row r="235" spans="1:29" s="28" customFormat="1" x14ac:dyDescent="0.25">
      <c r="A235"/>
      <c r="B235"/>
      <c r="C235" s="31"/>
      <c r="D235" s="31"/>
      <c r="E235" s="31"/>
      <c r="F235" s="31"/>
      <c r="G235" s="20" t="s">
        <v>405</v>
      </c>
      <c r="H235" s="20" t="s">
        <v>406</v>
      </c>
      <c r="I235" s="20" t="s">
        <v>407</v>
      </c>
      <c r="J235" s="20" t="s">
        <v>408</v>
      </c>
      <c r="K235" s="20">
        <v>45.233482000000002</v>
      </c>
      <c r="L235" s="20">
        <v>-97.999503000000004</v>
      </c>
      <c r="M235" s="20" t="s">
        <v>409</v>
      </c>
      <c r="N235" s="4">
        <v>2022001</v>
      </c>
      <c r="O235" t="s">
        <v>54</v>
      </c>
      <c r="P235" t="s">
        <v>55</v>
      </c>
      <c r="Q235" s="5">
        <v>329</v>
      </c>
      <c r="R235" s="1">
        <v>44317</v>
      </c>
      <c r="S235" s="1">
        <v>44682</v>
      </c>
      <c r="T235">
        <v>440</v>
      </c>
      <c r="U235"/>
      <c r="V235">
        <v>675</v>
      </c>
      <c r="W235">
        <v>130</v>
      </c>
      <c r="X235">
        <v>84</v>
      </c>
      <c r="Z235">
        <v>2</v>
      </c>
      <c r="AA235" s="120"/>
      <c r="AB235" s="120"/>
      <c r="AC235" s="120"/>
    </row>
    <row r="236" spans="1:29" s="28" customFormat="1" x14ac:dyDescent="0.25">
      <c r="A236"/>
      <c r="B236" s="13">
        <v>44774</v>
      </c>
      <c r="C236" s="32">
        <v>0</v>
      </c>
      <c r="D236" s="32">
        <v>4000</v>
      </c>
      <c r="E236" s="32">
        <v>14422.03</v>
      </c>
      <c r="F236" s="32">
        <v>18422.03</v>
      </c>
      <c r="G236" s="8" t="s">
        <v>405</v>
      </c>
      <c r="H236" s="8" t="s">
        <v>406</v>
      </c>
      <c r="I236" s="8" t="s">
        <v>407</v>
      </c>
      <c r="J236" s="8" t="s">
        <v>408</v>
      </c>
      <c r="K236" s="8">
        <v>45.233482000000002</v>
      </c>
      <c r="L236" s="8">
        <v>-97.999503000000004</v>
      </c>
      <c r="M236" s="8" t="s">
        <v>409</v>
      </c>
      <c r="N236" s="10">
        <v>2022001</v>
      </c>
      <c r="O236" s="11" t="s">
        <v>56</v>
      </c>
      <c r="P236" s="11" t="s">
        <v>57</v>
      </c>
      <c r="Q236" s="12">
        <v>340</v>
      </c>
      <c r="R236" s="13">
        <v>44317</v>
      </c>
      <c r="S236" s="13">
        <v>44440</v>
      </c>
      <c r="T236" s="11">
        <v>440</v>
      </c>
      <c r="U236" s="11"/>
      <c r="V236" s="11">
        <v>1486</v>
      </c>
      <c r="W236" s="11">
        <v>484</v>
      </c>
      <c r="X236" s="11">
        <v>328</v>
      </c>
      <c r="Z236">
        <v>2</v>
      </c>
      <c r="AA236" s="120"/>
      <c r="AB236" s="120"/>
      <c r="AC236" s="120"/>
    </row>
    <row r="237" spans="1:29" s="28" customFormat="1" x14ac:dyDescent="0.25">
      <c r="A237"/>
      <c r="B237"/>
      <c r="C237" s="31"/>
      <c r="D237" s="31"/>
      <c r="E237" s="31"/>
      <c r="F237" s="31"/>
      <c r="G237" s="20" t="s">
        <v>410</v>
      </c>
      <c r="H237" s="20" t="s">
        <v>331</v>
      </c>
      <c r="I237" s="20" t="s">
        <v>411</v>
      </c>
      <c r="J237" s="20" t="s">
        <v>412</v>
      </c>
      <c r="K237" s="20">
        <v>45.764279000000002</v>
      </c>
      <c r="L237" s="20">
        <v>-98.088162999999994</v>
      </c>
      <c r="M237" s="20" t="s">
        <v>169</v>
      </c>
      <c r="N237" s="4" t="s">
        <v>103</v>
      </c>
      <c r="O237" t="s">
        <v>54</v>
      </c>
      <c r="P237" t="s">
        <v>55</v>
      </c>
      <c r="Q237" s="5">
        <v>329</v>
      </c>
      <c r="R237" s="1">
        <v>45051</v>
      </c>
      <c r="S237" s="1">
        <v>45135</v>
      </c>
      <c r="T237">
        <v>170</v>
      </c>
      <c r="U237"/>
      <c r="V237"/>
      <c r="W237"/>
      <c r="X237"/>
      <c r="Z237">
        <v>2</v>
      </c>
      <c r="AA237" s="120"/>
      <c r="AB237" s="120"/>
      <c r="AC237" s="120"/>
    </row>
    <row r="238" spans="1:29" s="28" customFormat="1" x14ac:dyDescent="0.25">
      <c r="A238"/>
      <c r="B238" s="1">
        <v>45141</v>
      </c>
      <c r="C238" s="31">
        <v>4000</v>
      </c>
      <c r="D238" s="31">
        <v>0</v>
      </c>
      <c r="E238" s="31">
        <v>5060.79</v>
      </c>
      <c r="F238" s="31">
        <v>9060.7900000000009</v>
      </c>
      <c r="G238" s="6" t="s">
        <v>410</v>
      </c>
      <c r="H238" s="6" t="s">
        <v>331</v>
      </c>
      <c r="I238" s="6" t="s">
        <v>411</v>
      </c>
      <c r="J238" s="6" t="s">
        <v>412</v>
      </c>
      <c r="K238" s="6">
        <v>45.764279000000002</v>
      </c>
      <c r="L238" s="6">
        <v>-98.088162999999994</v>
      </c>
      <c r="M238" s="6" t="s">
        <v>169</v>
      </c>
      <c r="N238" s="4" t="s">
        <v>103</v>
      </c>
      <c r="O238" t="s">
        <v>56</v>
      </c>
      <c r="P238" t="s">
        <v>57</v>
      </c>
      <c r="Q238" s="5">
        <v>340</v>
      </c>
      <c r="R238" s="1">
        <v>45051</v>
      </c>
      <c r="S238" s="1">
        <v>45141</v>
      </c>
      <c r="T238">
        <v>170</v>
      </c>
      <c r="U238"/>
      <c r="V238">
        <v>431</v>
      </c>
      <c r="W238">
        <v>116</v>
      </c>
      <c r="X238">
        <v>63</v>
      </c>
      <c r="Z238">
        <v>2</v>
      </c>
      <c r="AA238" s="120"/>
      <c r="AB238" s="120"/>
      <c r="AC238" s="120"/>
    </row>
    <row r="239" spans="1:29" s="28" customFormat="1" x14ac:dyDescent="0.25">
      <c r="A239"/>
      <c r="B239" s="11"/>
      <c r="C239" s="32"/>
      <c r="D239" s="32"/>
      <c r="E239" s="32"/>
      <c r="F239" s="32"/>
      <c r="G239" s="8" t="s">
        <v>410</v>
      </c>
      <c r="H239" s="8" t="s">
        <v>331</v>
      </c>
      <c r="I239" s="8" t="s">
        <v>411</v>
      </c>
      <c r="J239" s="8" t="s">
        <v>412</v>
      </c>
      <c r="K239" s="8">
        <v>45.764279000000002</v>
      </c>
      <c r="L239" s="8">
        <v>-98.088162999999994</v>
      </c>
      <c r="M239" s="8" t="s">
        <v>169</v>
      </c>
      <c r="N239" s="10" t="s">
        <v>103</v>
      </c>
      <c r="O239" s="11" t="s">
        <v>105</v>
      </c>
      <c r="P239" s="11" t="s">
        <v>679</v>
      </c>
      <c r="Q239" s="12">
        <v>556</v>
      </c>
      <c r="R239" s="13">
        <v>45047</v>
      </c>
      <c r="S239" s="13">
        <v>45146</v>
      </c>
      <c r="T239" s="11">
        <v>170</v>
      </c>
      <c r="U239" s="11"/>
      <c r="V239" s="11"/>
      <c r="W239" s="11"/>
      <c r="X239" s="11"/>
      <c r="Z239">
        <v>2</v>
      </c>
      <c r="AA239" s="120"/>
      <c r="AB239" s="120"/>
      <c r="AC239" s="120"/>
    </row>
    <row r="240" spans="1:29" s="53" customFormat="1" x14ac:dyDescent="0.25">
      <c r="A240" s="46"/>
      <c r="B240" s="46" t="s">
        <v>76</v>
      </c>
      <c r="C240" s="47"/>
      <c r="D240" s="47"/>
      <c r="E240" s="47"/>
      <c r="F240" s="47"/>
      <c r="G240" s="48" t="s">
        <v>413</v>
      </c>
      <c r="H240" s="48" t="s">
        <v>272</v>
      </c>
      <c r="I240" s="48" t="s">
        <v>414</v>
      </c>
      <c r="J240" s="48" t="s">
        <v>415</v>
      </c>
      <c r="K240" s="48">
        <v>43.195866000000002</v>
      </c>
      <c r="L240" s="48">
        <v>-96.731522999999996</v>
      </c>
      <c r="M240" s="48" t="s">
        <v>416</v>
      </c>
      <c r="N240" s="50" t="s">
        <v>417</v>
      </c>
      <c r="O240" s="46" t="s">
        <v>54</v>
      </c>
      <c r="P240" s="46" t="s">
        <v>55</v>
      </c>
      <c r="Q240" s="51">
        <v>329</v>
      </c>
      <c r="R240" s="52">
        <v>44287</v>
      </c>
      <c r="S240" s="52">
        <v>44409</v>
      </c>
      <c r="T240" s="46"/>
      <c r="U240" s="46" t="s">
        <v>145</v>
      </c>
      <c r="V240" s="46">
        <v>239</v>
      </c>
      <c r="W240" s="46">
        <v>46</v>
      </c>
      <c r="X240" s="46">
        <v>29</v>
      </c>
      <c r="Z240" s="46">
        <v>2</v>
      </c>
      <c r="AA240" s="120"/>
      <c r="AB240" s="120"/>
      <c r="AC240" s="120"/>
    </row>
    <row r="241" spans="1:29" s="53" customFormat="1" ht="14.4" thickBot="1" x14ac:dyDescent="0.3">
      <c r="A241" s="46"/>
      <c r="B241" s="81" t="s">
        <v>76</v>
      </c>
      <c r="C241" s="81"/>
      <c r="D241" s="81"/>
      <c r="E241" s="81"/>
      <c r="F241" s="81"/>
      <c r="G241" s="61" t="s">
        <v>413</v>
      </c>
      <c r="H241" s="61" t="s">
        <v>272</v>
      </c>
      <c r="I241" s="61" t="s">
        <v>414</v>
      </c>
      <c r="J241" s="62" t="s">
        <v>415</v>
      </c>
      <c r="K241" s="61">
        <v>43.195866000000002</v>
      </c>
      <c r="L241" s="61">
        <v>-96.731522999999996</v>
      </c>
      <c r="M241" s="61" t="s">
        <v>416</v>
      </c>
      <c r="N241" s="63" t="s">
        <v>417</v>
      </c>
      <c r="O241" s="59" t="s">
        <v>56</v>
      </c>
      <c r="P241" s="59" t="s">
        <v>57</v>
      </c>
      <c r="Q241" s="64">
        <v>340</v>
      </c>
      <c r="R241" s="65">
        <v>44287</v>
      </c>
      <c r="S241" s="65">
        <v>44409</v>
      </c>
      <c r="T241" s="59"/>
      <c r="U241" s="59" t="s">
        <v>145</v>
      </c>
      <c r="V241" s="59">
        <v>523</v>
      </c>
      <c r="W241" s="59">
        <v>215</v>
      </c>
      <c r="X241" s="59">
        <v>143</v>
      </c>
      <c r="Z241" s="46">
        <v>2</v>
      </c>
      <c r="AA241" s="120"/>
      <c r="AB241" s="120"/>
      <c r="AC241" s="120"/>
    </row>
    <row r="242" spans="1:29" s="28" customFormat="1" x14ac:dyDescent="0.25">
      <c r="A242"/>
      <c r="B242"/>
      <c r="C242" s="31"/>
      <c r="D242" s="31"/>
      <c r="E242" s="31"/>
      <c r="F242" s="31"/>
      <c r="G242" s="20" t="s">
        <v>413</v>
      </c>
      <c r="H242" s="20" t="s">
        <v>272</v>
      </c>
      <c r="I242" s="20" t="s">
        <v>414</v>
      </c>
      <c r="J242" s="20" t="s">
        <v>415</v>
      </c>
      <c r="K242" s="20">
        <v>43.108694</v>
      </c>
      <c r="L242" s="20">
        <v>-96.640501999999998</v>
      </c>
      <c r="M242" s="20" t="s">
        <v>418</v>
      </c>
      <c r="N242" s="4" t="s">
        <v>419</v>
      </c>
      <c r="O242" t="s">
        <v>83</v>
      </c>
      <c r="P242" t="s">
        <v>84</v>
      </c>
      <c r="Q242" s="5">
        <v>328</v>
      </c>
      <c r="R242" s="1">
        <v>45413</v>
      </c>
      <c r="S242" s="1">
        <v>45695</v>
      </c>
      <c r="T242">
        <v>99.5</v>
      </c>
      <c r="U242"/>
      <c r="V242"/>
      <c r="W242"/>
      <c r="X242"/>
      <c r="Z242">
        <v>3</v>
      </c>
      <c r="AA242" s="120"/>
      <c r="AB242" s="120"/>
      <c r="AC242" s="120"/>
    </row>
    <row r="243" spans="1:29" s="28" customFormat="1" x14ac:dyDescent="0.25">
      <c r="A243"/>
      <c r="B243"/>
      <c r="C243" s="31"/>
      <c r="D243" s="31"/>
      <c r="E243" s="31"/>
      <c r="F243" s="31"/>
      <c r="G243" s="6" t="s">
        <v>413</v>
      </c>
      <c r="H243" s="6" t="s">
        <v>272</v>
      </c>
      <c r="I243" s="6" t="s">
        <v>414</v>
      </c>
      <c r="J243" s="6" t="s">
        <v>415</v>
      </c>
      <c r="K243" s="6">
        <v>43.108694</v>
      </c>
      <c r="L243" s="6">
        <v>-96.640501999999998</v>
      </c>
      <c r="M243" s="6" t="s">
        <v>418</v>
      </c>
      <c r="N243" s="4" t="s">
        <v>419</v>
      </c>
      <c r="O243" t="s">
        <v>54</v>
      </c>
      <c r="P243" t="s">
        <v>55</v>
      </c>
      <c r="Q243" s="5">
        <v>329</v>
      </c>
      <c r="R243" s="1">
        <v>45413</v>
      </c>
      <c r="S243" s="1">
        <v>45695</v>
      </c>
      <c r="T243">
        <v>99.5</v>
      </c>
      <c r="U243"/>
      <c r="V243">
        <v>296</v>
      </c>
      <c r="W243">
        <v>56</v>
      </c>
      <c r="X243">
        <v>36</v>
      </c>
      <c r="Z243">
        <v>3</v>
      </c>
      <c r="AA243" s="120"/>
      <c r="AB243" s="120"/>
      <c r="AC243" s="120"/>
    </row>
    <row r="244" spans="1:29" s="28" customFormat="1" x14ac:dyDescent="0.25">
      <c r="A244"/>
      <c r="B244" s="13">
        <v>45422</v>
      </c>
      <c r="C244" s="32">
        <v>7732.73</v>
      </c>
      <c r="D244" s="32"/>
      <c r="E244" s="32">
        <v>7732.73</v>
      </c>
      <c r="F244" s="32">
        <v>15465.46</v>
      </c>
      <c r="G244" s="8" t="s">
        <v>413</v>
      </c>
      <c r="H244" s="8" t="s">
        <v>272</v>
      </c>
      <c r="I244" s="8" t="s">
        <v>414</v>
      </c>
      <c r="J244" s="8" t="s">
        <v>415</v>
      </c>
      <c r="K244" s="8">
        <v>43.108694</v>
      </c>
      <c r="L244" s="8">
        <v>-96.640501999999998</v>
      </c>
      <c r="M244" s="8" t="s">
        <v>418</v>
      </c>
      <c r="N244" s="10" t="s">
        <v>419</v>
      </c>
      <c r="O244" s="11" t="s">
        <v>132</v>
      </c>
      <c r="P244" s="11" t="s">
        <v>133</v>
      </c>
      <c r="Q244" s="12"/>
      <c r="R244" s="13">
        <v>45413</v>
      </c>
      <c r="S244" s="13">
        <v>45422</v>
      </c>
      <c r="T244" s="11">
        <v>99.5</v>
      </c>
      <c r="U244" s="11"/>
      <c r="V244" s="11">
        <v>641</v>
      </c>
      <c r="W244" s="11">
        <v>207</v>
      </c>
      <c r="X244" s="11">
        <v>139</v>
      </c>
      <c r="Z244">
        <v>3</v>
      </c>
      <c r="AA244" s="120"/>
      <c r="AB244" s="120"/>
      <c r="AC244" s="120"/>
    </row>
    <row r="245" spans="1:29" s="28" customFormat="1" x14ac:dyDescent="0.25">
      <c r="A245"/>
      <c r="B245" s="46" t="s">
        <v>76</v>
      </c>
      <c r="C245" s="31"/>
      <c r="D245" s="31"/>
      <c r="E245" s="31"/>
      <c r="F245" s="31"/>
      <c r="G245" s="48" t="s">
        <v>420</v>
      </c>
      <c r="H245" s="48" t="s">
        <v>421</v>
      </c>
      <c r="I245" s="48" t="s">
        <v>422</v>
      </c>
      <c r="J245" s="48" t="s">
        <v>80</v>
      </c>
      <c r="K245" s="48">
        <v>43.831767999999997</v>
      </c>
      <c r="L245" s="48">
        <v>-96.500404000000003</v>
      </c>
      <c r="M245" s="48" t="s">
        <v>423</v>
      </c>
      <c r="N245" s="50" t="s">
        <v>129</v>
      </c>
      <c r="O245" s="46" t="s">
        <v>54</v>
      </c>
      <c r="P245" s="46" t="s">
        <v>55</v>
      </c>
      <c r="Q245" s="51">
        <v>329</v>
      </c>
      <c r="R245" s="52">
        <v>44287</v>
      </c>
      <c r="S245" s="52">
        <v>44409</v>
      </c>
      <c r="T245" s="46"/>
      <c r="U245" s="46" t="s">
        <v>145</v>
      </c>
      <c r="V245" s="46">
        <v>513</v>
      </c>
      <c r="W245" s="46">
        <v>113</v>
      </c>
      <c r="X245" s="46">
        <v>78</v>
      </c>
      <c r="Z245" s="46">
        <v>2</v>
      </c>
      <c r="AA245" s="120"/>
      <c r="AB245" s="120"/>
      <c r="AC245" s="120"/>
    </row>
    <row r="246" spans="1:29" s="28" customFormat="1" x14ac:dyDescent="0.25">
      <c r="A246"/>
      <c r="B246" s="90" t="s">
        <v>76</v>
      </c>
      <c r="C246" s="67"/>
      <c r="D246" s="67"/>
      <c r="E246" s="67"/>
      <c r="F246" s="67"/>
      <c r="G246" s="8" t="s">
        <v>420</v>
      </c>
      <c r="H246" s="8" t="s">
        <v>421</v>
      </c>
      <c r="I246" s="8" t="s">
        <v>422</v>
      </c>
      <c r="J246" s="8" t="s">
        <v>80</v>
      </c>
      <c r="K246" s="8">
        <v>43.831767999999997</v>
      </c>
      <c r="L246" s="8">
        <v>-96.500404000000003</v>
      </c>
      <c r="M246" s="8" t="s">
        <v>423</v>
      </c>
      <c r="N246" s="56" t="s">
        <v>129</v>
      </c>
      <c r="O246" s="54" t="s">
        <v>56</v>
      </c>
      <c r="P246" s="54" t="s">
        <v>57</v>
      </c>
      <c r="Q246" s="57">
        <v>340</v>
      </c>
      <c r="R246" s="58">
        <v>44287</v>
      </c>
      <c r="S246" s="58">
        <v>44409</v>
      </c>
      <c r="T246" s="54"/>
      <c r="U246" s="54" t="s">
        <v>145</v>
      </c>
      <c r="V246" s="54">
        <v>249</v>
      </c>
      <c r="W246" s="54">
        <v>104</v>
      </c>
      <c r="X246" s="54">
        <v>74</v>
      </c>
      <c r="Z246" s="46">
        <v>2</v>
      </c>
      <c r="AA246" s="120"/>
      <c r="AB246" s="120"/>
      <c r="AC246" s="120"/>
    </row>
    <row r="247" spans="1:29" s="28" customFormat="1" x14ac:dyDescent="0.25">
      <c r="A247"/>
      <c r="B247" s="1">
        <v>44493</v>
      </c>
      <c r="C247" s="31">
        <v>2179.8000000000002</v>
      </c>
      <c r="D247" s="31">
        <v>0</v>
      </c>
      <c r="E247" s="31">
        <v>3240</v>
      </c>
      <c r="F247" s="31">
        <v>5419.8</v>
      </c>
      <c r="G247" s="20" t="s">
        <v>424</v>
      </c>
      <c r="H247" s="20" t="s">
        <v>425</v>
      </c>
      <c r="I247" s="20" t="s">
        <v>426</v>
      </c>
      <c r="J247" s="20" t="s">
        <v>427</v>
      </c>
      <c r="K247" s="20">
        <v>43.821427999999997</v>
      </c>
      <c r="L247" s="20">
        <v>-97.156839000000005</v>
      </c>
      <c r="M247" s="20" t="s">
        <v>156</v>
      </c>
      <c r="N247" s="4" t="s">
        <v>428</v>
      </c>
      <c r="O247" t="s">
        <v>56</v>
      </c>
      <c r="P247" t="s">
        <v>57</v>
      </c>
      <c r="Q247" s="5">
        <v>340</v>
      </c>
      <c r="R247" s="1">
        <v>44409</v>
      </c>
      <c r="S247" s="1">
        <v>44528</v>
      </c>
      <c r="T247"/>
      <c r="U247" t="s">
        <v>145</v>
      </c>
      <c r="V247">
        <v>861</v>
      </c>
      <c r="W247">
        <v>267</v>
      </c>
      <c r="X247">
        <v>169</v>
      </c>
      <c r="Z247">
        <v>2</v>
      </c>
      <c r="AA247" s="120"/>
      <c r="AB247" s="120"/>
      <c r="AC247" s="120"/>
    </row>
    <row r="248" spans="1:29" s="28" customFormat="1" x14ac:dyDescent="0.25">
      <c r="A248"/>
      <c r="B248"/>
      <c r="C248" s="31"/>
      <c r="D248" s="31"/>
      <c r="E248" s="31"/>
      <c r="F248" s="31"/>
      <c r="G248" s="6" t="s">
        <v>424</v>
      </c>
      <c r="H248" s="6" t="s">
        <v>425</v>
      </c>
      <c r="I248" s="6" t="s">
        <v>426</v>
      </c>
      <c r="J248" s="6" t="s">
        <v>427</v>
      </c>
      <c r="K248" s="6">
        <v>43.772395000000003</v>
      </c>
      <c r="L248" s="6">
        <v>-97.474423000000002</v>
      </c>
      <c r="M248" s="6" t="s">
        <v>192</v>
      </c>
      <c r="N248" s="4" t="s">
        <v>429</v>
      </c>
      <c r="O248" t="s">
        <v>54</v>
      </c>
      <c r="P248" t="s">
        <v>55</v>
      </c>
      <c r="Q248" s="5">
        <v>329</v>
      </c>
      <c r="R248" s="1">
        <v>44682</v>
      </c>
      <c r="S248" s="1">
        <v>44872</v>
      </c>
      <c r="T248">
        <v>192</v>
      </c>
      <c r="U248" t="s">
        <v>145</v>
      </c>
      <c r="V248">
        <v>462</v>
      </c>
      <c r="W248">
        <v>77</v>
      </c>
      <c r="X248">
        <v>46</v>
      </c>
      <c r="Z248">
        <v>2</v>
      </c>
      <c r="AA248" s="120"/>
      <c r="AB248" s="120"/>
      <c r="AC248" s="120"/>
    </row>
    <row r="249" spans="1:29" s="28" customFormat="1" x14ac:dyDescent="0.25">
      <c r="A249"/>
      <c r="B249" s="1">
        <v>44751</v>
      </c>
      <c r="C249" s="31">
        <v>2416</v>
      </c>
      <c r="D249" s="31">
        <v>0</v>
      </c>
      <c r="E249" s="31">
        <v>3939.2</v>
      </c>
      <c r="F249" s="31">
        <v>6355.2</v>
      </c>
      <c r="G249" s="6" t="s">
        <v>424</v>
      </c>
      <c r="H249" s="6" t="s">
        <v>425</v>
      </c>
      <c r="I249" s="6" t="s">
        <v>426</v>
      </c>
      <c r="J249" s="6" t="s">
        <v>427</v>
      </c>
      <c r="K249" s="6">
        <v>43.772395000000003</v>
      </c>
      <c r="L249" s="6">
        <v>-97.474423000000002</v>
      </c>
      <c r="M249" s="6" t="s">
        <v>192</v>
      </c>
      <c r="N249" s="4" t="s">
        <v>429</v>
      </c>
      <c r="O249" t="s">
        <v>56</v>
      </c>
      <c r="P249" t="s">
        <v>57</v>
      </c>
      <c r="Q249" s="5">
        <v>340</v>
      </c>
      <c r="R249" s="1">
        <v>44713</v>
      </c>
      <c r="S249" s="1">
        <v>44896</v>
      </c>
      <c r="T249">
        <v>192</v>
      </c>
      <c r="U249" t="s">
        <v>145</v>
      </c>
      <c r="V249">
        <v>913</v>
      </c>
      <c r="W249">
        <v>283</v>
      </c>
      <c r="X249">
        <v>180</v>
      </c>
      <c r="Z249">
        <v>2</v>
      </c>
      <c r="AA249" s="120"/>
      <c r="AB249" s="120"/>
      <c r="AC249" s="120"/>
    </row>
    <row r="250" spans="1:29" s="28" customFormat="1" x14ac:dyDescent="0.25">
      <c r="A250"/>
      <c r="B250" s="11"/>
      <c r="C250" s="32"/>
      <c r="D250" s="32"/>
      <c r="E250" s="32"/>
      <c r="F250" s="32"/>
      <c r="G250" s="8" t="s">
        <v>424</v>
      </c>
      <c r="H250" s="8" t="s">
        <v>425</v>
      </c>
      <c r="I250" s="8" t="s">
        <v>426</v>
      </c>
      <c r="J250" s="8" t="s">
        <v>427</v>
      </c>
      <c r="K250" s="8">
        <v>43.772395000000003</v>
      </c>
      <c r="L250" s="8">
        <v>-97.474423000000002</v>
      </c>
      <c r="M250" s="8" t="s">
        <v>192</v>
      </c>
      <c r="N250" s="10" t="s">
        <v>429</v>
      </c>
      <c r="O250" s="11" t="s">
        <v>105</v>
      </c>
      <c r="P250" s="11" t="s">
        <v>679</v>
      </c>
      <c r="Q250" s="12">
        <v>556</v>
      </c>
      <c r="R250" s="13">
        <v>44896</v>
      </c>
      <c r="S250" s="13">
        <v>44925</v>
      </c>
      <c r="T250" s="11">
        <v>192</v>
      </c>
      <c r="U250" s="11" t="s">
        <v>145</v>
      </c>
      <c r="V250" s="11"/>
      <c r="W250" s="11"/>
      <c r="X250" s="11"/>
      <c r="Z250">
        <v>2</v>
      </c>
      <c r="AA250" s="120"/>
      <c r="AB250" s="120"/>
      <c r="AC250" s="120"/>
    </row>
    <row r="251" spans="1:29" s="28" customFormat="1" x14ac:dyDescent="0.25">
      <c r="A251"/>
      <c r="B251"/>
      <c r="C251" s="31"/>
      <c r="D251" s="31"/>
      <c r="E251" s="31"/>
      <c r="F251" s="31"/>
      <c r="G251" s="20" t="s">
        <v>424</v>
      </c>
      <c r="H251" s="20" t="s">
        <v>430</v>
      </c>
      <c r="I251" s="20" t="s">
        <v>431</v>
      </c>
      <c r="J251" s="20" t="s">
        <v>432</v>
      </c>
      <c r="K251" s="20">
        <v>42.896971000000001</v>
      </c>
      <c r="L251" s="20">
        <v>-97.708185</v>
      </c>
      <c r="M251" s="20" t="s">
        <v>433</v>
      </c>
      <c r="N251" s="4" t="s">
        <v>434</v>
      </c>
      <c r="O251" t="s">
        <v>83</v>
      </c>
      <c r="P251" t="s">
        <v>84</v>
      </c>
      <c r="Q251" s="5">
        <v>328</v>
      </c>
      <c r="R251" s="1">
        <v>44986</v>
      </c>
      <c r="S251" s="1">
        <v>45121</v>
      </c>
      <c r="T251">
        <v>252</v>
      </c>
      <c r="U251"/>
      <c r="V251"/>
      <c r="W251"/>
      <c r="X251"/>
      <c r="Z251">
        <v>2</v>
      </c>
      <c r="AA251" s="120"/>
      <c r="AB251" s="120"/>
      <c r="AC251" s="120"/>
    </row>
    <row r="252" spans="1:29" s="28" customFormat="1" x14ac:dyDescent="0.25">
      <c r="A252"/>
      <c r="B252"/>
      <c r="C252" s="31"/>
      <c r="D252" s="31"/>
      <c r="E252" s="31"/>
      <c r="F252" s="31"/>
      <c r="G252" s="6" t="s">
        <v>424</v>
      </c>
      <c r="H252" s="6" t="s">
        <v>430</v>
      </c>
      <c r="I252" s="6" t="s">
        <v>431</v>
      </c>
      <c r="J252" s="6" t="s">
        <v>432</v>
      </c>
      <c r="K252" s="6">
        <v>42.896971000000001</v>
      </c>
      <c r="L252" s="6">
        <v>-97.708185</v>
      </c>
      <c r="M252" s="6" t="s">
        <v>433</v>
      </c>
      <c r="N252" s="4" t="s">
        <v>434</v>
      </c>
      <c r="O252" t="s">
        <v>54</v>
      </c>
      <c r="P252" t="s">
        <v>55</v>
      </c>
      <c r="Q252" s="5">
        <v>329</v>
      </c>
      <c r="R252" s="1">
        <v>44986</v>
      </c>
      <c r="S252" s="1">
        <v>45146</v>
      </c>
      <c r="T252">
        <v>252</v>
      </c>
      <c r="U252"/>
      <c r="V252">
        <v>720</v>
      </c>
      <c r="W252">
        <v>142</v>
      </c>
      <c r="X252">
        <v>93</v>
      </c>
      <c r="Z252">
        <v>2</v>
      </c>
      <c r="AA252" s="120"/>
      <c r="AB252" s="120"/>
      <c r="AC252" s="120"/>
    </row>
    <row r="253" spans="1:29" s="28" customFormat="1" x14ac:dyDescent="0.25">
      <c r="A253"/>
      <c r="B253" s="1">
        <v>45135</v>
      </c>
      <c r="C253" s="31">
        <v>4745.6000000000004</v>
      </c>
      <c r="D253" s="31">
        <v>0</v>
      </c>
      <c r="E253" s="31">
        <v>7768.72</v>
      </c>
      <c r="F253" s="31">
        <v>12514.32</v>
      </c>
      <c r="G253" s="6" t="s">
        <v>424</v>
      </c>
      <c r="H253" s="6" t="s">
        <v>430</v>
      </c>
      <c r="I253" s="6" t="s">
        <v>431</v>
      </c>
      <c r="J253" s="6" t="s">
        <v>432</v>
      </c>
      <c r="K253" s="6">
        <v>42.896971000000001</v>
      </c>
      <c r="L253" s="6">
        <v>-97.708185</v>
      </c>
      <c r="M253" s="6" t="s">
        <v>433</v>
      </c>
      <c r="N253" s="4" t="s">
        <v>434</v>
      </c>
      <c r="O253" t="s">
        <v>56</v>
      </c>
      <c r="P253" t="s">
        <v>57</v>
      </c>
      <c r="Q253" s="5">
        <v>340</v>
      </c>
      <c r="R253" s="1">
        <v>45117</v>
      </c>
      <c r="S253" s="1">
        <v>45135</v>
      </c>
      <c r="T253">
        <v>252</v>
      </c>
      <c r="U253"/>
      <c r="V253">
        <v>1482</v>
      </c>
      <c r="W253">
        <v>473</v>
      </c>
      <c r="X253">
        <v>323</v>
      </c>
      <c r="Z253">
        <v>2</v>
      </c>
      <c r="AA253" s="120"/>
      <c r="AB253" s="120"/>
      <c r="AC253" s="120"/>
    </row>
    <row r="254" spans="1:29" s="28" customFormat="1" x14ac:dyDescent="0.25">
      <c r="A254"/>
      <c r="B254" s="1">
        <v>45063</v>
      </c>
      <c r="C254" s="31">
        <v>13473.49</v>
      </c>
      <c r="D254" s="31">
        <v>2125.5</v>
      </c>
      <c r="E254" s="31">
        <v>32809.01</v>
      </c>
      <c r="F254" s="31">
        <v>48408</v>
      </c>
      <c r="G254" s="6" t="s">
        <v>424</v>
      </c>
      <c r="H254" s="6" t="s">
        <v>430</v>
      </c>
      <c r="I254" s="6" t="s">
        <v>431</v>
      </c>
      <c r="J254" s="6" t="s">
        <v>432</v>
      </c>
      <c r="K254" s="6">
        <v>42.896971000000001</v>
      </c>
      <c r="L254" s="6">
        <v>-97.708185</v>
      </c>
      <c r="M254" s="6" t="s">
        <v>433</v>
      </c>
      <c r="N254" s="4" t="s">
        <v>434</v>
      </c>
      <c r="O254" t="s">
        <v>132</v>
      </c>
      <c r="P254" t="s">
        <v>133</v>
      </c>
      <c r="Q254" s="5"/>
      <c r="R254" s="1">
        <v>45017</v>
      </c>
      <c r="S254" s="1">
        <v>45138</v>
      </c>
      <c r="T254">
        <v>252</v>
      </c>
      <c r="U254"/>
      <c r="V254">
        <v>1320</v>
      </c>
      <c r="W254">
        <v>451</v>
      </c>
      <c r="X254">
        <v>324</v>
      </c>
      <c r="Z254">
        <v>2</v>
      </c>
      <c r="AA254" s="120"/>
      <c r="AB254" s="120"/>
      <c r="AC254" s="120"/>
    </row>
    <row r="255" spans="1:29" s="28" customFormat="1" x14ac:dyDescent="0.25">
      <c r="A255"/>
      <c r="B255"/>
      <c r="C255" s="31"/>
      <c r="D255" s="31"/>
      <c r="E255" s="31"/>
      <c r="F255" s="31"/>
      <c r="G255" s="6" t="s">
        <v>424</v>
      </c>
      <c r="H255" s="6" t="s">
        <v>430</v>
      </c>
      <c r="I255" s="6" t="s">
        <v>431</v>
      </c>
      <c r="J255" s="6" t="s">
        <v>432</v>
      </c>
      <c r="K255" s="6">
        <v>42.886735999999999</v>
      </c>
      <c r="L255" s="6">
        <v>-97.712297000000007</v>
      </c>
      <c r="M255" s="6" t="s">
        <v>433</v>
      </c>
      <c r="N255" s="4" t="s">
        <v>435</v>
      </c>
      <c r="O255" t="s">
        <v>54</v>
      </c>
      <c r="P255" t="s">
        <v>55</v>
      </c>
      <c r="Q255" s="5">
        <v>329</v>
      </c>
      <c r="R255" s="1">
        <v>45474</v>
      </c>
      <c r="S255" s="1">
        <v>45736</v>
      </c>
      <c r="T255">
        <v>180</v>
      </c>
      <c r="U255"/>
      <c r="V255">
        <v>604</v>
      </c>
      <c r="W255">
        <v>136</v>
      </c>
      <c r="X255">
        <v>94</v>
      </c>
      <c r="Z255">
        <v>3</v>
      </c>
      <c r="AA255" s="120"/>
      <c r="AB255" s="120"/>
      <c r="AC255" s="120"/>
    </row>
    <row r="256" spans="1:29" s="28" customFormat="1" x14ac:dyDescent="0.25">
      <c r="A256"/>
      <c r="B256" s="13">
        <v>45543</v>
      </c>
      <c r="C256" s="32">
        <v>0</v>
      </c>
      <c r="D256" s="32"/>
      <c r="E256" s="32">
        <v>7160</v>
      </c>
      <c r="F256" s="32">
        <v>7160</v>
      </c>
      <c r="G256" s="8" t="s">
        <v>424</v>
      </c>
      <c r="H256" s="8" t="s">
        <v>430</v>
      </c>
      <c r="I256" s="8" t="s">
        <v>431</v>
      </c>
      <c r="J256" s="8" t="s">
        <v>432</v>
      </c>
      <c r="K256" s="8">
        <v>42.886735999999999</v>
      </c>
      <c r="L256" s="8">
        <v>-97.712297000000007</v>
      </c>
      <c r="M256" s="8" t="s">
        <v>433</v>
      </c>
      <c r="N256" s="10" t="s">
        <v>435</v>
      </c>
      <c r="O256" s="11" t="s">
        <v>56</v>
      </c>
      <c r="P256" s="11" t="s">
        <v>57</v>
      </c>
      <c r="Q256" s="12">
        <v>340</v>
      </c>
      <c r="R256" s="13">
        <v>45488</v>
      </c>
      <c r="S256" s="13">
        <v>45543</v>
      </c>
      <c r="T256" s="11">
        <v>180</v>
      </c>
      <c r="U256" s="11"/>
      <c r="V256" s="11">
        <v>1502</v>
      </c>
      <c r="W256" s="11">
        <v>514</v>
      </c>
      <c r="X256" s="11">
        <v>368</v>
      </c>
      <c r="Z256">
        <v>3</v>
      </c>
      <c r="AA256" s="120"/>
      <c r="AB256" s="120"/>
      <c r="AC256" s="120"/>
    </row>
    <row r="257" spans="1:29" s="28" customFormat="1" x14ac:dyDescent="0.25">
      <c r="A257"/>
      <c r="B257"/>
      <c r="C257" s="31"/>
      <c r="D257" s="31"/>
      <c r="E257" s="31"/>
      <c r="F257" s="31"/>
      <c r="G257" s="20" t="s">
        <v>436</v>
      </c>
      <c r="H257" s="20" t="s">
        <v>437</v>
      </c>
      <c r="I257" s="20" t="s">
        <v>438</v>
      </c>
      <c r="J257" s="20" t="s">
        <v>263</v>
      </c>
      <c r="K257" s="20">
        <v>43.925998</v>
      </c>
      <c r="L257" s="20">
        <v>-97.758298999999994</v>
      </c>
      <c r="M257" s="20" t="s">
        <v>189</v>
      </c>
      <c r="N257" s="4" t="s">
        <v>439</v>
      </c>
      <c r="O257" t="s">
        <v>54</v>
      </c>
      <c r="P257" t="s">
        <v>55</v>
      </c>
      <c r="Q257" s="5">
        <v>329</v>
      </c>
      <c r="R257" s="1">
        <v>44682</v>
      </c>
      <c r="S257" s="1">
        <v>44844</v>
      </c>
      <c r="T257">
        <v>72</v>
      </c>
      <c r="U257"/>
      <c r="V257">
        <v>150</v>
      </c>
      <c r="W257">
        <v>21</v>
      </c>
      <c r="X257">
        <v>11</v>
      </c>
      <c r="Z257">
        <v>2</v>
      </c>
      <c r="AA257" s="120"/>
      <c r="AB257" s="120"/>
      <c r="AC257" s="120"/>
    </row>
    <row r="258" spans="1:29" s="28" customFormat="1" x14ac:dyDescent="0.25">
      <c r="A258"/>
      <c r="B258" s="13">
        <v>44802</v>
      </c>
      <c r="C258" s="32">
        <v>0</v>
      </c>
      <c r="D258" s="32">
        <v>959.4</v>
      </c>
      <c r="E258" s="32">
        <v>959.4</v>
      </c>
      <c r="F258" s="32">
        <v>1918.8</v>
      </c>
      <c r="G258" s="8" t="s">
        <v>436</v>
      </c>
      <c r="H258" s="8" t="s">
        <v>437</v>
      </c>
      <c r="I258" s="8" t="s">
        <v>438</v>
      </c>
      <c r="J258" s="8" t="s">
        <v>263</v>
      </c>
      <c r="K258" s="8">
        <v>43.925998</v>
      </c>
      <c r="L258" s="8">
        <v>-97.758298999999994</v>
      </c>
      <c r="M258" s="8" t="s">
        <v>189</v>
      </c>
      <c r="N258" s="10" t="s">
        <v>439</v>
      </c>
      <c r="O258" s="11" t="s">
        <v>56</v>
      </c>
      <c r="P258" s="11" t="s">
        <v>57</v>
      </c>
      <c r="Q258" s="12">
        <v>340</v>
      </c>
      <c r="R258" s="13">
        <v>44662</v>
      </c>
      <c r="S258" s="13">
        <v>44798</v>
      </c>
      <c r="T258" s="11">
        <v>72</v>
      </c>
      <c r="U258" s="11"/>
      <c r="V258" s="11">
        <v>256</v>
      </c>
      <c r="W258" s="11">
        <v>72</v>
      </c>
      <c r="X258" s="11">
        <v>41</v>
      </c>
      <c r="Z258">
        <v>2</v>
      </c>
      <c r="AA258" s="120"/>
      <c r="AB258" s="120"/>
      <c r="AC258" s="120"/>
    </row>
    <row r="259" spans="1:29" s="28" customFormat="1" x14ac:dyDescent="0.25">
      <c r="A259"/>
      <c r="B259"/>
      <c r="C259" s="31"/>
      <c r="D259" s="31"/>
      <c r="E259" s="31"/>
      <c r="F259" s="31"/>
      <c r="G259" s="20" t="s">
        <v>440</v>
      </c>
      <c r="H259" s="20" t="s">
        <v>441</v>
      </c>
      <c r="I259" s="20" t="s">
        <v>442</v>
      </c>
      <c r="J259" s="20" t="s">
        <v>200</v>
      </c>
      <c r="K259" s="20">
        <v>43.311976999999999</v>
      </c>
      <c r="L259" s="20">
        <v>-97.235207000000003</v>
      </c>
      <c r="M259" s="20" t="s">
        <v>100</v>
      </c>
      <c r="N259" s="4" t="s">
        <v>240</v>
      </c>
      <c r="O259" t="s">
        <v>54</v>
      </c>
      <c r="P259" t="s">
        <v>55</v>
      </c>
      <c r="Q259" s="5">
        <v>329</v>
      </c>
      <c r="R259" s="1">
        <v>44986</v>
      </c>
      <c r="S259" s="1">
        <v>45153</v>
      </c>
      <c r="T259">
        <v>160</v>
      </c>
      <c r="U259"/>
      <c r="V259">
        <v>384</v>
      </c>
      <c r="W259">
        <v>62</v>
      </c>
      <c r="X259">
        <v>36</v>
      </c>
      <c r="Z259">
        <v>2</v>
      </c>
      <c r="AA259" s="120"/>
      <c r="AB259" s="120"/>
      <c r="AC259" s="120"/>
    </row>
    <row r="260" spans="1:29" s="28" customFormat="1" x14ac:dyDescent="0.25">
      <c r="A260"/>
      <c r="B260"/>
      <c r="C260" s="31"/>
      <c r="D260" s="31"/>
      <c r="E260" s="31"/>
      <c r="F260" s="31"/>
      <c r="G260" s="6" t="s">
        <v>440</v>
      </c>
      <c r="H260" s="6" t="s">
        <v>441</v>
      </c>
      <c r="I260" s="6" t="s">
        <v>442</v>
      </c>
      <c r="J260" s="6" t="s">
        <v>200</v>
      </c>
      <c r="K260" s="6">
        <v>43.334135000000003</v>
      </c>
      <c r="L260" s="6">
        <v>-97.243799999999993</v>
      </c>
      <c r="M260" s="6" t="s">
        <v>100</v>
      </c>
      <c r="N260" s="4" t="s">
        <v>240</v>
      </c>
      <c r="O260" t="s">
        <v>54</v>
      </c>
      <c r="P260" t="s">
        <v>443</v>
      </c>
      <c r="Q260" s="5">
        <v>332</v>
      </c>
      <c r="R260" s="1">
        <v>44986</v>
      </c>
      <c r="S260" s="1">
        <v>45352</v>
      </c>
      <c r="T260">
        <v>160</v>
      </c>
      <c r="U260"/>
      <c r="V260"/>
      <c r="W260"/>
      <c r="X260"/>
      <c r="Z260">
        <v>2</v>
      </c>
      <c r="AA260" s="120"/>
      <c r="AB260" s="120"/>
      <c r="AC260" s="120"/>
    </row>
    <row r="261" spans="1:29" s="28" customFormat="1" x14ac:dyDescent="0.25">
      <c r="A261"/>
      <c r="B261" s="13">
        <v>44820</v>
      </c>
      <c r="C261" s="32">
        <v>4459.2</v>
      </c>
      <c r="D261" s="32">
        <v>0</v>
      </c>
      <c r="E261" s="32">
        <v>2793.6</v>
      </c>
      <c r="F261" s="32">
        <v>7252.8</v>
      </c>
      <c r="G261" s="8" t="s">
        <v>440</v>
      </c>
      <c r="H261" s="8" t="s">
        <v>441</v>
      </c>
      <c r="I261" s="8" t="s">
        <v>442</v>
      </c>
      <c r="J261" s="8" t="s">
        <v>200</v>
      </c>
      <c r="K261" s="8">
        <v>43.311976999999999</v>
      </c>
      <c r="L261" s="8">
        <v>-97.235207000000003</v>
      </c>
      <c r="M261" s="8" t="s">
        <v>100</v>
      </c>
      <c r="N261" s="10" t="s">
        <v>240</v>
      </c>
      <c r="O261" s="11" t="s">
        <v>56</v>
      </c>
      <c r="P261" s="11" t="s">
        <v>57</v>
      </c>
      <c r="Q261" s="12">
        <v>340</v>
      </c>
      <c r="R261" s="13">
        <v>45047</v>
      </c>
      <c r="S261" s="13">
        <v>45158</v>
      </c>
      <c r="T261" s="11">
        <v>160</v>
      </c>
      <c r="U261" s="11"/>
      <c r="V261" s="11">
        <v>688</v>
      </c>
      <c r="W261" s="11">
        <v>203</v>
      </c>
      <c r="X261" s="11">
        <v>126</v>
      </c>
      <c r="Z261">
        <v>2</v>
      </c>
      <c r="AA261" s="120"/>
      <c r="AB261" s="120"/>
      <c r="AC261" s="120"/>
    </row>
    <row r="262" spans="1:29" s="53" customFormat="1" x14ac:dyDescent="0.25">
      <c r="A262" s="46"/>
      <c r="B262" s="46" t="s">
        <v>76</v>
      </c>
      <c r="C262" s="47"/>
      <c r="D262" s="47"/>
      <c r="E262" s="47"/>
      <c r="F262" s="47"/>
      <c r="G262" s="48" t="s">
        <v>440</v>
      </c>
      <c r="H262" s="48" t="s">
        <v>444</v>
      </c>
      <c r="I262" s="48" t="s">
        <v>445</v>
      </c>
      <c r="J262" s="48" t="s">
        <v>99</v>
      </c>
      <c r="K262" s="48">
        <v>43.310749999999999</v>
      </c>
      <c r="L262" s="48">
        <v>-97.215205999999995</v>
      </c>
      <c r="M262" s="48" t="s">
        <v>100</v>
      </c>
      <c r="N262" s="50" t="s">
        <v>292</v>
      </c>
      <c r="O262" s="46" t="s">
        <v>54</v>
      </c>
      <c r="P262" s="46" t="s">
        <v>55</v>
      </c>
      <c r="Q262" s="51">
        <v>329</v>
      </c>
      <c r="R262" s="52">
        <v>44986</v>
      </c>
      <c r="S262" s="52">
        <v>45153</v>
      </c>
      <c r="T262" s="46">
        <v>172</v>
      </c>
      <c r="U262" s="46"/>
      <c r="V262" s="46">
        <v>341</v>
      </c>
      <c r="W262" s="46">
        <v>148</v>
      </c>
      <c r="X262" s="46">
        <v>95</v>
      </c>
      <c r="Z262" s="46">
        <v>2</v>
      </c>
      <c r="AA262" s="120">
        <v>400</v>
      </c>
      <c r="AB262" s="120">
        <v>153</v>
      </c>
      <c r="AC262" s="120">
        <v>97</v>
      </c>
    </row>
    <row r="263" spans="1:29" s="53" customFormat="1" x14ac:dyDescent="0.25">
      <c r="A263" s="46"/>
      <c r="B263" s="39" t="s">
        <v>76</v>
      </c>
      <c r="C263" s="55"/>
      <c r="D263" s="55"/>
      <c r="E263" s="55"/>
      <c r="F263" s="55"/>
      <c r="G263" s="8" t="s">
        <v>440</v>
      </c>
      <c r="H263" s="8" t="s">
        <v>444</v>
      </c>
      <c r="I263" s="8" t="s">
        <v>445</v>
      </c>
      <c r="J263" s="8" t="s">
        <v>99</v>
      </c>
      <c r="K263" s="8">
        <v>43.310749999999999</v>
      </c>
      <c r="L263" s="8">
        <v>-97.215205999999995</v>
      </c>
      <c r="M263" s="8" t="s">
        <v>100</v>
      </c>
      <c r="N263" s="56" t="s">
        <v>292</v>
      </c>
      <c r="O263" s="54" t="s">
        <v>56</v>
      </c>
      <c r="P263" s="54" t="s">
        <v>57</v>
      </c>
      <c r="Q263" s="57">
        <v>340</v>
      </c>
      <c r="R263" s="58">
        <v>45047</v>
      </c>
      <c r="S263" s="58">
        <v>45154</v>
      </c>
      <c r="T263" s="54">
        <v>172</v>
      </c>
      <c r="U263" s="54"/>
      <c r="V263" s="122">
        <v>97</v>
      </c>
      <c r="W263" s="122">
        <v>18</v>
      </c>
      <c r="X263" s="122">
        <v>12</v>
      </c>
      <c r="Z263" s="46">
        <v>2</v>
      </c>
      <c r="AA263" s="38">
        <v>400</v>
      </c>
      <c r="AB263" s="38">
        <v>153</v>
      </c>
      <c r="AC263" s="38">
        <v>97</v>
      </c>
    </row>
    <row r="264" spans="1:29" s="28" customFormat="1" x14ac:dyDescent="0.25">
      <c r="A264"/>
      <c r="B264" s="1">
        <v>44795</v>
      </c>
      <c r="C264" s="31">
        <v>5910.4</v>
      </c>
      <c r="D264" s="31">
        <v>0</v>
      </c>
      <c r="E264" s="31">
        <v>5910.4</v>
      </c>
      <c r="F264" s="31">
        <v>11820.8</v>
      </c>
      <c r="G264" s="20" t="s">
        <v>446</v>
      </c>
      <c r="H264" s="20" t="s">
        <v>329</v>
      </c>
      <c r="I264" s="20" t="s">
        <v>447</v>
      </c>
      <c r="J264" s="20" t="s">
        <v>239</v>
      </c>
      <c r="K264" s="20">
        <v>43.583599</v>
      </c>
      <c r="L264" s="20">
        <v>-97.941361999999998</v>
      </c>
      <c r="M264" s="20" t="s">
        <v>64</v>
      </c>
      <c r="N264" s="4" t="s">
        <v>448</v>
      </c>
      <c r="O264" t="s">
        <v>75</v>
      </c>
      <c r="P264" t="s">
        <v>304</v>
      </c>
      <c r="Q264" s="5">
        <v>516</v>
      </c>
      <c r="R264" s="1">
        <v>44417</v>
      </c>
      <c r="S264" s="1">
        <v>44805</v>
      </c>
      <c r="T264">
        <v>79</v>
      </c>
      <c r="U264"/>
      <c r="V264"/>
      <c r="W264"/>
      <c r="X264"/>
      <c r="Z264">
        <v>2</v>
      </c>
      <c r="AA264" s="120">
        <v>272</v>
      </c>
      <c r="AB264" s="120">
        <v>82</v>
      </c>
      <c r="AC264" s="120">
        <v>54</v>
      </c>
    </row>
    <row r="265" spans="1:29" s="28" customFormat="1" x14ac:dyDescent="0.25">
      <c r="A265"/>
      <c r="B265" s="1">
        <v>44894</v>
      </c>
      <c r="C265" s="31">
        <v>1692.18</v>
      </c>
      <c r="D265" s="31">
        <v>0</v>
      </c>
      <c r="E265" s="31">
        <v>1692.18</v>
      </c>
      <c r="F265" s="31">
        <v>3384.36</v>
      </c>
      <c r="G265" s="6" t="s">
        <v>446</v>
      </c>
      <c r="H265" s="6" t="s">
        <v>329</v>
      </c>
      <c r="I265" s="6" t="s">
        <v>447</v>
      </c>
      <c r="J265" s="6" t="s">
        <v>239</v>
      </c>
      <c r="K265" s="6">
        <v>43.583599</v>
      </c>
      <c r="L265" s="6">
        <v>-97.941361999999998</v>
      </c>
      <c r="M265" s="6" t="s">
        <v>64</v>
      </c>
      <c r="N265" s="4" t="s">
        <v>448</v>
      </c>
      <c r="O265" t="s">
        <v>75</v>
      </c>
      <c r="P265" t="s">
        <v>305</v>
      </c>
      <c r="Q265" s="5">
        <v>382</v>
      </c>
      <c r="R265" s="1">
        <v>44389</v>
      </c>
      <c r="S265" s="1">
        <v>44887</v>
      </c>
      <c r="T265">
        <v>79</v>
      </c>
      <c r="U265"/>
      <c r="V265" s="117">
        <v>236</v>
      </c>
      <c r="W265" s="117">
        <v>70</v>
      </c>
      <c r="X265" s="117">
        <v>46</v>
      </c>
      <c r="Z265">
        <v>2</v>
      </c>
      <c r="AA265" s="38">
        <v>272</v>
      </c>
      <c r="AB265" s="38">
        <v>82</v>
      </c>
      <c r="AC265" s="38">
        <v>54</v>
      </c>
    </row>
    <row r="266" spans="1:29" s="28" customFormat="1" x14ac:dyDescent="0.25">
      <c r="A266"/>
      <c r="B266" s="13">
        <v>44866</v>
      </c>
      <c r="C266" s="32">
        <v>188.75</v>
      </c>
      <c r="D266" s="32">
        <v>0</v>
      </c>
      <c r="E266" s="32">
        <v>188.75</v>
      </c>
      <c r="F266" s="32">
        <v>377.5</v>
      </c>
      <c r="G266" s="8" t="s">
        <v>446</v>
      </c>
      <c r="H266" s="8" t="s">
        <v>329</v>
      </c>
      <c r="I266" s="8" t="s">
        <v>447</v>
      </c>
      <c r="J266" s="8" t="s">
        <v>239</v>
      </c>
      <c r="K266" s="8">
        <v>43.583599</v>
      </c>
      <c r="L266" s="8">
        <v>-97.941361999999998</v>
      </c>
      <c r="M266" s="8" t="s">
        <v>64</v>
      </c>
      <c r="N266" s="10" t="s">
        <v>448</v>
      </c>
      <c r="O266" s="11" t="s">
        <v>132</v>
      </c>
      <c r="P266" s="11" t="s">
        <v>133</v>
      </c>
      <c r="Q266" s="12"/>
      <c r="R266" s="13">
        <v>44395</v>
      </c>
      <c r="S266" s="13">
        <v>44823</v>
      </c>
      <c r="T266" s="11">
        <v>79</v>
      </c>
      <c r="U266" s="11"/>
      <c r="V266" s="11">
        <v>214</v>
      </c>
      <c r="W266" s="11">
        <v>38</v>
      </c>
      <c r="X266" s="11">
        <v>18</v>
      </c>
      <c r="Z266">
        <v>2</v>
      </c>
      <c r="AA266" s="38">
        <v>272</v>
      </c>
      <c r="AB266" s="38">
        <v>82</v>
      </c>
      <c r="AC266" s="38">
        <v>54</v>
      </c>
    </row>
    <row r="267" spans="1:29" s="53" customFormat="1" x14ac:dyDescent="0.25">
      <c r="A267" s="46"/>
      <c r="B267" s="46" t="s">
        <v>76</v>
      </c>
      <c r="C267" s="47"/>
      <c r="D267" s="47"/>
      <c r="E267" s="47"/>
      <c r="F267" s="47"/>
      <c r="G267" s="48" t="s">
        <v>449</v>
      </c>
      <c r="H267" s="48" t="s">
        <v>67</v>
      </c>
      <c r="I267" s="48" t="s">
        <v>450</v>
      </c>
      <c r="J267" s="48" t="s">
        <v>188</v>
      </c>
      <c r="K267" s="48">
        <v>43.678409000000002</v>
      </c>
      <c r="L267" s="48">
        <v>-97.977238999999997</v>
      </c>
      <c r="M267" s="48" t="s">
        <v>64</v>
      </c>
      <c r="N267" s="50">
        <v>2021005</v>
      </c>
      <c r="O267" s="46" t="s">
        <v>83</v>
      </c>
      <c r="P267" s="46" t="s">
        <v>84</v>
      </c>
      <c r="Q267" s="51">
        <v>328</v>
      </c>
      <c r="R267" s="52">
        <v>44317</v>
      </c>
      <c r="S267" s="52">
        <v>45154</v>
      </c>
      <c r="T267" s="46"/>
      <c r="U267" s="46" t="s">
        <v>145</v>
      </c>
      <c r="V267" s="46"/>
      <c r="W267" s="46"/>
      <c r="X267" s="46"/>
      <c r="Z267" s="46">
        <v>2</v>
      </c>
      <c r="AA267" s="120"/>
      <c r="AB267" s="120"/>
      <c r="AC267" s="120"/>
    </row>
    <row r="268" spans="1:29" s="53" customFormat="1" x14ac:dyDescent="0.25">
      <c r="A268" s="46"/>
      <c r="B268" s="38" t="s">
        <v>76</v>
      </c>
      <c r="C268" s="82"/>
      <c r="D268" s="82"/>
      <c r="E268" s="82"/>
      <c r="F268" s="82"/>
      <c r="G268" s="6" t="s">
        <v>449</v>
      </c>
      <c r="H268" s="6" t="s">
        <v>67</v>
      </c>
      <c r="I268" s="6" t="s">
        <v>450</v>
      </c>
      <c r="J268" s="6" t="s">
        <v>188</v>
      </c>
      <c r="K268" s="6">
        <v>43.678409000000002</v>
      </c>
      <c r="L268" s="6">
        <v>-97.977238999999997</v>
      </c>
      <c r="M268" s="6" t="s">
        <v>64</v>
      </c>
      <c r="N268" s="50">
        <v>2021005</v>
      </c>
      <c r="O268" s="46" t="s">
        <v>54</v>
      </c>
      <c r="P268" s="46" t="s">
        <v>55</v>
      </c>
      <c r="Q268" s="51">
        <v>329</v>
      </c>
      <c r="R268" s="52">
        <v>44317</v>
      </c>
      <c r="S268" s="52">
        <v>45154</v>
      </c>
      <c r="T268" s="46"/>
      <c r="U268" s="46" t="s">
        <v>145</v>
      </c>
      <c r="V268" s="46"/>
      <c r="W268" s="46"/>
      <c r="X268" s="46"/>
      <c r="Z268" s="46">
        <v>2</v>
      </c>
      <c r="AA268" s="120"/>
      <c r="AB268" s="120"/>
      <c r="AC268" s="120"/>
    </row>
    <row r="269" spans="1:29" s="53" customFormat="1" x14ac:dyDescent="0.25">
      <c r="A269" s="46"/>
      <c r="B269" s="38" t="s">
        <v>76</v>
      </c>
      <c r="C269" s="82"/>
      <c r="D269" s="82"/>
      <c r="E269" s="82"/>
      <c r="F269" s="82"/>
      <c r="G269" s="6" t="s">
        <v>449</v>
      </c>
      <c r="H269" s="6" t="s">
        <v>67</v>
      </c>
      <c r="I269" s="6" t="s">
        <v>450</v>
      </c>
      <c r="J269" s="6" t="s">
        <v>188</v>
      </c>
      <c r="K269" s="6">
        <v>43.678409000000002</v>
      </c>
      <c r="L269" s="6">
        <v>-97.977238999999997</v>
      </c>
      <c r="M269" s="6" t="s">
        <v>64</v>
      </c>
      <c r="N269" s="50">
        <v>2021005</v>
      </c>
      <c r="O269" s="46" t="s">
        <v>56</v>
      </c>
      <c r="P269" s="46" t="s">
        <v>57</v>
      </c>
      <c r="Q269" s="51">
        <v>340</v>
      </c>
      <c r="R269" s="52">
        <v>44317</v>
      </c>
      <c r="S269" s="52">
        <v>45147</v>
      </c>
      <c r="T269" s="46"/>
      <c r="U269" s="46" t="s">
        <v>145</v>
      </c>
      <c r="V269" s="46"/>
      <c r="W269" s="46"/>
      <c r="X269" s="46"/>
      <c r="Z269" s="46">
        <v>2</v>
      </c>
      <c r="AA269" s="120"/>
      <c r="AB269" s="120"/>
      <c r="AC269" s="120"/>
    </row>
    <row r="270" spans="1:29" s="53" customFormat="1" x14ac:dyDescent="0.25">
      <c r="A270" s="46"/>
      <c r="B270" s="39" t="s">
        <v>76</v>
      </c>
      <c r="C270" s="84"/>
      <c r="D270" s="84"/>
      <c r="E270" s="84"/>
      <c r="F270" s="84"/>
      <c r="G270" s="8" t="s">
        <v>449</v>
      </c>
      <c r="H270" s="8" t="s">
        <v>67</v>
      </c>
      <c r="I270" s="8" t="s">
        <v>450</v>
      </c>
      <c r="J270" s="8" t="s">
        <v>188</v>
      </c>
      <c r="K270" s="8">
        <v>43.678409000000002</v>
      </c>
      <c r="L270" s="8">
        <v>-97.977238999999997</v>
      </c>
      <c r="M270" s="8" t="s">
        <v>64</v>
      </c>
      <c r="N270" s="56">
        <v>2021005</v>
      </c>
      <c r="O270" s="54" t="s">
        <v>105</v>
      </c>
      <c r="P270" s="54" t="s">
        <v>679</v>
      </c>
      <c r="Q270" s="57">
        <v>556</v>
      </c>
      <c r="R270" s="58">
        <v>44317</v>
      </c>
      <c r="S270" s="58">
        <v>45146</v>
      </c>
      <c r="T270" s="54"/>
      <c r="U270" s="79" t="s">
        <v>145</v>
      </c>
      <c r="V270" s="54"/>
      <c r="W270" s="54"/>
      <c r="X270" s="54"/>
      <c r="Z270" s="46">
        <v>2</v>
      </c>
      <c r="AA270" s="120"/>
      <c r="AB270" s="120"/>
      <c r="AC270" s="120"/>
    </row>
    <row r="271" spans="1:29" s="53" customFormat="1" x14ac:dyDescent="0.25">
      <c r="A271" s="46"/>
      <c r="B271" s="46" t="s">
        <v>76</v>
      </c>
      <c r="C271" s="47"/>
      <c r="D271" s="47"/>
      <c r="E271" s="47"/>
      <c r="F271" s="47"/>
      <c r="G271" s="48" t="s">
        <v>451</v>
      </c>
      <c r="H271" s="48" t="s">
        <v>452</v>
      </c>
      <c r="I271" s="48" t="s">
        <v>453</v>
      </c>
      <c r="J271" s="48" t="s">
        <v>454</v>
      </c>
      <c r="K271" s="48">
        <v>44.758721999999999</v>
      </c>
      <c r="L271" s="48">
        <v>-98.289100000000005</v>
      </c>
      <c r="M271" s="48" t="s">
        <v>409</v>
      </c>
      <c r="N271" s="50" t="s">
        <v>341</v>
      </c>
      <c r="O271" s="46" t="s">
        <v>54</v>
      </c>
      <c r="P271" s="46" t="s">
        <v>55</v>
      </c>
      <c r="Q271" s="51">
        <v>328</v>
      </c>
      <c r="R271" s="52">
        <v>44703</v>
      </c>
      <c r="S271" s="52">
        <v>44879</v>
      </c>
      <c r="T271" s="46"/>
      <c r="U271" s="46" t="s">
        <v>145</v>
      </c>
      <c r="V271" s="46">
        <v>1153</v>
      </c>
      <c r="W271" s="46">
        <v>193</v>
      </c>
      <c r="X271" s="46">
        <v>65</v>
      </c>
      <c r="Z271" s="46">
        <v>2</v>
      </c>
      <c r="AA271" s="120"/>
      <c r="AB271" s="120"/>
      <c r="AC271" s="120"/>
    </row>
    <row r="272" spans="1:29" s="53" customFormat="1" x14ac:dyDescent="0.25">
      <c r="A272" s="46"/>
      <c r="B272" s="39" t="s">
        <v>76</v>
      </c>
      <c r="C272" s="55"/>
      <c r="D272" s="55"/>
      <c r="E272" s="55"/>
      <c r="F272" s="55"/>
      <c r="G272" s="8" t="s">
        <v>451</v>
      </c>
      <c r="H272" s="8" t="s">
        <v>452</v>
      </c>
      <c r="I272" s="8" t="s">
        <v>453</v>
      </c>
      <c r="J272" s="8" t="s">
        <v>454</v>
      </c>
      <c r="K272" s="8">
        <v>44.758721999999999</v>
      </c>
      <c r="L272" s="8">
        <v>-98.289100000000005</v>
      </c>
      <c r="M272" s="8" t="s">
        <v>409</v>
      </c>
      <c r="N272" s="56" t="s">
        <v>341</v>
      </c>
      <c r="O272" s="54" t="s">
        <v>56</v>
      </c>
      <c r="P272" s="54" t="s">
        <v>57</v>
      </c>
      <c r="Q272" s="57">
        <v>329</v>
      </c>
      <c r="R272" s="58">
        <v>44703</v>
      </c>
      <c r="S272" s="58">
        <v>44879</v>
      </c>
      <c r="T272" s="54"/>
      <c r="U272" s="54" t="s">
        <v>145</v>
      </c>
      <c r="V272" s="54">
        <v>1164</v>
      </c>
      <c r="W272" s="54">
        <v>257</v>
      </c>
      <c r="X272" s="54">
        <v>88</v>
      </c>
      <c r="Z272" s="46">
        <v>2</v>
      </c>
      <c r="AA272" s="120"/>
      <c r="AB272" s="120"/>
      <c r="AC272" s="120"/>
    </row>
    <row r="273" spans="1:29" s="53" customFormat="1" x14ac:dyDescent="0.25">
      <c r="A273" s="46"/>
      <c r="B273" s="46" t="s">
        <v>76</v>
      </c>
      <c r="C273" s="47"/>
      <c r="D273" s="47"/>
      <c r="E273" s="47"/>
      <c r="F273" s="47"/>
      <c r="G273" s="48" t="s">
        <v>455</v>
      </c>
      <c r="H273" s="48" t="s">
        <v>456</v>
      </c>
      <c r="I273" s="48" t="s">
        <v>457</v>
      </c>
      <c r="J273" s="48" t="s">
        <v>458</v>
      </c>
      <c r="K273" s="48">
        <v>43.152321000000001</v>
      </c>
      <c r="L273" s="48">
        <v>-97.096791999999994</v>
      </c>
      <c r="M273" s="48" t="s">
        <v>100</v>
      </c>
      <c r="N273" s="50" t="s">
        <v>459</v>
      </c>
      <c r="O273" s="46" t="s">
        <v>54</v>
      </c>
      <c r="P273" s="46" t="s">
        <v>55</v>
      </c>
      <c r="Q273" s="51">
        <v>329</v>
      </c>
      <c r="R273" s="52">
        <v>44287</v>
      </c>
      <c r="S273" s="52">
        <v>44409</v>
      </c>
      <c r="T273" s="46"/>
      <c r="U273" s="46" t="s">
        <v>145</v>
      </c>
      <c r="V273" s="46">
        <v>864</v>
      </c>
      <c r="W273" s="46">
        <v>115</v>
      </c>
      <c r="X273" s="46">
        <v>57</v>
      </c>
      <c r="Z273" s="46">
        <v>2</v>
      </c>
      <c r="AA273" s="120"/>
      <c r="AB273" s="120"/>
      <c r="AC273" s="120"/>
    </row>
    <row r="274" spans="1:29" s="53" customFormat="1" x14ac:dyDescent="0.25">
      <c r="A274" s="46"/>
      <c r="B274" s="39" t="s">
        <v>76</v>
      </c>
      <c r="C274" s="84"/>
      <c r="D274" s="84"/>
      <c r="E274" s="84"/>
      <c r="F274" s="84"/>
      <c r="G274" s="8" t="s">
        <v>455</v>
      </c>
      <c r="H274" s="8" t="s">
        <v>456</v>
      </c>
      <c r="I274" s="8" t="s">
        <v>457</v>
      </c>
      <c r="J274" s="8" t="s">
        <v>458</v>
      </c>
      <c r="K274" s="8">
        <v>43.152321000000001</v>
      </c>
      <c r="L274" s="8">
        <v>-97.096791999999994</v>
      </c>
      <c r="M274" s="8" t="s">
        <v>100</v>
      </c>
      <c r="N274" s="56" t="s">
        <v>459</v>
      </c>
      <c r="O274" s="54" t="s">
        <v>56</v>
      </c>
      <c r="P274" s="54" t="s">
        <v>57</v>
      </c>
      <c r="Q274" s="57">
        <v>340</v>
      </c>
      <c r="R274" s="58">
        <v>44287</v>
      </c>
      <c r="S274" s="58">
        <v>44409</v>
      </c>
      <c r="T274" s="54"/>
      <c r="U274" s="54" t="s">
        <v>145</v>
      </c>
      <c r="V274" s="54">
        <v>254</v>
      </c>
      <c r="W274" s="54">
        <v>79</v>
      </c>
      <c r="X274" s="54">
        <v>51</v>
      </c>
      <c r="Z274" s="46">
        <v>2</v>
      </c>
      <c r="AA274" s="120"/>
      <c r="AB274" s="120"/>
      <c r="AC274" s="120"/>
    </row>
    <row r="275" spans="1:29" s="28" customFormat="1" x14ac:dyDescent="0.25">
      <c r="A275"/>
      <c r="B275"/>
      <c r="C275" s="31"/>
      <c r="D275" s="31"/>
      <c r="E275" s="31"/>
      <c r="F275" s="31"/>
      <c r="G275" s="20" t="s">
        <v>460</v>
      </c>
      <c r="H275" s="20" t="s">
        <v>461</v>
      </c>
      <c r="I275" s="20" t="s">
        <v>462</v>
      </c>
      <c r="J275" s="20" t="s">
        <v>463</v>
      </c>
      <c r="K275" s="20">
        <v>45.424764000000003</v>
      </c>
      <c r="L275" s="20">
        <v>-98.181145999999998</v>
      </c>
      <c r="M275" s="20" t="s">
        <v>233</v>
      </c>
      <c r="N275" s="4">
        <v>2004</v>
      </c>
      <c r="O275" t="s">
        <v>54</v>
      </c>
      <c r="P275" t="s">
        <v>55</v>
      </c>
      <c r="Q275" s="5">
        <v>329</v>
      </c>
      <c r="R275" s="1">
        <v>44747</v>
      </c>
      <c r="S275" s="1">
        <v>44862</v>
      </c>
      <c r="T275">
        <v>141</v>
      </c>
      <c r="U275"/>
      <c r="V275">
        <v>227.4</v>
      </c>
      <c r="W275">
        <v>30.5</v>
      </c>
      <c r="X275">
        <v>15.2</v>
      </c>
      <c r="Z275">
        <v>2</v>
      </c>
      <c r="AA275" s="120"/>
      <c r="AB275" s="120"/>
      <c r="AC275" s="120"/>
    </row>
    <row r="276" spans="1:29" s="28" customFormat="1" x14ac:dyDescent="0.25">
      <c r="A276"/>
      <c r="B276" s="11" t="s">
        <v>464</v>
      </c>
      <c r="C276" s="32">
        <v>0</v>
      </c>
      <c r="D276" s="32">
        <v>3530.1</v>
      </c>
      <c r="E276" s="32">
        <v>3530.1</v>
      </c>
      <c r="F276" s="32">
        <v>7060.2</v>
      </c>
      <c r="G276" s="8" t="s">
        <v>460</v>
      </c>
      <c r="H276" s="8" t="s">
        <v>461</v>
      </c>
      <c r="I276" s="8" t="s">
        <v>462</v>
      </c>
      <c r="J276" s="8" t="s">
        <v>463</v>
      </c>
      <c r="K276" s="8">
        <v>45.424764000000003</v>
      </c>
      <c r="L276" s="8">
        <v>-98.181145999999998</v>
      </c>
      <c r="M276" s="8" t="s">
        <v>233</v>
      </c>
      <c r="N276" s="10">
        <v>2004</v>
      </c>
      <c r="O276" s="11" t="s">
        <v>56</v>
      </c>
      <c r="P276" s="11" t="s">
        <v>57</v>
      </c>
      <c r="Q276" s="12">
        <v>340</v>
      </c>
      <c r="R276" s="13">
        <v>44747</v>
      </c>
      <c r="S276" s="13">
        <v>44832</v>
      </c>
      <c r="T276" s="11">
        <v>141</v>
      </c>
      <c r="U276" s="11"/>
      <c r="V276" s="11">
        <v>382.1</v>
      </c>
      <c r="W276" s="11">
        <v>108.3</v>
      </c>
      <c r="X276" s="11">
        <v>59.5</v>
      </c>
      <c r="Z276">
        <v>2</v>
      </c>
      <c r="AA276" s="120"/>
      <c r="AB276" s="120"/>
      <c r="AC276" s="120"/>
    </row>
    <row r="277" spans="1:29" s="28" customFormat="1" x14ac:dyDescent="0.25">
      <c r="A277"/>
      <c r="B277" s="1">
        <v>45558</v>
      </c>
      <c r="C277" s="31">
        <v>4480</v>
      </c>
      <c r="D277" s="31"/>
      <c r="E277" s="31">
        <v>8256</v>
      </c>
      <c r="F277" s="31">
        <v>12736</v>
      </c>
      <c r="G277" s="20" t="s">
        <v>465</v>
      </c>
      <c r="H277" s="20" t="s">
        <v>466</v>
      </c>
      <c r="I277" s="20" t="s">
        <v>467</v>
      </c>
      <c r="J277" s="20" t="s">
        <v>468</v>
      </c>
      <c r="K277" s="20">
        <v>45.367956999999997</v>
      </c>
      <c r="L277" s="20">
        <v>-96.877460999999997</v>
      </c>
      <c r="M277" s="20" t="s">
        <v>275</v>
      </c>
      <c r="N277" s="4">
        <v>202402</v>
      </c>
      <c r="O277" t="s">
        <v>56</v>
      </c>
      <c r="P277" t="s">
        <v>57</v>
      </c>
      <c r="Q277" s="5">
        <v>340</v>
      </c>
      <c r="R277" s="1">
        <v>45413</v>
      </c>
      <c r="S277" s="1">
        <v>45413</v>
      </c>
      <c r="T277">
        <v>154</v>
      </c>
      <c r="U277"/>
      <c r="V277">
        <v>492</v>
      </c>
      <c r="W277">
        <v>157</v>
      </c>
      <c r="X277">
        <v>107</v>
      </c>
      <c r="Z277">
        <v>3</v>
      </c>
      <c r="AA277" s="120"/>
      <c r="AB277" s="120"/>
      <c r="AC277" s="120"/>
    </row>
    <row r="278" spans="1:29" s="28" customFormat="1" x14ac:dyDescent="0.25">
      <c r="A278"/>
      <c r="B278" s="13">
        <v>45558</v>
      </c>
      <c r="C278" s="32">
        <v>1000</v>
      </c>
      <c r="D278" s="32"/>
      <c r="E278" s="32">
        <v>3125</v>
      </c>
      <c r="F278" s="32">
        <v>4125</v>
      </c>
      <c r="G278" s="8" t="s">
        <v>465</v>
      </c>
      <c r="H278" s="8" t="s">
        <v>466</v>
      </c>
      <c r="I278" s="8" t="s">
        <v>467</v>
      </c>
      <c r="J278" s="8" t="s">
        <v>468</v>
      </c>
      <c r="K278" s="8">
        <v>45.367956999999997</v>
      </c>
      <c r="L278" s="8">
        <v>-96.877460999999997</v>
      </c>
      <c r="M278" s="8" t="s">
        <v>275</v>
      </c>
      <c r="N278" s="10">
        <v>202402</v>
      </c>
      <c r="O278" s="11" t="s">
        <v>132</v>
      </c>
      <c r="P278" s="11" t="s">
        <v>133</v>
      </c>
      <c r="Q278" s="12"/>
      <c r="R278" s="13">
        <v>45474</v>
      </c>
      <c r="S278" s="13">
        <v>45474</v>
      </c>
      <c r="T278" s="11">
        <v>154</v>
      </c>
      <c r="U278" s="11"/>
      <c r="V278" s="11">
        <v>117</v>
      </c>
      <c r="W278" s="11">
        <v>36</v>
      </c>
      <c r="X278" s="11">
        <v>25</v>
      </c>
      <c r="Z278">
        <v>3</v>
      </c>
      <c r="AA278" s="120"/>
      <c r="AB278" s="120"/>
      <c r="AC278" s="120"/>
    </row>
    <row r="279" spans="1:29" s="28" customFormat="1" x14ac:dyDescent="0.25">
      <c r="A279"/>
      <c r="B279" s="1">
        <v>45370</v>
      </c>
      <c r="C279" s="31">
        <v>32161.97</v>
      </c>
      <c r="D279" s="31"/>
      <c r="E279" s="31">
        <v>41620.97</v>
      </c>
      <c r="F279" s="31">
        <v>73782.94</v>
      </c>
      <c r="G279" s="20" t="s">
        <v>469</v>
      </c>
      <c r="H279" s="20" t="s">
        <v>470</v>
      </c>
      <c r="I279" s="20" t="s">
        <v>471</v>
      </c>
      <c r="J279" s="20" t="s">
        <v>472</v>
      </c>
      <c r="K279" s="20">
        <v>43.321773999999998</v>
      </c>
      <c r="L279" s="20">
        <v>-100.44682299999999</v>
      </c>
      <c r="M279" s="20" t="s">
        <v>473</v>
      </c>
      <c r="N279" s="4" t="s">
        <v>474</v>
      </c>
      <c r="O279" t="s">
        <v>75</v>
      </c>
      <c r="P279" t="s">
        <v>475</v>
      </c>
      <c r="Q279" s="5">
        <v>914</v>
      </c>
      <c r="R279" s="1">
        <v>45069</v>
      </c>
      <c r="S279" s="1">
        <v>45369</v>
      </c>
      <c r="T279">
        <v>268.45999999999998</v>
      </c>
      <c r="U279"/>
      <c r="V279"/>
      <c r="W279"/>
      <c r="X279"/>
      <c r="Z279">
        <v>2</v>
      </c>
      <c r="AA279" s="120"/>
      <c r="AB279" s="120"/>
      <c r="AC279" s="120"/>
    </row>
    <row r="280" spans="1:29" s="28" customFormat="1" x14ac:dyDescent="0.25">
      <c r="A280"/>
      <c r="B280" s="11"/>
      <c r="C280" s="32"/>
      <c r="D280" s="32"/>
      <c r="E280" s="32"/>
      <c r="F280" s="32"/>
      <c r="G280" s="8" t="s">
        <v>469</v>
      </c>
      <c r="H280" s="8" t="s">
        <v>470</v>
      </c>
      <c r="I280" s="8" t="s">
        <v>471</v>
      </c>
      <c r="J280" s="8" t="s">
        <v>472</v>
      </c>
      <c r="K280" s="8">
        <v>43.321773999999998</v>
      </c>
      <c r="L280" s="8">
        <v>-100.44682299999999</v>
      </c>
      <c r="M280" s="8" t="s">
        <v>473</v>
      </c>
      <c r="N280" s="10" t="s">
        <v>474</v>
      </c>
      <c r="O280" s="11" t="s">
        <v>105</v>
      </c>
      <c r="P280" s="11" t="s">
        <v>679</v>
      </c>
      <c r="Q280" s="12">
        <v>556</v>
      </c>
      <c r="R280" s="13">
        <v>45122</v>
      </c>
      <c r="S280" s="13">
        <v>45380</v>
      </c>
      <c r="T280" s="11">
        <v>400</v>
      </c>
      <c r="U280" s="11"/>
      <c r="V280" s="11">
        <v>1025</v>
      </c>
      <c r="W280" s="11">
        <v>163</v>
      </c>
      <c r="X280" s="11">
        <v>84</v>
      </c>
      <c r="Z280">
        <v>2</v>
      </c>
      <c r="AA280" s="120"/>
      <c r="AB280" s="120"/>
      <c r="AC280" s="120"/>
    </row>
    <row r="281" spans="1:29" s="28" customFormat="1" x14ac:dyDescent="0.25">
      <c r="A281"/>
      <c r="B281"/>
      <c r="C281" s="31"/>
      <c r="D281" s="31"/>
      <c r="E281" s="31"/>
      <c r="F281" s="31"/>
      <c r="G281" s="20" t="s">
        <v>476</v>
      </c>
      <c r="H281" s="20" t="s">
        <v>201</v>
      </c>
      <c r="I281" s="20" t="s">
        <v>477</v>
      </c>
      <c r="J281" s="20" t="s">
        <v>478</v>
      </c>
      <c r="K281" s="20">
        <v>43.062289</v>
      </c>
      <c r="L281" s="20">
        <v>-97.649383999999998</v>
      </c>
      <c r="M281" s="20" t="s">
        <v>137</v>
      </c>
      <c r="N281" s="4" t="s">
        <v>479</v>
      </c>
      <c r="O281" t="s">
        <v>54</v>
      </c>
      <c r="P281" t="s">
        <v>55</v>
      </c>
      <c r="Q281" s="5">
        <v>329</v>
      </c>
      <c r="R281" s="1">
        <v>45505</v>
      </c>
      <c r="S281" s="1">
        <v>45708</v>
      </c>
      <c r="T281">
        <v>30</v>
      </c>
      <c r="U281"/>
      <c r="V281">
        <v>300</v>
      </c>
      <c r="W281">
        <v>105</v>
      </c>
      <c r="X281">
        <v>77</v>
      </c>
      <c r="Z281">
        <v>3</v>
      </c>
      <c r="AA281" s="120"/>
      <c r="AB281" s="120"/>
      <c r="AC281" s="120"/>
    </row>
    <row r="282" spans="1:29" s="28" customFormat="1" x14ac:dyDescent="0.25">
      <c r="A282"/>
      <c r="B282" s="1">
        <v>45550</v>
      </c>
      <c r="C282" s="31">
        <v>478.66</v>
      </c>
      <c r="D282" s="31"/>
      <c r="E282" s="31">
        <v>478.66</v>
      </c>
      <c r="F282" s="31">
        <v>957.32</v>
      </c>
      <c r="G282" s="6" t="s">
        <v>476</v>
      </c>
      <c r="H282" s="6" t="s">
        <v>201</v>
      </c>
      <c r="I282" s="6" t="s">
        <v>477</v>
      </c>
      <c r="J282" s="6" t="s">
        <v>478</v>
      </c>
      <c r="K282" s="6">
        <v>43.062289</v>
      </c>
      <c r="L282" s="6">
        <v>-97.649383999999998</v>
      </c>
      <c r="M282" s="6" t="s">
        <v>137</v>
      </c>
      <c r="N282" s="4" t="s">
        <v>479</v>
      </c>
      <c r="O282" t="s">
        <v>56</v>
      </c>
      <c r="P282" t="s">
        <v>57</v>
      </c>
      <c r="Q282" s="5">
        <v>340</v>
      </c>
      <c r="R282" s="1">
        <v>45526</v>
      </c>
      <c r="S282" s="1">
        <v>45550</v>
      </c>
      <c r="T282">
        <v>30</v>
      </c>
      <c r="U282"/>
      <c r="V282">
        <v>272</v>
      </c>
      <c r="W282">
        <v>93</v>
      </c>
      <c r="X282">
        <v>68</v>
      </c>
      <c r="Z282">
        <v>3</v>
      </c>
      <c r="AA282" s="120"/>
      <c r="AB282" s="120"/>
      <c r="AC282" s="120"/>
    </row>
    <row r="283" spans="1:29" s="28" customFormat="1" x14ac:dyDescent="0.25">
      <c r="A283"/>
      <c r="B283" s="11"/>
      <c r="C283" s="32"/>
      <c r="D283" s="32"/>
      <c r="E283" s="32"/>
      <c r="F283" s="32"/>
      <c r="G283" s="8" t="s">
        <v>476</v>
      </c>
      <c r="H283" s="8" t="s">
        <v>201</v>
      </c>
      <c r="I283" s="8" t="s">
        <v>477</v>
      </c>
      <c r="J283" s="8" t="s">
        <v>478</v>
      </c>
      <c r="K283" s="8">
        <v>43.062289</v>
      </c>
      <c r="L283" s="8">
        <v>-97.649383999999998</v>
      </c>
      <c r="M283" s="8" t="s">
        <v>137</v>
      </c>
      <c r="N283" s="10" t="s">
        <v>479</v>
      </c>
      <c r="O283" s="11" t="s">
        <v>105</v>
      </c>
      <c r="P283" s="11" t="s">
        <v>679</v>
      </c>
      <c r="Q283" s="12">
        <v>556</v>
      </c>
      <c r="R283" s="13">
        <v>45505</v>
      </c>
      <c r="S283" s="13">
        <v>45708</v>
      </c>
      <c r="T283" s="11">
        <v>30</v>
      </c>
      <c r="U283" s="11"/>
      <c r="V283" s="11"/>
      <c r="W283" s="11"/>
      <c r="X283" s="11"/>
      <c r="Z283">
        <v>3</v>
      </c>
      <c r="AA283" s="120"/>
      <c r="AB283" s="120"/>
      <c r="AC283" s="120"/>
    </row>
    <row r="284" spans="1:29" s="28" customFormat="1" x14ac:dyDescent="0.25">
      <c r="A284"/>
      <c r="B284"/>
      <c r="C284" s="31"/>
      <c r="D284" s="31"/>
      <c r="E284" s="31"/>
      <c r="F284" s="31"/>
      <c r="G284" s="20" t="s">
        <v>480</v>
      </c>
      <c r="H284" s="20" t="s">
        <v>481</v>
      </c>
      <c r="I284" s="20" t="s">
        <v>482</v>
      </c>
      <c r="J284" s="20" t="s">
        <v>483</v>
      </c>
      <c r="K284" s="20">
        <v>44.651564</v>
      </c>
      <c r="L284" s="20">
        <v>-101.342377</v>
      </c>
      <c r="M284" s="20" t="s">
        <v>484</v>
      </c>
      <c r="N284" s="4" t="s">
        <v>485</v>
      </c>
      <c r="O284" t="s">
        <v>54</v>
      </c>
      <c r="P284" t="s">
        <v>55</v>
      </c>
      <c r="Q284" s="5">
        <v>329</v>
      </c>
      <c r="R284" s="1">
        <v>45383</v>
      </c>
      <c r="S284" s="1">
        <v>45413</v>
      </c>
      <c r="T284">
        <v>158</v>
      </c>
      <c r="U284"/>
      <c r="V284">
        <v>1218</v>
      </c>
      <c r="W284">
        <v>421</v>
      </c>
      <c r="X284">
        <v>324</v>
      </c>
      <c r="Z284">
        <v>3</v>
      </c>
      <c r="AA284" s="120"/>
      <c r="AB284" s="120"/>
      <c r="AC284" s="120"/>
    </row>
    <row r="285" spans="1:29" s="28" customFormat="1" x14ac:dyDescent="0.25">
      <c r="A285"/>
      <c r="B285" s="13">
        <v>45405</v>
      </c>
      <c r="C285" s="32">
        <v>4424</v>
      </c>
      <c r="D285" s="32"/>
      <c r="E285" s="32">
        <v>5090.17</v>
      </c>
      <c r="F285" s="32">
        <v>9514.17</v>
      </c>
      <c r="G285" s="8" t="s">
        <v>480</v>
      </c>
      <c r="H285" s="8" t="s">
        <v>481</v>
      </c>
      <c r="I285" s="8" t="s">
        <v>482</v>
      </c>
      <c r="J285" s="8" t="s">
        <v>483</v>
      </c>
      <c r="K285" s="8">
        <v>44.651564</v>
      </c>
      <c r="L285" s="8">
        <v>-101.342377</v>
      </c>
      <c r="M285" s="8" t="s">
        <v>484</v>
      </c>
      <c r="N285" s="10" t="s">
        <v>485</v>
      </c>
      <c r="O285" s="11" t="s">
        <v>56</v>
      </c>
      <c r="P285" s="11" t="s">
        <v>57</v>
      </c>
      <c r="Q285" s="12">
        <v>340</v>
      </c>
      <c r="R285" s="13">
        <v>45383</v>
      </c>
      <c r="S285" s="13">
        <v>45401</v>
      </c>
      <c r="T285" s="11">
        <v>158</v>
      </c>
      <c r="U285" s="11"/>
      <c r="V285" s="11">
        <v>1735</v>
      </c>
      <c r="W285" s="11">
        <v>633</v>
      </c>
      <c r="X285" s="11">
        <v>489</v>
      </c>
      <c r="Z285">
        <v>3</v>
      </c>
      <c r="AA285" s="120"/>
      <c r="AB285" s="120"/>
      <c r="AC285" s="120"/>
    </row>
    <row r="286" spans="1:29" s="28" customFormat="1" x14ac:dyDescent="0.25">
      <c r="A286"/>
      <c r="B286"/>
      <c r="C286" s="31"/>
      <c r="D286" s="31"/>
      <c r="E286" s="31"/>
      <c r="F286" s="31"/>
      <c r="G286" s="20" t="s">
        <v>480</v>
      </c>
      <c r="H286" s="20" t="s">
        <v>255</v>
      </c>
      <c r="I286" s="20" t="s">
        <v>482</v>
      </c>
      <c r="J286" s="20" t="s">
        <v>483</v>
      </c>
      <c r="K286" s="20">
        <v>44.556004999999999</v>
      </c>
      <c r="L286" s="20">
        <v>-101.320891</v>
      </c>
      <c r="M286" s="20" t="s">
        <v>484</v>
      </c>
      <c r="N286" s="4" t="s">
        <v>486</v>
      </c>
      <c r="O286" t="s">
        <v>54</v>
      </c>
      <c r="P286" t="s">
        <v>55</v>
      </c>
      <c r="Q286" s="5">
        <v>329</v>
      </c>
      <c r="R286" s="1">
        <v>45413</v>
      </c>
      <c r="S286" s="1">
        <v>45424</v>
      </c>
      <c r="T286">
        <v>171</v>
      </c>
      <c r="U286"/>
      <c r="V286">
        <v>600</v>
      </c>
      <c r="W286">
        <v>176</v>
      </c>
      <c r="X286">
        <v>133</v>
      </c>
      <c r="Z286">
        <v>3</v>
      </c>
      <c r="AA286" s="120"/>
      <c r="AB286" s="120"/>
      <c r="AC286" s="120"/>
    </row>
    <row r="287" spans="1:29" s="28" customFormat="1" x14ac:dyDescent="0.25">
      <c r="A287"/>
      <c r="B287" s="13">
        <v>45444</v>
      </c>
      <c r="C287" s="32">
        <v>4000</v>
      </c>
      <c r="D287" s="32"/>
      <c r="E287" s="32">
        <v>11809</v>
      </c>
      <c r="F287" s="32">
        <v>15809</v>
      </c>
      <c r="G287" s="8" t="s">
        <v>480</v>
      </c>
      <c r="H287" s="8" t="s">
        <v>255</v>
      </c>
      <c r="I287" s="8" t="s">
        <v>482</v>
      </c>
      <c r="J287" s="8" t="s">
        <v>483</v>
      </c>
      <c r="K287" s="8">
        <v>44.556004999999999</v>
      </c>
      <c r="L287" s="8">
        <v>-101.320891</v>
      </c>
      <c r="M287" s="8" t="s">
        <v>484</v>
      </c>
      <c r="N287" s="10" t="s">
        <v>486</v>
      </c>
      <c r="O287" s="11" t="s">
        <v>56</v>
      </c>
      <c r="P287" s="11" t="s">
        <v>57</v>
      </c>
      <c r="Q287" s="12">
        <v>340</v>
      </c>
      <c r="R287" s="13">
        <v>45413</v>
      </c>
      <c r="S287" s="13">
        <v>45424</v>
      </c>
      <c r="T287" s="11">
        <v>171</v>
      </c>
      <c r="U287" s="11"/>
      <c r="V287" s="11">
        <v>1291</v>
      </c>
      <c r="W287" s="11">
        <v>753</v>
      </c>
      <c r="X287" s="11">
        <v>582</v>
      </c>
      <c r="Z287">
        <v>3</v>
      </c>
      <c r="AA287" s="120"/>
      <c r="AB287" s="120"/>
      <c r="AC287" s="120"/>
    </row>
    <row r="288" spans="1:29" s="28" customFormat="1" x14ac:dyDescent="0.25">
      <c r="A288"/>
      <c r="B288"/>
      <c r="C288" s="31"/>
      <c r="D288" s="31"/>
      <c r="E288" s="31"/>
      <c r="F288" s="31"/>
      <c r="G288" s="20" t="s">
        <v>487</v>
      </c>
      <c r="H288" s="20" t="s">
        <v>97</v>
      </c>
      <c r="I288" s="20" t="s">
        <v>488</v>
      </c>
      <c r="J288" s="20" t="s">
        <v>227</v>
      </c>
      <c r="K288" s="20">
        <v>43.807540000000003</v>
      </c>
      <c r="L288" s="20">
        <v>-96.816321000000002</v>
      </c>
      <c r="M288" s="20" t="s">
        <v>156</v>
      </c>
      <c r="N288" s="4" t="s">
        <v>489</v>
      </c>
      <c r="O288" t="s">
        <v>54</v>
      </c>
      <c r="P288" t="s">
        <v>55</v>
      </c>
      <c r="Q288" s="5">
        <v>329</v>
      </c>
      <c r="R288" s="1">
        <v>45544</v>
      </c>
      <c r="S288" s="1">
        <v>45554</v>
      </c>
      <c r="T288">
        <v>104</v>
      </c>
      <c r="U288"/>
      <c r="V288">
        <v>364</v>
      </c>
      <c r="W288">
        <v>81</v>
      </c>
      <c r="X288">
        <v>56</v>
      </c>
      <c r="Z288">
        <v>3</v>
      </c>
      <c r="AA288" s="120"/>
      <c r="AB288" s="120"/>
      <c r="AC288" s="120"/>
    </row>
    <row r="289" spans="1:29" s="28" customFormat="1" x14ac:dyDescent="0.25">
      <c r="A289"/>
      <c r="B289" s="13">
        <v>45544</v>
      </c>
      <c r="C289" s="32">
        <v>2600</v>
      </c>
      <c r="D289" s="32"/>
      <c r="E289" s="32">
        <v>2674.5</v>
      </c>
      <c r="F289" s="32">
        <v>5274.5</v>
      </c>
      <c r="G289" s="8" t="s">
        <v>487</v>
      </c>
      <c r="H289" s="8" t="s">
        <v>97</v>
      </c>
      <c r="I289" s="8" t="s">
        <v>488</v>
      </c>
      <c r="J289" s="8" t="s">
        <v>227</v>
      </c>
      <c r="K289" s="8">
        <v>43.807540000000003</v>
      </c>
      <c r="L289" s="8">
        <v>-96.816321000000002</v>
      </c>
      <c r="M289" s="8" t="s">
        <v>156</v>
      </c>
      <c r="N289" s="10" t="s">
        <v>489</v>
      </c>
      <c r="O289" s="11" t="s">
        <v>56</v>
      </c>
      <c r="P289" s="11" t="s">
        <v>57</v>
      </c>
      <c r="Q289" s="12">
        <v>340</v>
      </c>
      <c r="R289" s="13">
        <v>45544</v>
      </c>
      <c r="S289" s="13">
        <v>45554</v>
      </c>
      <c r="T289" s="11">
        <v>104</v>
      </c>
      <c r="U289" s="11"/>
      <c r="V289" s="11">
        <v>831</v>
      </c>
      <c r="W289" s="11">
        <v>274</v>
      </c>
      <c r="X289" s="11">
        <v>196</v>
      </c>
      <c r="Z289">
        <v>3</v>
      </c>
      <c r="AA289" s="120"/>
      <c r="AB289" s="120"/>
      <c r="AC289" s="120"/>
    </row>
    <row r="290" spans="1:29" s="28" customFormat="1" x14ac:dyDescent="0.25">
      <c r="A290"/>
      <c r="B290"/>
      <c r="C290" s="31"/>
      <c r="D290" s="31"/>
      <c r="E290" s="31"/>
      <c r="F290" s="31"/>
      <c r="G290" s="20" t="s">
        <v>490</v>
      </c>
      <c r="H290" s="20" t="s">
        <v>261</v>
      </c>
      <c r="I290" s="20" t="s">
        <v>491</v>
      </c>
      <c r="J290" s="20" t="s">
        <v>492</v>
      </c>
      <c r="K290" s="20">
        <v>42.988413999999999</v>
      </c>
      <c r="L290" s="20">
        <v>-97.539907999999997</v>
      </c>
      <c r="M290" s="20" t="s">
        <v>137</v>
      </c>
      <c r="N290" s="4" t="s">
        <v>493</v>
      </c>
      <c r="O290" t="s">
        <v>54</v>
      </c>
      <c r="P290" t="s">
        <v>55</v>
      </c>
      <c r="Q290" s="5">
        <v>329</v>
      </c>
      <c r="R290" s="1">
        <v>45474</v>
      </c>
      <c r="S290" s="1">
        <v>45546</v>
      </c>
      <c r="T290">
        <v>160</v>
      </c>
      <c r="U290"/>
      <c r="V290">
        <v>527</v>
      </c>
      <c r="W290">
        <v>116</v>
      </c>
      <c r="X290">
        <v>80</v>
      </c>
      <c r="Z290">
        <v>3</v>
      </c>
      <c r="AA290" s="120"/>
      <c r="AB290" s="120"/>
      <c r="AC290" s="120"/>
    </row>
    <row r="291" spans="1:29" s="28" customFormat="1" x14ac:dyDescent="0.25">
      <c r="A291"/>
      <c r="B291" s="13">
        <v>45518</v>
      </c>
      <c r="C291" s="32">
        <v>3610.4</v>
      </c>
      <c r="D291" s="32"/>
      <c r="E291" s="32">
        <v>3610.4</v>
      </c>
      <c r="F291" s="32">
        <v>7220.8</v>
      </c>
      <c r="G291" s="8" t="s">
        <v>490</v>
      </c>
      <c r="H291" s="8" t="s">
        <v>261</v>
      </c>
      <c r="I291" s="8" t="s">
        <v>491</v>
      </c>
      <c r="J291" s="8" t="s">
        <v>492</v>
      </c>
      <c r="K291" s="8">
        <v>42.988413999999999</v>
      </c>
      <c r="L291" s="8">
        <v>-97.539907999999997</v>
      </c>
      <c r="M291" s="8" t="s">
        <v>137</v>
      </c>
      <c r="N291" s="10" t="s">
        <v>493</v>
      </c>
      <c r="O291" s="11" t="s">
        <v>56</v>
      </c>
      <c r="P291" s="11" t="s">
        <v>57</v>
      </c>
      <c r="Q291" s="12">
        <v>340</v>
      </c>
      <c r="R291" s="13">
        <v>45463</v>
      </c>
      <c r="S291" s="13">
        <v>45534</v>
      </c>
      <c r="T291" s="11">
        <v>160</v>
      </c>
      <c r="U291" s="11"/>
      <c r="V291" s="11">
        <v>1177</v>
      </c>
      <c r="W291" s="11">
        <v>391</v>
      </c>
      <c r="X291" s="11">
        <v>278</v>
      </c>
      <c r="Z291">
        <v>3</v>
      </c>
      <c r="AA291" s="120"/>
      <c r="AB291" s="120"/>
      <c r="AC291" s="120"/>
    </row>
    <row r="292" spans="1:29" s="28" customFormat="1" x14ac:dyDescent="0.25">
      <c r="A292"/>
      <c r="B292"/>
      <c r="C292" s="31"/>
      <c r="D292" s="31"/>
      <c r="E292" s="31"/>
      <c r="F292" s="31"/>
      <c r="G292" s="20" t="s">
        <v>494</v>
      </c>
      <c r="H292" s="20" t="s">
        <v>50</v>
      </c>
      <c r="I292" s="20" t="s">
        <v>495</v>
      </c>
      <c r="J292" s="20" t="s">
        <v>52</v>
      </c>
      <c r="K292" s="20">
        <v>44.076729</v>
      </c>
      <c r="L292" s="20">
        <v>-97.964685000000003</v>
      </c>
      <c r="M292" s="20" t="s">
        <v>53</v>
      </c>
      <c r="N292" s="4" t="s">
        <v>496</v>
      </c>
      <c r="O292" t="s">
        <v>54</v>
      </c>
      <c r="P292" t="s">
        <v>55</v>
      </c>
      <c r="Q292" s="5">
        <v>329</v>
      </c>
      <c r="R292" s="1">
        <v>45474</v>
      </c>
      <c r="S292" s="1">
        <v>45566</v>
      </c>
      <c r="T292">
        <v>65</v>
      </c>
      <c r="U292"/>
      <c r="V292">
        <v>221</v>
      </c>
      <c r="W292">
        <v>57</v>
      </c>
      <c r="X292">
        <v>36</v>
      </c>
      <c r="Z292">
        <v>3</v>
      </c>
      <c r="AA292" s="120"/>
      <c r="AB292" s="120"/>
      <c r="AC292" s="120"/>
    </row>
    <row r="293" spans="1:29" s="28" customFormat="1" x14ac:dyDescent="0.25">
      <c r="A293"/>
      <c r="B293" s="13">
        <v>45628</v>
      </c>
      <c r="C293" s="32">
        <v>1625</v>
      </c>
      <c r="D293" s="32"/>
      <c r="E293" s="32">
        <v>2177.96</v>
      </c>
      <c r="F293" s="32">
        <v>3802.96</v>
      </c>
      <c r="G293" s="8" t="s">
        <v>494</v>
      </c>
      <c r="H293" s="8" t="s">
        <v>50</v>
      </c>
      <c r="I293" s="8" t="s">
        <v>495</v>
      </c>
      <c r="J293" s="8" t="s">
        <v>52</v>
      </c>
      <c r="K293" s="8">
        <v>44.076729</v>
      </c>
      <c r="L293" s="8">
        <v>-97.964685000000003</v>
      </c>
      <c r="M293" s="8" t="s">
        <v>53</v>
      </c>
      <c r="N293" s="10" t="s">
        <v>496</v>
      </c>
      <c r="O293" s="11" t="s">
        <v>56</v>
      </c>
      <c r="P293" s="11" t="s">
        <v>57</v>
      </c>
      <c r="Q293" s="12">
        <v>340</v>
      </c>
      <c r="R293" s="13">
        <v>45474</v>
      </c>
      <c r="S293" s="13">
        <v>45566</v>
      </c>
      <c r="T293" s="11">
        <v>65</v>
      </c>
      <c r="U293" s="11"/>
      <c r="V293" s="11">
        <v>274</v>
      </c>
      <c r="W293" s="11">
        <v>85</v>
      </c>
      <c r="X293" s="11">
        <v>54</v>
      </c>
      <c r="Z293">
        <v>3</v>
      </c>
      <c r="AA293" s="120"/>
      <c r="AB293" s="120"/>
      <c r="AC293" s="120"/>
    </row>
    <row r="294" spans="1:29" s="28" customFormat="1" x14ac:dyDescent="0.25">
      <c r="A294"/>
      <c r="B294" s="13">
        <v>45513</v>
      </c>
      <c r="C294" s="32">
        <v>5534.65</v>
      </c>
      <c r="D294" s="32"/>
      <c r="E294" s="32">
        <v>5534.65</v>
      </c>
      <c r="F294" s="32">
        <v>11069.3</v>
      </c>
      <c r="G294" s="30" t="s">
        <v>497</v>
      </c>
      <c r="H294" s="30" t="s">
        <v>67</v>
      </c>
      <c r="I294" s="30" t="s">
        <v>498</v>
      </c>
      <c r="J294" s="30" t="s">
        <v>499</v>
      </c>
      <c r="K294" s="30">
        <v>43.541685000000001</v>
      </c>
      <c r="L294" s="30">
        <v>-97.554135000000002</v>
      </c>
      <c r="M294" s="30" t="s">
        <v>192</v>
      </c>
      <c r="N294" s="25" t="s">
        <v>500</v>
      </c>
      <c r="O294" s="24" t="s">
        <v>75</v>
      </c>
      <c r="P294" s="24" t="s">
        <v>475</v>
      </c>
      <c r="Q294" s="26">
        <v>914</v>
      </c>
      <c r="R294" s="27">
        <v>45446</v>
      </c>
      <c r="S294" s="27">
        <v>45509</v>
      </c>
      <c r="T294" s="24">
        <v>295</v>
      </c>
      <c r="U294" s="24"/>
      <c r="V294" s="24">
        <v>601</v>
      </c>
      <c r="W294" s="24">
        <v>52</v>
      </c>
      <c r="X294" s="24">
        <v>29</v>
      </c>
      <c r="Z294">
        <v>3</v>
      </c>
      <c r="AA294" s="120"/>
      <c r="AB294" s="120"/>
      <c r="AC294" s="120"/>
    </row>
    <row r="295" spans="1:29" s="28" customFormat="1" x14ac:dyDescent="0.25">
      <c r="A295"/>
      <c r="B295"/>
      <c r="C295" s="31"/>
      <c r="D295" s="31"/>
      <c r="E295" s="31"/>
      <c r="F295" s="31"/>
      <c r="G295" s="20" t="s">
        <v>501</v>
      </c>
      <c r="H295" s="20" t="s">
        <v>182</v>
      </c>
      <c r="I295" s="20" t="s">
        <v>502</v>
      </c>
      <c r="J295" s="20" t="s">
        <v>503</v>
      </c>
      <c r="K295" s="20">
        <v>45.400315999999997</v>
      </c>
      <c r="L295" s="20">
        <v>-97.255847000000003</v>
      </c>
      <c r="M295" s="20" t="s">
        <v>223</v>
      </c>
      <c r="N295" s="4">
        <v>2024</v>
      </c>
      <c r="O295" t="s">
        <v>54</v>
      </c>
      <c r="P295" t="s">
        <v>55</v>
      </c>
      <c r="Q295" s="5">
        <v>329</v>
      </c>
      <c r="R295" s="1">
        <v>45474</v>
      </c>
      <c r="S295" s="1">
        <v>45519</v>
      </c>
      <c r="T295">
        <v>22</v>
      </c>
      <c r="U295"/>
      <c r="V295">
        <v>48</v>
      </c>
      <c r="W295">
        <v>12</v>
      </c>
      <c r="X295">
        <v>9</v>
      </c>
      <c r="Z295">
        <v>3</v>
      </c>
      <c r="AA295" s="120"/>
      <c r="AB295" s="120"/>
      <c r="AC295" s="120"/>
    </row>
    <row r="296" spans="1:29" s="28" customFormat="1" x14ac:dyDescent="0.25">
      <c r="A296"/>
      <c r="B296" s="13">
        <v>45628</v>
      </c>
      <c r="C296" s="32">
        <v>646.25</v>
      </c>
      <c r="D296" s="32"/>
      <c r="E296" s="32">
        <v>646.25</v>
      </c>
      <c r="F296" s="32">
        <v>1292.5</v>
      </c>
      <c r="G296" s="8" t="s">
        <v>501</v>
      </c>
      <c r="H296" s="8" t="s">
        <v>182</v>
      </c>
      <c r="I296" s="8" t="s">
        <v>502</v>
      </c>
      <c r="J296" s="8" t="s">
        <v>503</v>
      </c>
      <c r="K296" s="8">
        <v>45.400315999999997</v>
      </c>
      <c r="L296" s="8">
        <v>-97.255847000000003</v>
      </c>
      <c r="M296" s="8" t="s">
        <v>223</v>
      </c>
      <c r="N296" s="10">
        <v>2024</v>
      </c>
      <c r="O296" s="11" t="s">
        <v>56</v>
      </c>
      <c r="P296" s="11" t="s">
        <v>57</v>
      </c>
      <c r="Q296" s="12">
        <v>340</v>
      </c>
      <c r="R296" s="13">
        <v>45505</v>
      </c>
      <c r="S296" s="13">
        <v>45870</v>
      </c>
      <c r="T296" s="11">
        <v>22</v>
      </c>
      <c r="U296" s="11"/>
      <c r="V296" s="11">
        <v>129</v>
      </c>
      <c r="W296" s="11">
        <v>45</v>
      </c>
      <c r="X296" s="11">
        <v>34</v>
      </c>
      <c r="Z296">
        <v>3</v>
      </c>
      <c r="AA296" s="120"/>
      <c r="AB296" s="120"/>
      <c r="AC296" s="120"/>
    </row>
    <row r="297" spans="1:29" s="28" customFormat="1" x14ac:dyDescent="0.25">
      <c r="A297"/>
      <c r="B297"/>
      <c r="C297" s="31"/>
      <c r="D297" s="31"/>
      <c r="E297" s="31"/>
      <c r="F297" s="31"/>
      <c r="G297" s="20" t="s">
        <v>504</v>
      </c>
      <c r="H297" s="20" t="s">
        <v>166</v>
      </c>
      <c r="I297" s="20" t="s">
        <v>505</v>
      </c>
      <c r="J297" s="20" t="s">
        <v>506</v>
      </c>
      <c r="K297" s="20">
        <v>43.873634000000003</v>
      </c>
      <c r="L297" s="20">
        <v>-97.582305000000005</v>
      </c>
      <c r="M297" s="20" t="s">
        <v>192</v>
      </c>
      <c r="N297" s="4" t="s">
        <v>507</v>
      </c>
      <c r="O297" t="s">
        <v>54</v>
      </c>
      <c r="P297" t="s">
        <v>55</v>
      </c>
      <c r="Q297" s="5">
        <v>329</v>
      </c>
      <c r="R297" s="1">
        <v>45505</v>
      </c>
      <c r="S297" s="1">
        <v>45645</v>
      </c>
      <c r="T297">
        <v>42</v>
      </c>
      <c r="U297"/>
      <c r="V297">
        <v>134</v>
      </c>
      <c r="W297">
        <v>33</v>
      </c>
      <c r="X297">
        <v>20</v>
      </c>
      <c r="Z297">
        <v>3</v>
      </c>
      <c r="AA297" s="120"/>
      <c r="AB297" s="120"/>
      <c r="AC297" s="120"/>
    </row>
    <row r="298" spans="1:29" s="28" customFormat="1" x14ac:dyDescent="0.25">
      <c r="A298"/>
      <c r="B298" s="13">
        <v>45562</v>
      </c>
      <c r="C298" s="32">
        <v>1162.5</v>
      </c>
      <c r="D298" s="32"/>
      <c r="E298" s="32">
        <v>1313.75</v>
      </c>
      <c r="F298" s="32">
        <v>2476.25</v>
      </c>
      <c r="G298" s="8" t="s">
        <v>504</v>
      </c>
      <c r="H298" s="8" t="s">
        <v>166</v>
      </c>
      <c r="I298" s="8" t="s">
        <v>505</v>
      </c>
      <c r="J298" s="8" t="s">
        <v>506</v>
      </c>
      <c r="K298" s="8">
        <v>43.873634000000003</v>
      </c>
      <c r="L298" s="8">
        <v>-97.582305000000005</v>
      </c>
      <c r="M298" s="8" t="s">
        <v>192</v>
      </c>
      <c r="N298" s="10" t="s">
        <v>507</v>
      </c>
      <c r="O298" s="11" t="s">
        <v>56</v>
      </c>
      <c r="P298" s="11" t="s">
        <v>57</v>
      </c>
      <c r="Q298" s="12">
        <v>340</v>
      </c>
      <c r="R298" s="13">
        <v>45524</v>
      </c>
      <c r="S298" s="13">
        <v>45562</v>
      </c>
      <c r="T298" s="11">
        <v>42</v>
      </c>
      <c r="U298" s="11"/>
      <c r="V298" s="11">
        <v>162</v>
      </c>
      <c r="W298" s="11">
        <v>49</v>
      </c>
      <c r="X298" s="11">
        <v>30</v>
      </c>
      <c r="Z298">
        <v>3</v>
      </c>
      <c r="AA298" s="120"/>
      <c r="AB298" s="120"/>
      <c r="AC298" s="120"/>
    </row>
    <row r="299" spans="1:29" s="28" customFormat="1" x14ac:dyDescent="0.25">
      <c r="A299"/>
      <c r="B299"/>
      <c r="C299" s="31"/>
      <c r="D299" s="31"/>
      <c r="E299" s="31"/>
      <c r="F299" s="31"/>
      <c r="G299" s="20" t="s">
        <v>508</v>
      </c>
      <c r="H299" s="20" t="s">
        <v>509</v>
      </c>
      <c r="I299" s="20" t="s">
        <v>510</v>
      </c>
      <c r="J299" s="20" t="s">
        <v>511</v>
      </c>
      <c r="K299" s="20">
        <v>44.114697999999997</v>
      </c>
      <c r="L299" s="20">
        <v>-97.293636000000006</v>
      </c>
      <c r="M299" s="20" t="s">
        <v>130</v>
      </c>
      <c r="N299" s="4" t="s">
        <v>512</v>
      </c>
      <c r="O299" t="s">
        <v>54</v>
      </c>
      <c r="P299" t="s">
        <v>55</v>
      </c>
      <c r="Q299" s="5">
        <v>329</v>
      </c>
      <c r="R299" s="1">
        <v>45566</v>
      </c>
      <c r="S299" s="1">
        <v>45597</v>
      </c>
      <c r="T299">
        <v>105</v>
      </c>
      <c r="U299"/>
      <c r="V299">
        <v>519.70000000000005</v>
      </c>
      <c r="W299">
        <v>150.4</v>
      </c>
      <c r="X299">
        <v>103.9</v>
      </c>
      <c r="Z299">
        <v>3</v>
      </c>
      <c r="AA299" s="120"/>
      <c r="AB299" s="120"/>
      <c r="AC299" s="120"/>
    </row>
    <row r="300" spans="1:29" s="28" customFormat="1" x14ac:dyDescent="0.25">
      <c r="A300"/>
      <c r="B300" s="13">
        <v>45565</v>
      </c>
      <c r="C300" s="32">
        <v>1752.45</v>
      </c>
      <c r="D300" s="32"/>
      <c r="E300" s="32">
        <v>1752.45</v>
      </c>
      <c r="F300" s="32">
        <v>3504.9</v>
      </c>
      <c r="G300" s="8" t="s">
        <v>508</v>
      </c>
      <c r="H300" s="8" t="s">
        <v>509</v>
      </c>
      <c r="I300" s="8" t="s">
        <v>510</v>
      </c>
      <c r="J300" s="8" t="s">
        <v>511</v>
      </c>
      <c r="K300" s="8">
        <v>44.114697999999997</v>
      </c>
      <c r="L300" s="8">
        <v>-97.293636000000006</v>
      </c>
      <c r="M300" s="8" t="s">
        <v>130</v>
      </c>
      <c r="N300" s="10" t="s">
        <v>512</v>
      </c>
      <c r="O300" s="11" t="s">
        <v>56</v>
      </c>
      <c r="P300" s="11" t="s">
        <v>57</v>
      </c>
      <c r="Q300" s="12">
        <v>340</v>
      </c>
      <c r="R300" s="13">
        <v>45597</v>
      </c>
      <c r="S300" s="13">
        <v>45597</v>
      </c>
      <c r="T300" s="11">
        <v>105</v>
      </c>
      <c r="U300" s="11"/>
      <c r="V300" s="11">
        <v>678.4</v>
      </c>
      <c r="W300" s="11">
        <v>225.3</v>
      </c>
      <c r="X300" s="11">
        <v>156.80000000000001</v>
      </c>
      <c r="Z300">
        <v>3</v>
      </c>
      <c r="AA300" s="120"/>
      <c r="AB300" s="120"/>
      <c r="AC300" s="120"/>
    </row>
    <row r="301" spans="1:29" s="28" customFormat="1" x14ac:dyDescent="0.25">
      <c r="A301"/>
      <c r="B301"/>
      <c r="C301" s="31"/>
      <c r="D301" s="31"/>
      <c r="E301" s="31"/>
      <c r="F301" s="31"/>
      <c r="G301" s="20" t="s">
        <v>508</v>
      </c>
      <c r="H301" s="20" t="s">
        <v>513</v>
      </c>
      <c r="I301" s="20" t="s">
        <v>510</v>
      </c>
      <c r="J301" s="20" t="s">
        <v>511</v>
      </c>
      <c r="K301" s="20">
        <v>43.982478</v>
      </c>
      <c r="L301" s="20">
        <v>-97.225204000000005</v>
      </c>
      <c r="M301" s="20" t="s">
        <v>130</v>
      </c>
      <c r="N301" s="4" t="s">
        <v>514</v>
      </c>
      <c r="O301" t="s">
        <v>54</v>
      </c>
      <c r="P301" t="s">
        <v>55</v>
      </c>
      <c r="Q301" s="5">
        <v>329</v>
      </c>
      <c r="R301" s="1">
        <v>45931</v>
      </c>
      <c r="S301" s="1">
        <v>45962</v>
      </c>
      <c r="T301">
        <v>145</v>
      </c>
      <c r="U301"/>
      <c r="V301">
        <v>699.5</v>
      </c>
      <c r="W301">
        <v>200.7</v>
      </c>
      <c r="X301">
        <v>137.80000000000001</v>
      </c>
      <c r="Z301">
        <v>3</v>
      </c>
      <c r="AA301" s="120"/>
      <c r="AB301" s="120"/>
      <c r="AC301" s="120"/>
    </row>
    <row r="302" spans="1:29" s="28" customFormat="1" ht="14.4" thickBot="1" x14ac:dyDescent="0.3">
      <c r="A302"/>
      <c r="B302" s="91">
        <v>45565</v>
      </c>
      <c r="C302" s="97">
        <v>2420.0500000000002</v>
      </c>
      <c r="D302" s="97"/>
      <c r="E302" s="93">
        <v>2420.0500000000002</v>
      </c>
      <c r="F302" s="93">
        <v>4840.1000000000004</v>
      </c>
      <c r="G302" s="61" t="s">
        <v>508</v>
      </c>
      <c r="H302" s="61" t="s">
        <v>513</v>
      </c>
      <c r="I302" s="61" t="s">
        <v>510</v>
      </c>
      <c r="J302" s="61" t="s">
        <v>511</v>
      </c>
      <c r="K302" s="61">
        <v>43.982478</v>
      </c>
      <c r="L302" s="61">
        <v>-97.225204000000005</v>
      </c>
      <c r="M302" s="61" t="s">
        <v>130</v>
      </c>
      <c r="N302" s="95" t="s">
        <v>514</v>
      </c>
      <c r="O302" s="92" t="s">
        <v>56</v>
      </c>
      <c r="P302" s="92" t="s">
        <v>57</v>
      </c>
      <c r="Q302" s="96">
        <v>340</v>
      </c>
      <c r="R302" s="91">
        <v>45962</v>
      </c>
      <c r="S302" s="91">
        <v>45962</v>
      </c>
      <c r="T302" s="92">
        <v>145</v>
      </c>
      <c r="U302" s="92"/>
      <c r="V302" s="92">
        <v>909.4</v>
      </c>
      <c r="W302" s="92">
        <v>300.60000000000002</v>
      </c>
      <c r="X302" s="92">
        <v>207.8</v>
      </c>
      <c r="Z302">
        <v>3</v>
      </c>
      <c r="AA302" s="120"/>
      <c r="AB302" s="120"/>
      <c r="AC302" s="120"/>
    </row>
    <row r="303" spans="1:29" s="28" customFormat="1" x14ac:dyDescent="0.25">
      <c r="A303" s="46"/>
      <c r="B303" s="58" t="s">
        <v>663</v>
      </c>
      <c r="C303" s="55"/>
      <c r="D303" s="55"/>
      <c r="E303" s="55"/>
      <c r="F303" s="55"/>
      <c r="G303" s="94" t="s">
        <v>508</v>
      </c>
      <c r="H303" s="94" t="s">
        <v>513</v>
      </c>
      <c r="I303" s="94" t="s">
        <v>510</v>
      </c>
      <c r="J303" s="94" t="s">
        <v>511</v>
      </c>
      <c r="K303" s="94">
        <v>43.982478</v>
      </c>
      <c r="L303" s="94">
        <v>-97.225204000000005</v>
      </c>
      <c r="M303" s="94" t="s">
        <v>130</v>
      </c>
      <c r="N303" s="56" t="s">
        <v>664</v>
      </c>
      <c r="O303" s="54" t="s">
        <v>56</v>
      </c>
      <c r="P303" s="54" t="s">
        <v>57</v>
      </c>
      <c r="Q303" s="57">
        <v>340</v>
      </c>
      <c r="R303" s="58">
        <v>44764</v>
      </c>
      <c r="S303" s="58">
        <v>44768</v>
      </c>
      <c r="T303" s="54">
        <v>0</v>
      </c>
      <c r="U303" s="54"/>
      <c r="V303" s="54"/>
      <c r="W303" s="54"/>
      <c r="X303" s="54"/>
      <c r="Z303" s="46">
        <v>2</v>
      </c>
      <c r="AA303" s="120"/>
      <c r="AB303" s="120"/>
      <c r="AC303" s="120"/>
    </row>
    <row r="304" spans="1:29" s="28" customFormat="1" x14ac:dyDescent="0.25">
      <c r="A304"/>
      <c r="B304"/>
      <c r="C304" s="31"/>
      <c r="D304" s="31"/>
      <c r="E304" s="31"/>
      <c r="F304" s="31"/>
      <c r="G304" s="20" t="s">
        <v>515</v>
      </c>
      <c r="H304" s="20" t="s">
        <v>516</v>
      </c>
      <c r="I304" s="20" t="s">
        <v>517</v>
      </c>
      <c r="J304" s="20" t="s">
        <v>518</v>
      </c>
      <c r="K304" s="20">
        <v>43.116155999999997</v>
      </c>
      <c r="L304" s="20">
        <v>-96.990053000000003</v>
      </c>
      <c r="M304" s="20" t="s">
        <v>100</v>
      </c>
      <c r="N304" s="4" t="s">
        <v>519</v>
      </c>
      <c r="O304" t="s">
        <v>54</v>
      </c>
      <c r="P304" t="s">
        <v>55</v>
      </c>
      <c r="Q304" s="5">
        <v>329</v>
      </c>
      <c r="R304" s="1">
        <v>45468</v>
      </c>
      <c r="S304" s="1">
        <v>45523</v>
      </c>
      <c r="T304">
        <v>143</v>
      </c>
      <c r="U304"/>
      <c r="V304">
        <v>669</v>
      </c>
      <c r="W304">
        <v>205</v>
      </c>
      <c r="X304">
        <v>1500</v>
      </c>
      <c r="Z304">
        <v>3</v>
      </c>
      <c r="AA304" s="120"/>
      <c r="AB304" s="120"/>
      <c r="AC304" s="120"/>
    </row>
    <row r="305" spans="1:29" s="28" customFormat="1" x14ac:dyDescent="0.25">
      <c r="A305"/>
      <c r="B305" s="13">
        <v>45523</v>
      </c>
      <c r="C305" s="32">
        <v>3221.07</v>
      </c>
      <c r="D305" s="32"/>
      <c r="E305" s="32">
        <v>3221.08</v>
      </c>
      <c r="F305" s="32">
        <v>6442.15</v>
      </c>
      <c r="G305" s="8" t="s">
        <v>515</v>
      </c>
      <c r="H305" s="8" t="s">
        <v>516</v>
      </c>
      <c r="I305" s="8" t="s">
        <v>517</v>
      </c>
      <c r="J305" s="8" t="s">
        <v>518</v>
      </c>
      <c r="K305" s="8">
        <v>43.116155999999997</v>
      </c>
      <c r="L305" s="8">
        <v>-96.990053000000003</v>
      </c>
      <c r="M305" s="8" t="s">
        <v>100</v>
      </c>
      <c r="N305" s="10" t="s">
        <v>519</v>
      </c>
      <c r="O305" s="11" t="s">
        <v>56</v>
      </c>
      <c r="P305" s="11" t="s">
        <v>57</v>
      </c>
      <c r="Q305" s="12">
        <v>340</v>
      </c>
      <c r="R305" s="13">
        <v>45467</v>
      </c>
      <c r="S305" s="13">
        <v>45523</v>
      </c>
      <c r="T305" s="11">
        <v>143</v>
      </c>
      <c r="U305" s="11"/>
      <c r="V305" s="11">
        <v>669</v>
      </c>
      <c r="W305" s="11">
        <v>205</v>
      </c>
      <c r="X305" s="11">
        <v>135</v>
      </c>
      <c r="Z305">
        <v>3</v>
      </c>
      <c r="AA305" s="120"/>
      <c r="AB305" s="120"/>
      <c r="AC305" s="120"/>
    </row>
    <row r="306" spans="1:29" s="28" customFormat="1" x14ac:dyDescent="0.25">
      <c r="A306"/>
      <c r="B306"/>
      <c r="C306" s="31"/>
      <c r="D306" s="31"/>
      <c r="E306" s="31"/>
      <c r="F306" s="31"/>
      <c r="G306" s="20" t="s">
        <v>515</v>
      </c>
      <c r="H306" s="20" t="s">
        <v>255</v>
      </c>
      <c r="I306" s="20" t="s">
        <v>517</v>
      </c>
      <c r="J306" s="20" t="s">
        <v>518</v>
      </c>
      <c r="K306" s="20">
        <v>43.106862999999997</v>
      </c>
      <c r="L306" s="20">
        <v>-96.971483000000006</v>
      </c>
      <c r="M306" s="20" t="s">
        <v>100</v>
      </c>
      <c r="N306" s="4" t="s">
        <v>520</v>
      </c>
      <c r="O306" t="s">
        <v>54</v>
      </c>
      <c r="P306" t="s">
        <v>55</v>
      </c>
      <c r="Q306" s="5">
        <v>329</v>
      </c>
      <c r="R306" s="1">
        <v>45462</v>
      </c>
      <c r="S306" s="1">
        <v>45523</v>
      </c>
      <c r="T306">
        <v>120</v>
      </c>
      <c r="U306"/>
      <c r="V306">
        <v>294</v>
      </c>
      <c r="W306">
        <v>48</v>
      </c>
      <c r="X306">
        <v>628</v>
      </c>
      <c r="Z306">
        <v>3</v>
      </c>
      <c r="AA306" s="120"/>
      <c r="AB306" s="120"/>
      <c r="AC306" s="120"/>
    </row>
    <row r="307" spans="1:29" s="28" customFormat="1" x14ac:dyDescent="0.25">
      <c r="A307"/>
      <c r="B307"/>
      <c r="C307" s="31"/>
      <c r="D307" s="31"/>
      <c r="E307" s="31"/>
      <c r="F307" s="31"/>
      <c r="G307" s="6" t="s">
        <v>515</v>
      </c>
      <c r="H307" s="6" t="s">
        <v>255</v>
      </c>
      <c r="I307" s="6" t="s">
        <v>517</v>
      </c>
      <c r="J307" s="6" t="s">
        <v>518</v>
      </c>
      <c r="K307" s="6">
        <v>43.106862999999997</v>
      </c>
      <c r="L307" s="6">
        <v>-96.971483000000006</v>
      </c>
      <c r="M307" s="6" t="s">
        <v>100</v>
      </c>
      <c r="N307" s="4" t="s">
        <v>520</v>
      </c>
      <c r="O307" t="s">
        <v>54</v>
      </c>
      <c r="P307" t="s">
        <v>521</v>
      </c>
      <c r="Q307" s="5">
        <v>327</v>
      </c>
      <c r="R307" s="1">
        <v>45461</v>
      </c>
      <c r="S307" s="1">
        <v>45524</v>
      </c>
      <c r="T307">
        <v>120</v>
      </c>
      <c r="U307"/>
      <c r="V307"/>
      <c r="W307"/>
      <c r="X307"/>
      <c r="Z307">
        <v>3</v>
      </c>
      <c r="AA307" s="120"/>
      <c r="AB307" s="120"/>
      <c r="AC307" s="120"/>
    </row>
    <row r="308" spans="1:29" s="28" customFormat="1" x14ac:dyDescent="0.25">
      <c r="A308"/>
      <c r="B308" s="13">
        <v>45523</v>
      </c>
      <c r="C308" s="32">
        <v>2883</v>
      </c>
      <c r="D308" s="32"/>
      <c r="E308" s="32">
        <v>2883</v>
      </c>
      <c r="F308" s="32">
        <v>5799</v>
      </c>
      <c r="G308" s="8" t="s">
        <v>515</v>
      </c>
      <c r="H308" s="8" t="s">
        <v>255</v>
      </c>
      <c r="I308" s="8" t="s">
        <v>517</v>
      </c>
      <c r="J308" s="8" t="s">
        <v>518</v>
      </c>
      <c r="K308" s="8">
        <v>43.106862999999997</v>
      </c>
      <c r="L308" s="8">
        <v>-96.971483000000006</v>
      </c>
      <c r="M308" s="8" t="s">
        <v>100</v>
      </c>
      <c r="N308" s="10" t="s">
        <v>520</v>
      </c>
      <c r="O308" s="11" t="s">
        <v>56</v>
      </c>
      <c r="P308" s="11" t="s">
        <v>57</v>
      </c>
      <c r="Q308" s="12">
        <v>340</v>
      </c>
      <c r="R308" s="13">
        <v>45453</v>
      </c>
      <c r="S308" s="13">
        <v>45523</v>
      </c>
      <c r="T308" s="11">
        <v>120</v>
      </c>
      <c r="U308" s="11"/>
      <c r="V308" s="11">
        <v>569</v>
      </c>
      <c r="W308" s="11">
        <v>175</v>
      </c>
      <c r="X308" s="11">
        <v>109</v>
      </c>
      <c r="Z308">
        <v>3</v>
      </c>
      <c r="AA308" s="120"/>
      <c r="AB308" s="120"/>
      <c r="AC308" s="120"/>
    </row>
    <row r="309" spans="1:29" s="28" customFormat="1" x14ac:dyDescent="0.25">
      <c r="A309"/>
      <c r="B309"/>
      <c r="C309" s="31"/>
      <c r="D309" s="31"/>
      <c r="E309" s="31"/>
      <c r="F309" s="31"/>
      <c r="G309" s="20" t="s">
        <v>515</v>
      </c>
      <c r="H309" s="20" t="s">
        <v>126</v>
      </c>
      <c r="I309" s="20" t="s">
        <v>517</v>
      </c>
      <c r="J309" s="20" t="s">
        <v>518</v>
      </c>
      <c r="K309" s="20">
        <v>43.093499000000001</v>
      </c>
      <c r="L309" s="20">
        <v>-96.959620000000001</v>
      </c>
      <c r="M309" s="20" t="s">
        <v>100</v>
      </c>
      <c r="N309" s="4" t="s">
        <v>522</v>
      </c>
      <c r="O309" t="s">
        <v>54</v>
      </c>
      <c r="P309" t="s">
        <v>55</v>
      </c>
      <c r="Q309" s="5">
        <v>329</v>
      </c>
      <c r="R309" s="1">
        <v>45467</v>
      </c>
      <c r="S309" s="1">
        <v>45518</v>
      </c>
      <c r="T309">
        <v>162</v>
      </c>
      <c r="U309"/>
      <c r="V309">
        <v>392</v>
      </c>
      <c r="W309">
        <v>63</v>
      </c>
      <c r="X309">
        <v>1007</v>
      </c>
      <c r="Z309">
        <v>3</v>
      </c>
      <c r="AA309" s="120"/>
      <c r="AB309" s="120"/>
      <c r="AC309" s="120"/>
    </row>
    <row r="310" spans="1:29" s="28" customFormat="1" x14ac:dyDescent="0.25">
      <c r="A310"/>
      <c r="B310" s="13">
        <v>45512</v>
      </c>
      <c r="C310" s="32">
        <v>3649.05</v>
      </c>
      <c r="D310" s="32"/>
      <c r="E310" s="32">
        <v>3649.05</v>
      </c>
      <c r="F310" s="32" t="s">
        <v>523</v>
      </c>
      <c r="G310" s="8" t="s">
        <v>515</v>
      </c>
      <c r="H310" s="8" t="s">
        <v>126</v>
      </c>
      <c r="I310" s="8" t="s">
        <v>517</v>
      </c>
      <c r="J310" s="8" t="s">
        <v>518</v>
      </c>
      <c r="K310" s="8">
        <v>43.093499000000001</v>
      </c>
      <c r="L310" s="8">
        <v>-96.959620000000001</v>
      </c>
      <c r="M310" s="8" t="s">
        <v>100</v>
      </c>
      <c r="N310" s="10" t="s">
        <v>522</v>
      </c>
      <c r="O310" s="11" t="s">
        <v>56</v>
      </c>
      <c r="P310" s="11" t="s">
        <v>57</v>
      </c>
      <c r="Q310" s="12">
        <v>340</v>
      </c>
      <c r="R310" s="13">
        <v>45453</v>
      </c>
      <c r="S310" s="13">
        <v>45518</v>
      </c>
      <c r="T310" s="11">
        <v>162</v>
      </c>
      <c r="U310" s="11"/>
      <c r="V310" s="11">
        <v>751</v>
      </c>
      <c r="W310" s="11">
        <v>229</v>
      </c>
      <c r="X310" s="11">
        <v>142</v>
      </c>
      <c r="Z310">
        <v>3</v>
      </c>
      <c r="AA310" s="120"/>
      <c r="AB310" s="120"/>
      <c r="AC310" s="120"/>
    </row>
    <row r="311" spans="1:29" s="28" customFormat="1" x14ac:dyDescent="0.25">
      <c r="A311"/>
      <c r="B311"/>
      <c r="C311" s="31"/>
      <c r="D311" s="31"/>
      <c r="E311" s="31"/>
      <c r="F311" s="31"/>
      <c r="G311" s="20" t="s">
        <v>524</v>
      </c>
      <c r="H311" s="20" t="s">
        <v>525</v>
      </c>
      <c r="I311" s="20" t="s">
        <v>526</v>
      </c>
      <c r="J311" s="20" t="s">
        <v>527</v>
      </c>
      <c r="K311" s="20">
        <v>43.531500000000001</v>
      </c>
      <c r="L311" s="20">
        <v>-97.830169999999995</v>
      </c>
      <c r="M311" s="20" t="s">
        <v>64</v>
      </c>
      <c r="N311" s="4" t="s">
        <v>528</v>
      </c>
      <c r="O311" t="s">
        <v>83</v>
      </c>
      <c r="P311" t="s">
        <v>84</v>
      </c>
      <c r="Q311" s="5">
        <v>328</v>
      </c>
      <c r="R311" s="1">
        <v>45047</v>
      </c>
      <c r="S311" s="1">
        <v>45146</v>
      </c>
      <c r="T311">
        <v>19</v>
      </c>
      <c r="U311"/>
      <c r="V311"/>
      <c r="W311"/>
      <c r="X311"/>
      <c r="Z311">
        <v>2</v>
      </c>
      <c r="AA311" s="120"/>
      <c r="AB311" s="120"/>
      <c r="AC311" s="120"/>
    </row>
    <row r="312" spans="1:29" s="28" customFormat="1" x14ac:dyDescent="0.25">
      <c r="A312"/>
      <c r="B312" s="13">
        <v>45184</v>
      </c>
      <c r="C312" s="32">
        <v>1551.19</v>
      </c>
      <c r="D312" s="32"/>
      <c r="E312" s="32">
        <v>1551.19</v>
      </c>
      <c r="F312" s="32">
        <v>3102.38</v>
      </c>
      <c r="G312" s="8" t="s">
        <v>524</v>
      </c>
      <c r="H312" s="8" t="s">
        <v>525</v>
      </c>
      <c r="I312" s="8" t="s">
        <v>526</v>
      </c>
      <c r="J312" s="8" t="s">
        <v>527</v>
      </c>
      <c r="K312" s="8">
        <v>43.531500000000001</v>
      </c>
      <c r="L312" s="8">
        <v>-97.830169999999995</v>
      </c>
      <c r="M312" s="8" t="s">
        <v>64</v>
      </c>
      <c r="N312" s="10" t="s">
        <v>528</v>
      </c>
      <c r="O312" s="11" t="s">
        <v>132</v>
      </c>
      <c r="P312" s="11" t="s">
        <v>529</v>
      </c>
      <c r="Q312" s="12"/>
      <c r="R312" s="13">
        <v>45054</v>
      </c>
      <c r="S312" s="13">
        <v>45155</v>
      </c>
      <c r="T312" s="11">
        <v>19</v>
      </c>
      <c r="U312" s="11"/>
      <c r="V312" s="116">
        <v>34</v>
      </c>
      <c r="W312" s="116">
        <v>11</v>
      </c>
      <c r="X312" s="116">
        <v>7.22</v>
      </c>
      <c r="Z312">
        <v>2</v>
      </c>
      <c r="AA312" s="120"/>
      <c r="AB312" s="120"/>
      <c r="AC312" s="120"/>
    </row>
    <row r="313" spans="1:29" s="28" customFormat="1" x14ac:dyDescent="0.25">
      <c r="A313"/>
      <c r="B313"/>
      <c r="C313" s="31"/>
      <c r="D313" s="31"/>
      <c r="E313" s="31"/>
      <c r="F313" s="31"/>
      <c r="G313" s="20" t="s">
        <v>425</v>
      </c>
      <c r="H313" s="20" t="s">
        <v>530</v>
      </c>
      <c r="I313" s="20" t="s">
        <v>531</v>
      </c>
      <c r="J313" s="20" t="s">
        <v>532</v>
      </c>
      <c r="K313" s="20">
        <v>45.160854</v>
      </c>
      <c r="L313" s="20">
        <v>-97.736018000000001</v>
      </c>
      <c r="M313" s="20" t="s">
        <v>233</v>
      </c>
      <c r="N313" s="4">
        <v>202401</v>
      </c>
      <c r="O313" t="s">
        <v>54</v>
      </c>
      <c r="P313" t="s">
        <v>55</v>
      </c>
      <c r="Q313" s="5">
        <v>329</v>
      </c>
      <c r="R313" s="1">
        <v>45413</v>
      </c>
      <c r="S313" s="1">
        <v>45536</v>
      </c>
      <c r="T313">
        <v>450</v>
      </c>
      <c r="U313"/>
      <c r="V313">
        <v>689</v>
      </c>
      <c r="W313">
        <v>133</v>
      </c>
      <c r="X313">
        <v>85</v>
      </c>
      <c r="Z313">
        <v>3</v>
      </c>
      <c r="AA313" s="120"/>
      <c r="AB313" s="120"/>
      <c r="AC313" s="120"/>
    </row>
    <row r="314" spans="1:29" s="28" customFormat="1" x14ac:dyDescent="0.25">
      <c r="A314"/>
      <c r="B314" s="13">
        <v>45558</v>
      </c>
      <c r="C314" s="32">
        <v>4480</v>
      </c>
      <c r="D314" s="32"/>
      <c r="E314" s="32">
        <v>19328.95</v>
      </c>
      <c r="F314" s="32">
        <v>23808.95</v>
      </c>
      <c r="G314" s="8" t="s">
        <v>425</v>
      </c>
      <c r="H314" s="8" t="s">
        <v>530</v>
      </c>
      <c r="I314" s="8" t="s">
        <v>531</v>
      </c>
      <c r="J314" s="8" t="s">
        <v>532</v>
      </c>
      <c r="K314" s="8">
        <v>45.160854</v>
      </c>
      <c r="L314" s="8">
        <v>-97.736018000000001</v>
      </c>
      <c r="M314" s="8" t="s">
        <v>233</v>
      </c>
      <c r="N314" s="10">
        <v>202401</v>
      </c>
      <c r="O314" s="11" t="s">
        <v>56</v>
      </c>
      <c r="P314" s="11" t="s">
        <v>57</v>
      </c>
      <c r="Q314" s="12">
        <v>340</v>
      </c>
      <c r="R314" s="13">
        <v>45778</v>
      </c>
      <c r="S314" s="13">
        <v>45778</v>
      </c>
      <c r="T314" s="11">
        <v>450</v>
      </c>
      <c r="U314" s="11"/>
      <c r="V314" s="11">
        <v>1515</v>
      </c>
      <c r="W314" s="11">
        <v>493</v>
      </c>
      <c r="X314" s="11">
        <v>334</v>
      </c>
      <c r="Z314">
        <v>3</v>
      </c>
      <c r="AA314" s="120"/>
      <c r="AB314" s="120"/>
      <c r="AC314" s="120"/>
    </row>
    <row r="315" spans="1:29" s="28" customFormat="1" x14ac:dyDescent="0.25">
      <c r="A315"/>
      <c r="B315"/>
      <c r="C315" s="31"/>
      <c r="D315" s="31"/>
      <c r="E315" s="31"/>
      <c r="F315" s="31"/>
      <c r="G315" s="20" t="s">
        <v>533</v>
      </c>
      <c r="H315" s="20" t="s">
        <v>534</v>
      </c>
      <c r="I315" s="20" t="s">
        <v>535</v>
      </c>
      <c r="J315" s="20" t="s">
        <v>536</v>
      </c>
      <c r="K315" s="20">
        <v>43.135117000000001</v>
      </c>
      <c r="L315" s="20">
        <v>-96.605461000000005</v>
      </c>
      <c r="M315" s="20" t="s">
        <v>418</v>
      </c>
      <c r="N315" s="4" t="s">
        <v>537</v>
      </c>
      <c r="O315" t="s">
        <v>83</v>
      </c>
      <c r="P315" t="s">
        <v>84</v>
      </c>
      <c r="Q315" s="5">
        <v>328</v>
      </c>
      <c r="R315" s="1">
        <v>45505</v>
      </c>
      <c r="S315" s="1">
        <v>45703</v>
      </c>
      <c r="T315">
        <v>148</v>
      </c>
      <c r="U315"/>
      <c r="V315"/>
      <c r="W315"/>
      <c r="X315"/>
      <c r="Z315">
        <v>3</v>
      </c>
      <c r="AA315" s="120"/>
      <c r="AB315" s="120"/>
      <c r="AC315" s="120"/>
    </row>
    <row r="316" spans="1:29" s="28" customFormat="1" x14ac:dyDescent="0.25">
      <c r="A316"/>
      <c r="B316"/>
      <c r="C316" s="31"/>
      <c r="D316" s="31"/>
      <c r="E316" s="31"/>
      <c r="F316" s="31"/>
      <c r="G316" s="6" t="s">
        <v>533</v>
      </c>
      <c r="H316" s="6" t="s">
        <v>534</v>
      </c>
      <c r="I316" s="6" t="s">
        <v>535</v>
      </c>
      <c r="J316" s="6" t="s">
        <v>536</v>
      </c>
      <c r="K316" s="6">
        <v>43.135117000000001</v>
      </c>
      <c r="L316" s="6">
        <v>-96.605461000000005</v>
      </c>
      <c r="M316" s="6" t="s">
        <v>418</v>
      </c>
      <c r="N316" s="4" t="s">
        <v>537</v>
      </c>
      <c r="O316" t="s">
        <v>54</v>
      </c>
      <c r="P316" t="s">
        <v>55</v>
      </c>
      <c r="Q316" s="5">
        <v>329</v>
      </c>
      <c r="R316" s="1">
        <v>45505</v>
      </c>
      <c r="S316" s="1">
        <v>45621</v>
      </c>
      <c r="T316">
        <v>148</v>
      </c>
      <c r="U316"/>
      <c r="V316">
        <v>430</v>
      </c>
      <c r="W316">
        <v>80</v>
      </c>
      <c r="X316">
        <v>50</v>
      </c>
      <c r="Z316">
        <v>3</v>
      </c>
      <c r="AA316" s="120"/>
      <c r="AB316" s="120"/>
      <c r="AC316" s="120"/>
    </row>
    <row r="317" spans="1:29" s="28" customFormat="1" x14ac:dyDescent="0.25">
      <c r="A317"/>
      <c r="B317" s="13">
        <v>45553</v>
      </c>
      <c r="C317" s="32">
        <v>2583.63</v>
      </c>
      <c r="D317" s="32"/>
      <c r="E317" s="32">
        <v>2583.63</v>
      </c>
      <c r="F317" s="32">
        <v>5167.26</v>
      </c>
      <c r="G317" s="8" t="s">
        <v>533</v>
      </c>
      <c r="H317" s="8" t="s">
        <v>534</v>
      </c>
      <c r="I317" s="8" t="s">
        <v>535</v>
      </c>
      <c r="J317" s="8" t="s">
        <v>536</v>
      </c>
      <c r="K317" s="8">
        <v>43.135117000000001</v>
      </c>
      <c r="L317" s="8">
        <v>-96.605461000000005</v>
      </c>
      <c r="M317" s="8" t="s">
        <v>418</v>
      </c>
      <c r="N317" s="10" t="s">
        <v>537</v>
      </c>
      <c r="O317" s="11" t="s">
        <v>56</v>
      </c>
      <c r="P317" s="11" t="s">
        <v>57</v>
      </c>
      <c r="Q317" s="12">
        <v>340</v>
      </c>
      <c r="R317" s="13">
        <v>45505</v>
      </c>
      <c r="S317" s="13">
        <v>45576</v>
      </c>
      <c r="T317" s="11">
        <v>148</v>
      </c>
      <c r="U317" s="11"/>
      <c r="V317" s="11">
        <v>719</v>
      </c>
      <c r="W317" s="11">
        <v>295</v>
      </c>
      <c r="X317" s="11">
        <v>169</v>
      </c>
      <c r="Z317">
        <v>3</v>
      </c>
      <c r="AA317" s="120"/>
      <c r="AB317" s="120"/>
      <c r="AC317" s="120"/>
    </row>
    <row r="318" spans="1:29" s="28" customFormat="1" x14ac:dyDescent="0.25">
      <c r="A318"/>
      <c r="B318"/>
      <c r="C318" s="31"/>
      <c r="D318" s="31"/>
      <c r="E318" s="31"/>
      <c r="F318" s="31"/>
      <c r="G318" s="20" t="s">
        <v>538</v>
      </c>
      <c r="H318" s="20" t="s">
        <v>539</v>
      </c>
      <c r="I318" s="20" t="s">
        <v>540</v>
      </c>
      <c r="J318" s="20" t="s">
        <v>483</v>
      </c>
      <c r="K318" s="20">
        <v>44.649090999999999</v>
      </c>
      <c r="L318" s="20">
        <v>-101.3486</v>
      </c>
      <c r="M318" s="20" t="s">
        <v>484</v>
      </c>
      <c r="N318" s="4" t="s">
        <v>512</v>
      </c>
      <c r="O318" t="s">
        <v>54</v>
      </c>
      <c r="P318" t="s">
        <v>55</v>
      </c>
      <c r="Q318" s="5">
        <v>329</v>
      </c>
      <c r="R318" s="1">
        <v>45413</v>
      </c>
      <c r="S318" s="1">
        <v>45425</v>
      </c>
      <c r="T318">
        <v>169</v>
      </c>
      <c r="U318"/>
      <c r="V318">
        <v>1293</v>
      </c>
      <c r="W318">
        <v>446</v>
      </c>
      <c r="X318">
        <v>344</v>
      </c>
      <c r="Z318">
        <v>3</v>
      </c>
      <c r="AA318" s="120"/>
      <c r="AB318" s="120"/>
      <c r="AC318" s="120"/>
    </row>
    <row r="319" spans="1:29" s="28" customFormat="1" x14ac:dyDescent="0.25">
      <c r="A319"/>
      <c r="B319" s="13">
        <v>45444</v>
      </c>
      <c r="C319" s="32">
        <v>4000</v>
      </c>
      <c r="D319" s="32"/>
      <c r="E319" s="32">
        <v>9596.15</v>
      </c>
      <c r="F319" s="32">
        <v>13596.15</v>
      </c>
      <c r="G319" s="8" t="s">
        <v>538</v>
      </c>
      <c r="H319" s="8" t="s">
        <v>539</v>
      </c>
      <c r="I319" s="8" t="s">
        <v>540</v>
      </c>
      <c r="J319" s="8" t="s">
        <v>483</v>
      </c>
      <c r="K319" s="8">
        <v>44.649090999999999</v>
      </c>
      <c r="L319" s="8">
        <v>-101.3486</v>
      </c>
      <c r="M319" s="8" t="s">
        <v>484</v>
      </c>
      <c r="N319" s="10" t="s">
        <v>512</v>
      </c>
      <c r="O319" s="11" t="s">
        <v>56</v>
      </c>
      <c r="P319" s="11" t="s">
        <v>57</v>
      </c>
      <c r="Q319" s="12">
        <v>340</v>
      </c>
      <c r="R319" s="13">
        <v>45422</v>
      </c>
      <c r="S319" s="13">
        <v>45422</v>
      </c>
      <c r="T319" s="11">
        <v>169</v>
      </c>
      <c r="U319" s="11"/>
      <c r="V319" s="11">
        <v>1842</v>
      </c>
      <c r="W319" s="11">
        <v>672</v>
      </c>
      <c r="X319" s="11">
        <v>518</v>
      </c>
      <c r="Z319">
        <v>3</v>
      </c>
      <c r="AA319" s="120"/>
      <c r="AB319" s="120"/>
      <c r="AC319" s="120"/>
    </row>
    <row r="320" spans="1:29" s="28" customFormat="1" x14ac:dyDescent="0.25">
      <c r="A320"/>
      <c r="B320"/>
      <c r="C320" s="31"/>
      <c r="D320" s="31"/>
      <c r="E320" s="31"/>
      <c r="F320" s="31"/>
      <c r="G320" s="20" t="s">
        <v>538</v>
      </c>
      <c r="H320" s="20" t="s">
        <v>541</v>
      </c>
      <c r="I320" s="20" t="s">
        <v>542</v>
      </c>
      <c r="J320" s="20" t="s">
        <v>483</v>
      </c>
      <c r="K320" s="20">
        <v>44.614719000000001</v>
      </c>
      <c r="L320" s="20">
        <v>-101.300434</v>
      </c>
      <c r="M320" s="20" t="s">
        <v>484</v>
      </c>
      <c r="N320" s="4" t="s">
        <v>543</v>
      </c>
      <c r="O320" t="s">
        <v>54</v>
      </c>
      <c r="P320" t="s">
        <v>55</v>
      </c>
      <c r="Q320" s="5">
        <v>329</v>
      </c>
      <c r="R320" s="1">
        <v>45425</v>
      </c>
      <c r="S320" s="1">
        <v>45446</v>
      </c>
      <c r="T320">
        <v>146</v>
      </c>
      <c r="U320"/>
      <c r="V320">
        <v>1135</v>
      </c>
      <c r="W320">
        <v>392</v>
      </c>
      <c r="X320">
        <v>302</v>
      </c>
      <c r="Z320">
        <v>3</v>
      </c>
      <c r="AA320" s="120"/>
      <c r="AB320" s="120"/>
      <c r="AC320" s="120"/>
    </row>
    <row r="321" spans="1:29" s="28" customFormat="1" x14ac:dyDescent="0.25">
      <c r="A321"/>
      <c r="B321" s="13">
        <v>45426</v>
      </c>
      <c r="C321" s="32">
        <v>3650</v>
      </c>
      <c r="D321" s="32"/>
      <c r="E321" s="32">
        <v>13366.66</v>
      </c>
      <c r="F321" s="32">
        <v>17016.66</v>
      </c>
      <c r="G321" s="8" t="s">
        <v>538</v>
      </c>
      <c r="H321" s="8" t="s">
        <v>541</v>
      </c>
      <c r="I321" s="8" t="s">
        <v>542</v>
      </c>
      <c r="J321" s="8" t="s">
        <v>483</v>
      </c>
      <c r="K321" s="8">
        <v>44.614719000000001</v>
      </c>
      <c r="L321" s="8">
        <v>-101.300434</v>
      </c>
      <c r="M321" s="8" t="s">
        <v>484</v>
      </c>
      <c r="N321" s="10" t="s">
        <v>543</v>
      </c>
      <c r="O321" s="11" t="s">
        <v>56</v>
      </c>
      <c r="P321" s="11" t="s">
        <v>57</v>
      </c>
      <c r="Q321" s="12">
        <v>340</v>
      </c>
      <c r="R321" s="13">
        <v>45425</v>
      </c>
      <c r="S321" s="13">
        <v>45446</v>
      </c>
      <c r="T321" s="11">
        <v>146</v>
      </c>
      <c r="U321" s="11"/>
      <c r="V321" s="11">
        <v>1618</v>
      </c>
      <c r="W321" s="11">
        <v>591</v>
      </c>
      <c r="X321" s="11">
        <v>456</v>
      </c>
      <c r="Z321">
        <v>3</v>
      </c>
      <c r="AA321" s="120"/>
      <c r="AB321" s="120"/>
      <c r="AC321" s="120"/>
    </row>
    <row r="322" spans="1:29" s="28" customFormat="1" x14ac:dyDescent="0.25">
      <c r="A322"/>
      <c r="B322"/>
      <c r="C322" s="31"/>
      <c r="D322" s="31"/>
      <c r="E322" s="31"/>
      <c r="F322" s="31"/>
      <c r="G322" s="20" t="s">
        <v>544</v>
      </c>
      <c r="H322" s="20" t="s">
        <v>342</v>
      </c>
      <c r="I322" s="20" t="s">
        <v>545</v>
      </c>
      <c r="J322" s="20" t="s">
        <v>546</v>
      </c>
      <c r="K322" s="20">
        <v>44.800829999999998</v>
      </c>
      <c r="L322" s="20">
        <v>-97.176148999999995</v>
      </c>
      <c r="M322" s="20" t="s">
        <v>363</v>
      </c>
      <c r="N322" s="4" t="s">
        <v>547</v>
      </c>
      <c r="O322" t="s">
        <v>54</v>
      </c>
      <c r="P322" t="s">
        <v>55</v>
      </c>
      <c r="Q322" s="5">
        <v>329</v>
      </c>
      <c r="R322" s="1">
        <v>45413</v>
      </c>
      <c r="S322" s="1">
        <v>45555</v>
      </c>
      <c r="T322">
        <v>78</v>
      </c>
      <c r="U322"/>
      <c r="V322">
        <v>182</v>
      </c>
      <c r="W322">
        <v>32</v>
      </c>
      <c r="X322">
        <v>19</v>
      </c>
      <c r="Z322">
        <v>3</v>
      </c>
      <c r="AA322" s="120"/>
      <c r="AB322" s="120"/>
      <c r="AC322" s="120"/>
    </row>
    <row r="323" spans="1:29" s="28" customFormat="1" x14ac:dyDescent="0.25">
      <c r="A323"/>
      <c r="B323" s="1">
        <v>45512</v>
      </c>
      <c r="C323" s="31">
        <v>1950</v>
      </c>
      <c r="D323" s="31"/>
      <c r="E323" s="31">
        <v>2021.94</v>
      </c>
      <c r="F323" s="31">
        <v>3971.94</v>
      </c>
      <c r="G323" s="6" t="s">
        <v>544</v>
      </c>
      <c r="H323" s="6" t="s">
        <v>342</v>
      </c>
      <c r="I323" s="6" t="s">
        <v>545</v>
      </c>
      <c r="J323" s="6" t="s">
        <v>546</v>
      </c>
      <c r="K323" s="6">
        <v>44.800829999999998</v>
      </c>
      <c r="L323" s="6">
        <v>-97.176148999999995</v>
      </c>
      <c r="M323" s="6" t="s">
        <v>363</v>
      </c>
      <c r="N323" s="4" t="s">
        <v>547</v>
      </c>
      <c r="O323" t="s">
        <v>56</v>
      </c>
      <c r="P323" t="s">
        <v>57</v>
      </c>
      <c r="Q323" s="5">
        <v>340</v>
      </c>
      <c r="R323" s="1">
        <v>45432</v>
      </c>
      <c r="S323" s="1">
        <v>45555</v>
      </c>
      <c r="T323">
        <v>78</v>
      </c>
      <c r="U323"/>
      <c r="V323">
        <v>342</v>
      </c>
      <c r="W323">
        <v>104</v>
      </c>
      <c r="X323">
        <v>67</v>
      </c>
      <c r="Z323">
        <v>3</v>
      </c>
      <c r="AA323" s="120"/>
      <c r="AB323" s="120"/>
      <c r="AC323" s="120"/>
    </row>
    <row r="324" spans="1:29" s="28" customFormat="1" x14ac:dyDescent="0.25">
      <c r="A324"/>
      <c r="B324" s="11"/>
      <c r="C324" s="32"/>
      <c r="D324" s="32"/>
      <c r="E324" s="32"/>
      <c r="F324" s="32"/>
      <c r="G324" s="8" t="s">
        <v>544</v>
      </c>
      <c r="H324" s="8" t="s">
        <v>342</v>
      </c>
      <c r="I324" s="8" t="s">
        <v>545</v>
      </c>
      <c r="J324" s="8" t="s">
        <v>546</v>
      </c>
      <c r="K324" s="8">
        <v>44.800829999999998</v>
      </c>
      <c r="L324" s="8">
        <v>-97.176148999999995</v>
      </c>
      <c r="M324" s="8" t="s">
        <v>363</v>
      </c>
      <c r="N324" s="10" t="s">
        <v>547</v>
      </c>
      <c r="O324" s="11" t="s">
        <v>105</v>
      </c>
      <c r="P324" s="11" t="s">
        <v>679</v>
      </c>
      <c r="Q324" s="12">
        <v>556</v>
      </c>
      <c r="R324" s="13">
        <v>45413</v>
      </c>
      <c r="S324" s="13">
        <v>45555</v>
      </c>
      <c r="T324" s="11">
        <v>78</v>
      </c>
      <c r="U324" s="11"/>
      <c r="V324" s="11"/>
      <c r="W324" s="11"/>
      <c r="X324" s="11"/>
      <c r="Z324">
        <v>3</v>
      </c>
      <c r="AA324" s="120"/>
      <c r="AB324" s="120"/>
      <c r="AC324" s="120"/>
    </row>
    <row r="325" spans="1:29" s="28" customFormat="1" x14ac:dyDescent="0.25">
      <c r="A325"/>
      <c r="B325"/>
      <c r="C325" s="31"/>
      <c r="D325" s="31"/>
      <c r="E325" s="31"/>
      <c r="F325" s="31"/>
      <c r="G325" s="20" t="s">
        <v>548</v>
      </c>
      <c r="H325" s="20" t="s">
        <v>126</v>
      </c>
      <c r="I325" s="20" t="s">
        <v>549</v>
      </c>
      <c r="J325" s="20" t="s">
        <v>478</v>
      </c>
      <c r="K325" s="20">
        <v>43.087975999999998</v>
      </c>
      <c r="L325" s="20">
        <v>-97.820886999999999</v>
      </c>
      <c r="M325" s="20" t="s">
        <v>137</v>
      </c>
      <c r="N325" s="4" t="s">
        <v>550</v>
      </c>
      <c r="O325" t="s">
        <v>54</v>
      </c>
      <c r="P325" t="s">
        <v>55</v>
      </c>
      <c r="Q325" s="5">
        <v>329</v>
      </c>
      <c r="R325" s="1">
        <v>45505</v>
      </c>
      <c r="S325" s="1">
        <v>45581</v>
      </c>
      <c r="T325">
        <v>66</v>
      </c>
      <c r="U325"/>
      <c r="V325">
        <v>450</v>
      </c>
      <c r="W325">
        <v>140</v>
      </c>
      <c r="X325">
        <v>101</v>
      </c>
      <c r="Z325">
        <v>3</v>
      </c>
      <c r="AA325" s="120"/>
      <c r="AB325" s="120"/>
      <c r="AC325" s="120"/>
    </row>
    <row r="326" spans="1:29" s="28" customFormat="1" x14ac:dyDescent="0.25">
      <c r="A326"/>
      <c r="B326" s="13">
        <v>45588</v>
      </c>
      <c r="C326" s="32">
        <v>960</v>
      </c>
      <c r="D326" s="32"/>
      <c r="E326" s="32">
        <v>960</v>
      </c>
      <c r="F326" s="32">
        <v>1920</v>
      </c>
      <c r="G326" s="8" t="s">
        <v>548</v>
      </c>
      <c r="H326" s="8" t="s">
        <v>126</v>
      </c>
      <c r="I326" s="8" t="s">
        <v>549</v>
      </c>
      <c r="J326" s="8" t="s">
        <v>478</v>
      </c>
      <c r="K326" s="8">
        <v>43.087975999999998</v>
      </c>
      <c r="L326" s="8">
        <v>-97.820886999999999</v>
      </c>
      <c r="M326" s="8" t="s">
        <v>137</v>
      </c>
      <c r="N326" s="10" t="s">
        <v>550</v>
      </c>
      <c r="O326" s="11" t="s">
        <v>56</v>
      </c>
      <c r="P326" s="11" t="s">
        <v>57</v>
      </c>
      <c r="Q326" s="12">
        <v>340</v>
      </c>
      <c r="R326" s="13">
        <v>45505</v>
      </c>
      <c r="S326" s="13">
        <v>45566</v>
      </c>
      <c r="T326" s="11">
        <v>66</v>
      </c>
      <c r="U326" s="11"/>
      <c r="V326" s="11">
        <v>608</v>
      </c>
      <c r="W326" s="11">
        <v>210</v>
      </c>
      <c r="X326" s="11">
        <v>153</v>
      </c>
      <c r="Z326">
        <v>3</v>
      </c>
      <c r="AA326" s="120"/>
      <c r="AB326" s="120"/>
      <c r="AC326" s="120"/>
    </row>
    <row r="327" spans="1:29" s="28" customFormat="1" x14ac:dyDescent="0.25">
      <c r="A327"/>
      <c r="B327"/>
      <c r="C327" s="31"/>
      <c r="D327" s="31"/>
      <c r="E327" s="31"/>
      <c r="F327" s="31"/>
      <c r="G327" s="20" t="s">
        <v>551</v>
      </c>
      <c r="H327" s="20" t="s">
        <v>552</v>
      </c>
      <c r="I327" s="20" t="s">
        <v>553</v>
      </c>
      <c r="J327" s="20" t="s">
        <v>554</v>
      </c>
      <c r="K327" s="20">
        <v>42.92248</v>
      </c>
      <c r="L327" s="20">
        <v>-96.900861000000006</v>
      </c>
      <c r="M327" s="20" t="s">
        <v>100</v>
      </c>
      <c r="N327" s="4" t="s">
        <v>555</v>
      </c>
      <c r="O327" t="s">
        <v>83</v>
      </c>
      <c r="P327" t="s">
        <v>84</v>
      </c>
      <c r="Q327" s="5">
        <v>328</v>
      </c>
      <c r="R327" s="1">
        <v>45498</v>
      </c>
      <c r="S327" s="1">
        <v>45553</v>
      </c>
      <c r="T327">
        <v>116</v>
      </c>
      <c r="U327"/>
      <c r="V327"/>
      <c r="W327"/>
      <c r="X327"/>
      <c r="Z327">
        <v>3</v>
      </c>
      <c r="AA327" s="120"/>
      <c r="AB327" s="120"/>
      <c r="AC327" s="120"/>
    </row>
    <row r="328" spans="1:29" s="28" customFormat="1" x14ac:dyDescent="0.25">
      <c r="A328"/>
      <c r="B328"/>
      <c r="C328" s="31"/>
      <c r="D328" s="31"/>
      <c r="E328" s="31"/>
      <c r="F328" s="31"/>
      <c r="G328" s="6" t="s">
        <v>551</v>
      </c>
      <c r="H328" s="6" t="s">
        <v>552</v>
      </c>
      <c r="I328" s="6" t="s">
        <v>553</v>
      </c>
      <c r="J328" s="6" t="s">
        <v>554</v>
      </c>
      <c r="K328" s="6">
        <v>42.92248</v>
      </c>
      <c r="L328" s="6">
        <v>-96.900861000000006</v>
      </c>
      <c r="M328" s="6" t="s">
        <v>100</v>
      </c>
      <c r="N328" s="4" t="s">
        <v>555</v>
      </c>
      <c r="O328" t="s">
        <v>54</v>
      </c>
      <c r="P328" t="s">
        <v>55</v>
      </c>
      <c r="Q328" s="5">
        <v>329</v>
      </c>
      <c r="R328" s="1">
        <v>45498</v>
      </c>
      <c r="S328" s="1">
        <v>45553</v>
      </c>
      <c r="T328">
        <v>116</v>
      </c>
      <c r="U328"/>
      <c r="V328">
        <v>310</v>
      </c>
      <c r="W328">
        <v>50</v>
      </c>
      <c r="X328">
        <v>29</v>
      </c>
      <c r="Z328">
        <v>3</v>
      </c>
      <c r="AA328" s="120"/>
      <c r="AB328" s="120"/>
      <c r="AC328" s="120"/>
    </row>
    <row r="329" spans="1:29" s="28" customFormat="1" x14ac:dyDescent="0.25">
      <c r="A329"/>
      <c r="B329" s="13">
        <v>45512</v>
      </c>
      <c r="C329" s="32">
        <v>2900</v>
      </c>
      <c r="D329" s="32"/>
      <c r="E329" s="32">
        <v>3059.34</v>
      </c>
      <c r="F329" s="32">
        <v>5959.34</v>
      </c>
      <c r="G329" s="8" t="s">
        <v>551</v>
      </c>
      <c r="H329" s="8" t="s">
        <v>552</v>
      </c>
      <c r="I329" s="8" t="s">
        <v>553</v>
      </c>
      <c r="J329" s="8" t="s">
        <v>554</v>
      </c>
      <c r="K329" s="8">
        <v>42.92248</v>
      </c>
      <c r="L329" s="8">
        <v>-96.900861000000006</v>
      </c>
      <c r="M329" s="8" t="s">
        <v>100</v>
      </c>
      <c r="N329" s="10" t="s">
        <v>555</v>
      </c>
      <c r="O329" s="11" t="s">
        <v>56</v>
      </c>
      <c r="P329" s="11" t="s">
        <v>57</v>
      </c>
      <c r="Q329" s="12">
        <v>340</v>
      </c>
      <c r="R329" s="13">
        <v>45498</v>
      </c>
      <c r="S329" s="13">
        <v>45553</v>
      </c>
      <c r="T329" s="11">
        <v>116</v>
      </c>
      <c r="U329" s="11"/>
      <c r="V329" s="11">
        <v>555</v>
      </c>
      <c r="W329" s="11">
        <v>164</v>
      </c>
      <c r="X329" s="11">
        <v>102</v>
      </c>
      <c r="Z329">
        <v>3</v>
      </c>
      <c r="AA329" s="120"/>
      <c r="AB329" s="120"/>
      <c r="AC329" s="120"/>
    </row>
    <row r="330" spans="1:29" s="28" customFormat="1" x14ac:dyDescent="0.25">
      <c r="A330"/>
      <c r="B330"/>
      <c r="C330" s="31"/>
      <c r="D330" s="31"/>
      <c r="E330" s="31"/>
      <c r="F330" s="31"/>
      <c r="G330" s="20" t="s">
        <v>556</v>
      </c>
      <c r="H330" s="20" t="s">
        <v>329</v>
      </c>
      <c r="I330" s="20" t="s">
        <v>557</v>
      </c>
      <c r="J330" s="20" t="s">
        <v>468</v>
      </c>
      <c r="K330" s="20">
        <v>45.376576</v>
      </c>
      <c r="L330" s="20">
        <v>-96.939476999999997</v>
      </c>
      <c r="M330" s="20" t="s">
        <v>275</v>
      </c>
      <c r="N330" s="4">
        <v>202403</v>
      </c>
      <c r="O330" t="s">
        <v>54</v>
      </c>
      <c r="P330" t="s">
        <v>55</v>
      </c>
      <c r="Q330" s="5">
        <v>329</v>
      </c>
      <c r="R330" s="1">
        <v>45474</v>
      </c>
      <c r="S330" s="1">
        <v>45519</v>
      </c>
      <c r="T330"/>
      <c r="U330" t="s">
        <v>145</v>
      </c>
      <c r="V330">
        <v>217</v>
      </c>
      <c r="W330">
        <v>47</v>
      </c>
      <c r="X330">
        <v>32</v>
      </c>
      <c r="Z330">
        <v>3</v>
      </c>
      <c r="AA330" s="120"/>
      <c r="AB330" s="120"/>
      <c r="AC330" s="120"/>
    </row>
    <row r="331" spans="1:29" s="28" customFormat="1" x14ac:dyDescent="0.25">
      <c r="A331"/>
      <c r="B331" s="13">
        <v>45559</v>
      </c>
      <c r="C331" s="32">
        <v>3301.75</v>
      </c>
      <c r="D331" s="32"/>
      <c r="E331" s="32">
        <v>3301.75</v>
      </c>
      <c r="F331" s="32">
        <v>6603.5</v>
      </c>
      <c r="G331" s="8" t="s">
        <v>556</v>
      </c>
      <c r="H331" s="8" t="s">
        <v>329</v>
      </c>
      <c r="I331" s="8" t="s">
        <v>557</v>
      </c>
      <c r="J331" s="8" t="s">
        <v>468</v>
      </c>
      <c r="K331" s="8">
        <v>45.376576</v>
      </c>
      <c r="L331" s="8">
        <v>-96.939476999999997</v>
      </c>
      <c r="M331" s="8" t="s">
        <v>275</v>
      </c>
      <c r="N331" s="10">
        <v>202403</v>
      </c>
      <c r="O331" s="11" t="s">
        <v>56</v>
      </c>
      <c r="P331" s="11" t="s">
        <v>57</v>
      </c>
      <c r="Q331" s="12">
        <v>340</v>
      </c>
      <c r="R331" s="13">
        <v>45474</v>
      </c>
      <c r="S331" s="13">
        <v>45778</v>
      </c>
      <c r="T331" s="11"/>
      <c r="U331" s="11" t="s">
        <v>145</v>
      </c>
      <c r="V331" s="11">
        <v>525</v>
      </c>
      <c r="W331" s="11">
        <v>178</v>
      </c>
      <c r="X331" s="11">
        <v>126</v>
      </c>
      <c r="Z331">
        <v>3</v>
      </c>
      <c r="AA331" s="120"/>
      <c r="AB331" s="120"/>
      <c r="AC331" s="120"/>
    </row>
    <row r="332" spans="1:29" s="28" customFormat="1" x14ac:dyDescent="0.25">
      <c r="A332"/>
      <c r="B332"/>
      <c r="C332" s="31"/>
      <c r="D332" s="31"/>
      <c r="E332" s="31"/>
      <c r="F332" s="31"/>
      <c r="G332" s="20" t="s">
        <v>558</v>
      </c>
      <c r="H332" s="20" t="s">
        <v>559</v>
      </c>
      <c r="I332" s="20" t="s">
        <v>560</v>
      </c>
      <c r="J332" s="20" t="s">
        <v>263</v>
      </c>
      <c r="K332" s="20">
        <v>43.936072000000003</v>
      </c>
      <c r="L332" s="20">
        <v>-97.745228999999995</v>
      </c>
      <c r="M332" s="20" t="s">
        <v>189</v>
      </c>
      <c r="N332" s="4">
        <v>20241</v>
      </c>
      <c r="O332" t="s">
        <v>54</v>
      </c>
      <c r="P332" t="s">
        <v>55</v>
      </c>
      <c r="Q332" s="5">
        <v>329</v>
      </c>
      <c r="R332" s="1">
        <v>45467</v>
      </c>
      <c r="S332" s="1">
        <v>45413</v>
      </c>
      <c r="T332">
        <v>30</v>
      </c>
      <c r="U332"/>
      <c r="V332">
        <v>49</v>
      </c>
      <c r="W332">
        <v>9</v>
      </c>
      <c r="X332">
        <v>6</v>
      </c>
      <c r="Z332">
        <v>3</v>
      </c>
      <c r="AA332" s="120"/>
      <c r="AB332" s="120"/>
      <c r="AC332" s="120"/>
    </row>
    <row r="333" spans="1:29" s="28" customFormat="1" x14ac:dyDescent="0.25">
      <c r="A333"/>
      <c r="B333" s="13">
        <v>45628</v>
      </c>
      <c r="C333" s="32">
        <v>624.29999999999995</v>
      </c>
      <c r="D333" s="32"/>
      <c r="E333" s="32">
        <v>624.29999999999995</v>
      </c>
      <c r="F333" s="32">
        <v>1248.5999999999999</v>
      </c>
      <c r="G333" s="8" t="s">
        <v>558</v>
      </c>
      <c r="H333" s="8" t="s">
        <v>559</v>
      </c>
      <c r="I333" s="8" t="s">
        <v>560</v>
      </c>
      <c r="J333" s="8" t="s">
        <v>263</v>
      </c>
      <c r="K333" s="8">
        <v>43.936072000000003</v>
      </c>
      <c r="L333" s="8">
        <v>-97.745228999999995</v>
      </c>
      <c r="M333" s="8" t="s">
        <v>189</v>
      </c>
      <c r="N333" s="10">
        <v>20241</v>
      </c>
      <c r="O333" s="11" t="s">
        <v>56</v>
      </c>
      <c r="P333" s="11" t="s">
        <v>57</v>
      </c>
      <c r="Q333" s="12">
        <v>340</v>
      </c>
      <c r="R333" s="13">
        <v>45444</v>
      </c>
      <c r="S333" s="13">
        <v>45809</v>
      </c>
      <c r="T333" s="11">
        <v>30</v>
      </c>
      <c r="U333" s="11"/>
      <c r="V333" s="11">
        <v>95</v>
      </c>
      <c r="W333" s="11">
        <v>30</v>
      </c>
      <c r="X333" s="11">
        <v>20</v>
      </c>
      <c r="Z333">
        <v>3</v>
      </c>
      <c r="AA333" s="120"/>
      <c r="AB333" s="120"/>
      <c r="AC333" s="120"/>
    </row>
    <row r="334" spans="1:29" s="28" customFormat="1" x14ac:dyDescent="0.25">
      <c r="A334"/>
      <c r="B334"/>
      <c r="C334" s="31"/>
      <c r="D334" s="31"/>
      <c r="E334" s="31"/>
      <c r="F334" s="31"/>
      <c r="G334" s="20" t="s">
        <v>561</v>
      </c>
      <c r="H334" s="20" t="s">
        <v>534</v>
      </c>
      <c r="I334" s="20" t="s">
        <v>562</v>
      </c>
      <c r="J334" s="20" t="s">
        <v>563</v>
      </c>
      <c r="K334" s="20">
        <v>44.415987000000001</v>
      </c>
      <c r="L334" s="20">
        <v>-100.242985</v>
      </c>
      <c r="M334" s="20" t="s">
        <v>564</v>
      </c>
      <c r="N334" s="4" t="s">
        <v>565</v>
      </c>
      <c r="O334" t="s">
        <v>54</v>
      </c>
      <c r="P334" t="s">
        <v>55</v>
      </c>
      <c r="Q334" s="5">
        <v>329</v>
      </c>
      <c r="R334" s="1">
        <v>45474</v>
      </c>
      <c r="S334" s="1">
        <v>45558</v>
      </c>
      <c r="T334">
        <v>168</v>
      </c>
      <c r="U334"/>
      <c r="V334">
        <v>333</v>
      </c>
      <c r="W334">
        <v>69</v>
      </c>
      <c r="X334">
        <v>46</v>
      </c>
      <c r="Z334">
        <v>3</v>
      </c>
      <c r="AA334" s="120"/>
      <c r="AB334" s="120"/>
      <c r="AC334" s="120"/>
    </row>
    <row r="335" spans="1:29" s="28" customFormat="1" x14ac:dyDescent="0.25">
      <c r="A335"/>
      <c r="B335" s="13">
        <v>45548</v>
      </c>
      <c r="C335" s="32">
        <v>3299.52</v>
      </c>
      <c r="D335" s="32"/>
      <c r="E335" s="32">
        <v>22914.68</v>
      </c>
      <c r="F335" s="32">
        <v>26214.29</v>
      </c>
      <c r="G335" s="8" t="s">
        <v>561</v>
      </c>
      <c r="H335" s="8" t="s">
        <v>534</v>
      </c>
      <c r="I335" s="8" t="s">
        <v>562</v>
      </c>
      <c r="J335" s="8" t="s">
        <v>563</v>
      </c>
      <c r="K335" s="8">
        <v>44.415987000000001</v>
      </c>
      <c r="L335" s="8">
        <v>-100.242985</v>
      </c>
      <c r="M335" s="8" t="s">
        <v>564</v>
      </c>
      <c r="N335" s="10" t="s">
        <v>565</v>
      </c>
      <c r="O335" s="11" t="s">
        <v>56</v>
      </c>
      <c r="P335" s="11" t="s">
        <v>57</v>
      </c>
      <c r="Q335" s="12">
        <v>340</v>
      </c>
      <c r="R335" s="13">
        <v>45505</v>
      </c>
      <c r="S335" s="13">
        <v>45548</v>
      </c>
      <c r="T335" s="11">
        <v>168</v>
      </c>
      <c r="U335" s="11"/>
      <c r="V335" s="11">
        <v>776</v>
      </c>
      <c r="W335" s="11">
        <v>258</v>
      </c>
      <c r="X335" s="11">
        <v>180</v>
      </c>
      <c r="Z335">
        <v>3</v>
      </c>
      <c r="AA335" s="120"/>
      <c r="AB335" s="120"/>
      <c r="AC335" s="120"/>
    </row>
    <row r="336" spans="1:29" s="28" customFormat="1" x14ac:dyDescent="0.25">
      <c r="A336"/>
      <c r="B336"/>
      <c r="C336" s="31"/>
      <c r="D336" s="31"/>
      <c r="E336" s="31"/>
      <c r="F336" s="31"/>
      <c r="G336" s="20" t="s">
        <v>566</v>
      </c>
      <c r="H336" s="20" t="s">
        <v>567</v>
      </c>
      <c r="I336" s="20" t="s">
        <v>568</v>
      </c>
      <c r="J336" s="20" t="s">
        <v>478</v>
      </c>
      <c r="K336" s="20">
        <v>43.100960000000001</v>
      </c>
      <c r="L336" s="20">
        <v>-97.572306999999995</v>
      </c>
      <c r="M336" s="20"/>
      <c r="N336" s="4" t="s">
        <v>569</v>
      </c>
      <c r="O336" t="s">
        <v>83</v>
      </c>
      <c r="P336" t="s">
        <v>84</v>
      </c>
      <c r="Q336" s="5">
        <v>328</v>
      </c>
      <c r="R336" s="1">
        <v>45505</v>
      </c>
      <c r="S336" s="1">
        <v>45712</v>
      </c>
      <c r="T336">
        <v>156</v>
      </c>
      <c r="U336"/>
      <c r="V336"/>
      <c r="W336"/>
      <c r="X336"/>
      <c r="Z336">
        <v>3</v>
      </c>
      <c r="AA336" s="120"/>
      <c r="AB336" s="120"/>
      <c r="AC336" s="120"/>
    </row>
    <row r="337" spans="1:29" s="28" customFormat="1" x14ac:dyDescent="0.25">
      <c r="A337"/>
      <c r="B337"/>
      <c r="C337" s="31"/>
      <c r="D337" s="31"/>
      <c r="E337" s="31"/>
      <c r="F337" s="31"/>
      <c r="G337" s="6" t="s">
        <v>566</v>
      </c>
      <c r="H337" s="6" t="s">
        <v>567</v>
      </c>
      <c r="I337" s="6" t="s">
        <v>568</v>
      </c>
      <c r="J337" s="6" t="s">
        <v>478</v>
      </c>
      <c r="K337" s="6">
        <v>43.100960000000001</v>
      </c>
      <c r="L337" s="6">
        <v>-97.572306999999995</v>
      </c>
      <c r="M337" s="6"/>
      <c r="N337" s="4" t="s">
        <v>569</v>
      </c>
      <c r="O337" t="s">
        <v>54</v>
      </c>
      <c r="P337" t="s">
        <v>55</v>
      </c>
      <c r="Q337" s="5">
        <v>329</v>
      </c>
      <c r="R337" s="1">
        <v>45505</v>
      </c>
      <c r="S337" s="1">
        <v>45712</v>
      </c>
      <c r="T337">
        <v>156</v>
      </c>
      <c r="U337"/>
      <c r="V337">
        <v>514</v>
      </c>
      <c r="W337">
        <v>114</v>
      </c>
      <c r="X337">
        <v>78</v>
      </c>
      <c r="Z337">
        <v>3</v>
      </c>
      <c r="AA337" s="120"/>
      <c r="AB337" s="120"/>
      <c r="AC337" s="120"/>
    </row>
    <row r="338" spans="1:29" s="28" customFormat="1" x14ac:dyDescent="0.25">
      <c r="A338"/>
      <c r="B338" s="13">
        <v>45522</v>
      </c>
      <c r="C338" s="32">
        <v>2850</v>
      </c>
      <c r="D338" s="32"/>
      <c r="E338" s="32">
        <v>2850</v>
      </c>
      <c r="F338" s="32">
        <v>5700</v>
      </c>
      <c r="G338" s="8" t="s">
        <v>566</v>
      </c>
      <c r="H338" s="8" t="s">
        <v>567</v>
      </c>
      <c r="I338" s="8" t="s">
        <v>568</v>
      </c>
      <c r="J338" s="8" t="s">
        <v>478</v>
      </c>
      <c r="K338" s="8">
        <v>43.100960000000001</v>
      </c>
      <c r="L338" s="8">
        <v>-97.572306999999995</v>
      </c>
      <c r="M338" s="8"/>
      <c r="N338" s="10" t="s">
        <v>569</v>
      </c>
      <c r="O338" s="11" t="s">
        <v>56</v>
      </c>
      <c r="P338" s="11" t="s">
        <v>57</v>
      </c>
      <c r="Q338" s="12">
        <v>340</v>
      </c>
      <c r="R338" s="13">
        <v>45519</v>
      </c>
      <c r="S338" s="13">
        <v>45580</v>
      </c>
      <c r="T338" s="11">
        <v>156</v>
      </c>
      <c r="U338" s="11"/>
      <c r="V338" s="11">
        <v>1262</v>
      </c>
      <c r="W338" s="11">
        <v>429</v>
      </c>
      <c r="X338" s="11">
        <v>306</v>
      </c>
      <c r="Z338">
        <v>3</v>
      </c>
      <c r="AA338" s="120"/>
      <c r="AB338" s="120"/>
      <c r="AC338" s="120"/>
    </row>
    <row r="339" spans="1:29" s="28" customFormat="1" x14ac:dyDescent="0.25">
      <c r="A339"/>
      <c r="B339"/>
      <c r="C339" s="31"/>
      <c r="D339" s="31"/>
      <c r="E339" s="31"/>
      <c r="F339" s="31"/>
      <c r="G339" s="20" t="s">
        <v>570</v>
      </c>
      <c r="H339" s="20" t="s">
        <v>67</v>
      </c>
      <c r="I339" s="20" t="s">
        <v>571</v>
      </c>
      <c r="J339" s="20" t="s">
        <v>572</v>
      </c>
      <c r="K339" s="20">
        <v>43.034579999999998</v>
      </c>
      <c r="L339" s="20">
        <v>-97.631472000000002</v>
      </c>
      <c r="M339" s="20" t="s">
        <v>137</v>
      </c>
      <c r="N339" s="4" t="s">
        <v>103</v>
      </c>
      <c r="O339" t="s">
        <v>54</v>
      </c>
      <c r="P339" t="s">
        <v>55</v>
      </c>
      <c r="Q339" s="5">
        <v>329</v>
      </c>
      <c r="R339" s="1">
        <v>45102</v>
      </c>
      <c r="S339" s="1">
        <v>45170</v>
      </c>
      <c r="T339">
        <v>160</v>
      </c>
      <c r="U339"/>
      <c r="V339">
        <v>657</v>
      </c>
      <c r="W339">
        <v>127</v>
      </c>
      <c r="X339">
        <v>82</v>
      </c>
      <c r="Z339">
        <v>2</v>
      </c>
      <c r="AA339" s="120"/>
      <c r="AB339" s="120"/>
      <c r="AC339" s="120"/>
    </row>
    <row r="340" spans="1:29" s="28" customFormat="1" x14ac:dyDescent="0.25">
      <c r="A340"/>
      <c r="B340" s="1">
        <v>45170</v>
      </c>
      <c r="C340" s="31">
        <v>3529.6</v>
      </c>
      <c r="D340" s="31"/>
      <c r="E340" s="31">
        <v>5139.9799999999996</v>
      </c>
      <c r="F340" s="31">
        <v>8669.58</v>
      </c>
      <c r="G340" s="6" t="s">
        <v>570</v>
      </c>
      <c r="H340" s="6" t="s">
        <v>67</v>
      </c>
      <c r="I340" s="6" t="s">
        <v>571</v>
      </c>
      <c r="J340" s="6" t="s">
        <v>572</v>
      </c>
      <c r="K340" s="6">
        <v>43.034579999999998</v>
      </c>
      <c r="L340" s="6">
        <v>-97.631472000000002</v>
      </c>
      <c r="M340" s="6" t="s">
        <v>137</v>
      </c>
      <c r="N340" s="4" t="s">
        <v>103</v>
      </c>
      <c r="O340" t="s">
        <v>56</v>
      </c>
      <c r="P340" t="s">
        <v>57</v>
      </c>
      <c r="Q340" s="5">
        <v>340</v>
      </c>
      <c r="R340" s="1">
        <v>45097</v>
      </c>
      <c r="S340" s="1">
        <v>45170</v>
      </c>
      <c r="T340">
        <v>160</v>
      </c>
      <c r="U340"/>
      <c r="V340">
        <v>1449</v>
      </c>
      <c r="W340">
        <v>472</v>
      </c>
      <c r="X340">
        <v>321</v>
      </c>
      <c r="Z340">
        <v>2</v>
      </c>
      <c r="AA340" s="120"/>
      <c r="AB340" s="120"/>
      <c r="AC340" s="120"/>
    </row>
    <row r="341" spans="1:29" s="28" customFormat="1" x14ac:dyDescent="0.25">
      <c r="A341"/>
      <c r="B341"/>
      <c r="C341" s="31"/>
      <c r="D341" s="31"/>
      <c r="E341" s="31"/>
      <c r="F341" s="31"/>
      <c r="G341" s="6" t="s">
        <v>570</v>
      </c>
      <c r="H341" s="6" t="s">
        <v>67</v>
      </c>
      <c r="I341" s="6" t="s">
        <v>571</v>
      </c>
      <c r="J341" s="6" t="s">
        <v>572</v>
      </c>
      <c r="K341" s="6">
        <v>43.034579999999998</v>
      </c>
      <c r="L341" s="6">
        <v>-97.631472000000002</v>
      </c>
      <c r="M341" s="6" t="s">
        <v>137</v>
      </c>
      <c r="N341" s="4" t="s">
        <v>103</v>
      </c>
      <c r="O341" t="s">
        <v>105</v>
      </c>
      <c r="P341" t="s">
        <v>679</v>
      </c>
      <c r="Q341" s="5">
        <v>556</v>
      </c>
      <c r="R341" s="1">
        <v>45078</v>
      </c>
      <c r="S341" s="1">
        <v>45289</v>
      </c>
      <c r="T341">
        <v>160</v>
      </c>
      <c r="U341"/>
      <c r="V341"/>
      <c r="W341"/>
      <c r="X341"/>
      <c r="Z341">
        <v>2</v>
      </c>
      <c r="AA341" s="120"/>
      <c r="AB341" s="120"/>
      <c r="AC341" s="120"/>
    </row>
    <row r="342" spans="1:29" s="28" customFormat="1" x14ac:dyDescent="0.25">
      <c r="A342"/>
      <c r="B342" s="13">
        <v>45444</v>
      </c>
      <c r="C342" s="32">
        <v>3725</v>
      </c>
      <c r="D342" s="32"/>
      <c r="E342" s="32">
        <v>3725</v>
      </c>
      <c r="F342" s="32">
        <v>7450</v>
      </c>
      <c r="G342" s="8" t="s">
        <v>570</v>
      </c>
      <c r="H342" s="8" t="s">
        <v>67</v>
      </c>
      <c r="I342" s="8" t="s">
        <v>571</v>
      </c>
      <c r="J342" s="8" t="s">
        <v>572</v>
      </c>
      <c r="K342" s="8">
        <v>43.034579999999998</v>
      </c>
      <c r="L342" s="8">
        <v>-97.631472000000002</v>
      </c>
      <c r="M342" s="8" t="s">
        <v>137</v>
      </c>
      <c r="N342" s="10" t="s">
        <v>103</v>
      </c>
      <c r="O342" s="11" t="s">
        <v>132</v>
      </c>
      <c r="P342" s="11" t="s">
        <v>133</v>
      </c>
      <c r="Q342" s="12"/>
      <c r="R342" s="13">
        <v>45447</v>
      </c>
      <c r="S342" s="13">
        <v>45575</v>
      </c>
      <c r="T342" s="11">
        <v>59</v>
      </c>
      <c r="U342" s="11"/>
      <c r="V342" s="116">
        <v>141</v>
      </c>
      <c r="W342" s="116">
        <v>48</v>
      </c>
      <c r="X342" s="116">
        <v>33</v>
      </c>
      <c r="Z342">
        <v>3</v>
      </c>
      <c r="AA342" s="120"/>
      <c r="AB342" s="120"/>
      <c r="AC342" s="120"/>
    </row>
    <row r="343" spans="1:29" s="28" customFormat="1" x14ac:dyDescent="0.25">
      <c r="A343"/>
      <c r="B343"/>
      <c r="C343" s="31"/>
      <c r="D343" s="31"/>
      <c r="E343" s="31"/>
      <c r="F343" s="31"/>
      <c r="G343" s="20" t="s">
        <v>574</v>
      </c>
      <c r="H343" s="20" t="s">
        <v>182</v>
      </c>
      <c r="I343" s="20" t="s">
        <v>575</v>
      </c>
      <c r="J343" s="20" t="s">
        <v>576</v>
      </c>
      <c r="K343" s="20">
        <v>43.211111000000002</v>
      </c>
      <c r="L343" s="20">
        <v>-96.964170999999993</v>
      </c>
      <c r="M343" s="20" t="s">
        <v>100</v>
      </c>
      <c r="N343" s="4" t="s">
        <v>577</v>
      </c>
      <c r="O343" t="s">
        <v>83</v>
      </c>
      <c r="P343" t="s">
        <v>84</v>
      </c>
      <c r="Q343" s="5">
        <v>328</v>
      </c>
      <c r="R343" s="1">
        <v>45536</v>
      </c>
      <c r="S343" s="1">
        <v>45569</v>
      </c>
      <c r="T343">
        <v>76.5</v>
      </c>
      <c r="U343"/>
      <c r="V343"/>
      <c r="W343"/>
      <c r="X343"/>
      <c r="Z343">
        <v>3</v>
      </c>
      <c r="AA343" s="120"/>
      <c r="AB343" s="120"/>
      <c r="AC343" s="120"/>
    </row>
    <row r="344" spans="1:29" s="28" customFormat="1" x14ac:dyDescent="0.25">
      <c r="A344"/>
      <c r="B344"/>
      <c r="C344" s="31"/>
      <c r="D344" s="31"/>
      <c r="E344" s="31"/>
      <c r="F344" s="31"/>
      <c r="G344" s="6" t="s">
        <v>574</v>
      </c>
      <c r="H344" s="6" t="s">
        <v>182</v>
      </c>
      <c r="I344" s="6" t="s">
        <v>575</v>
      </c>
      <c r="J344" s="6" t="s">
        <v>576</v>
      </c>
      <c r="K344" s="6">
        <v>43.211111000000002</v>
      </c>
      <c r="L344" s="6">
        <v>-96.964170999999993</v>
      </c>
      <c r="M344" s="6" t="s">
        <v>100</v>
      </c>
      <c r="N344" s="4" t="s">
        <v>577</v>
      </c>
      <c r="O344" t="s">
        <v>54</v>
      </c>
      <c r="P344" t="s">
        <v>55</v>
      </c>
      <c r="Q344" s="5">
        <v>329</v>
      </c>
      <c r="R344" s="1">
        <v>45536</v>
      </c>
      <c r="S344" s="1">
        <v>45569</v>
      </c>
      <c r="T344">
        <v>76.5</v>
      </c>
      <c r="U344"/>
      <c r="V344">
        <v>192</v>
      </c>
      <c r="W344">
        <v>32</v>
      </c>
      <c r="X344">
        <v>19</v>
      </c>
      <c r="Z344">
        <v>3</v>
      </c>
      <c r="AA344" s="120"/>
      <c r="AB344" s="120"/>
      <c r="AC344" s="120"/>
    </row>
    <row r="345" spans="1:29" s="28" customFormat="1" x14ac:dyDescent="0.25">
      <c r="A345"/>
      <c r="B345" s="13">
        <v>45553</v>
      </c>
      <c r="C345" s="32">
        <v>6657.5</v>
      </c>
      <c r="D345" s="32"/>
      <c r="E345" s="32">
        <v>6657.5</v>
      </c>
      <c r="F345" s="32">
        <v>13315</v>
      </c>
      <c r="G345" s="8" t="s">
        <v>574</v>
      </c>
      <c r="H345" s="8" t="s">
        <v>182</v>
      </c>
      <c r="I345" s="8" t="s">
        <v>575</v>
      </c>
      <c r="J345" s="8" t="s">
        <v>576</v>
      </c>
      <c r="K345" s="8">
        <v>43.211111000000002</v>
      </c>
      <c r="L345" s="8">
        <v>-96.964170999999993</v>
      </c>
      <c r="M345" s="8" t="s">
        <v>100</v>
      </c>
      <c r="N345" s="10" t="s">
        <v>577</v>
      </c>
      <c r="O345" s="11" t="s">
        <v>132</v>
      </c>
      <c r="P345" s="11" t="s">
        <v>133</v>
      </c>
      <c r="Q345" s="12"/>
      <c r="R345" s="13">
        <v>45541</v>
      </c>
      <c r="S345" s="13">
        <v>45554</v>
      </c>
      <c r="T345" s="11">
        <v>76.5</v>
      </c>
      <c r="U345" s="11"/>
      <c r="V345" s="11">
        <v>350</v>
      </c>
      <c r="W345" s="11">
        <v>105</v>
      </c>
      <c r="X345" s="11">
        <v>66</v>
      </c>
      <c r="Z345">
        <v>3</v>
      </c>
      <c r="AA345" s="120"/>
      <c r="AB345" s="120"/>
      <c r="AC345" s="120"/>
    </row>
    <row r="346" spans="1:29" s="28" customFormat="1" x14ac:dyDescent="0.25">
      <c r="A346"/>
      <c r="B346"/>
      <c r="C346" s="31"/>
      <c r="D346" s="31"/>
      <c r="E346" s="31"/>
      <c r="F346" s="31"/>
      <c r="G346" s="20" t="s">
        <v>578</v>
      </c>
      <c r="H346" s="20" t="s">
        <v>579</v>
      </c>
      <c r="I346" s="20" t="s">
        <v>580</v>
      </c>
      <c r="J346" s="20" t="s">
        <v>581</v>
      </c>
      <c r="K346" s="20">
        <v>43.451000000000001</v>
      </c>
      <c r="L346" s="20">
        <v>-97.636788999999993</v>
      </c>
      <c r="M346" s="20" t="s">
        <v>192</v>
      </c>
      <c r="N346" s="4" t="s">
        <v>163</v>
      </c>
      <c r="O346" t="s">
        <v>54</v>
      </c>
      <c r="P346" t="s">
        <v>55</v>
      </c>
      <c r="Q346" s="5">
        <v>329</v>
      </c>
      <c r="R346" s="1">
        <v>45108</v>
      </c>
      <c r="S346" s="1">
        <v>45204</v>
      </c>
      <c r="T346">
        <v>70</v>
      </c>
      <c r="U346"/>
      <c r="V346">
        <v>350</v>
      </c>
      <c r="W346">
        <v>59</v>
      </c>
      <c r="X346">
        <v>35</v>
      </c>
      <c r="Z346">
        <v>2</v>
      </c>
      <c r="AA346" s="120"/>
      <c r="AB346" s="120"/>
      <c r="AC346" s="120"/>
    </row>
    <row r="347" spans="1:29" s="28" customFormat="1" x14ac:dyDescent="0.25">
      <c r="A347"/>
      <c r="B347" s="1">
        <v>45204</v>
      </c>
      <c r="C347" s="31">
        <v>1750</v>
      </c>
      <c r="D347" s="31"/>
      <c r="E347" s="31">
        <v>4050.2</v>
      </c>
      <c r="F347" s="31">
        <v>5800.2</v>
      </c>
      <c r="G347" s="6" t="s">
        <v>578</v>
      </c>
      <c r="H347" s="6" t="s">
        <v>579</v>
      </c>
      <c r="I347" s="6" t="s">
        <v>580</v>
      </c>
      <c r="J347" s="6" t="s">
        <v>581</v>
      </c>
      <c r="K347" s="6">
        <v>43.451000000000001</v>
      </c>
      <c r="L347" s="6">
        <v>-97.636788999999993</v>
      </c>
      <c r="M347" s="6" t="s">
        <v>192</v>
      </c>
      <c r="N347" s="4" t="s">
        <v>163</v>
      </c>
      <c r="O347" t="s">
        <v>56</v>
      </c>
      <c r="P347" t="s">
        <v>57</v>
      </c>
      <c r="Q347" s="5">
        <v>340</v>
      </c>
      <c r="R347" s="1">
        <v>45204</v>
      </c>
      <c r="S347" s="1">
        <v>45204</v>
      </c>
      <c r="T347">
        <v>70</v>
      </c>
      <c r="U347"/>
      <c r="V347">
        <v>167</v>
      </c>
      <c r="W347">
        <v>31</v>
      </c>
      <c r="X347">
        <v>19</v>
      </c>
      <c r="Z347">
        <v>3</v>
      </c>
      <c r="AA347" s="120"/>
      <c r="AB347" s="120"/>
      <c r="AC347" s="120"/>
    </row>
    <row r="348" spans="1:29" s="28" customFormat="1" x14ac:dyDescent="0.25">
      <c r="A348"/>
      <c r="B348" s="11"/>
      <c r="C348" s="32"/>
      <c r="D348" s="32"/>
      <c r="E348" s="32"/>
      <c r="F348" s="32"/>
      <c r="G348" s="8" t="s">
        <v>578</v>
      </c>
      <c r="H348" s="8" t="s">
        <v>579</v>
      </c>
      <c r="I348" s="8" t="s">
        <v>580</v>
      </c>
      <c r="J348" s="8" t="s">
        <v>581</v>
      </c>
      <c r="K348" s="8">
        <v>43.451000000000001</v>
      </c>
      <c r="L348" s="8">
        <v>-97.636788999999993</v>
      </c>
      <c r="M348" s="8" t="s">
        <v>192</v>
      </c>
      <c r="N348" s="10" t="s">
        <v>163</v>
      </c>
      <c r="O348" s="11" t="s">
        <v>105</v>
      </c>
      <c r="P348" s="11" t="s">
        <v>679</v>
      </c>
      <c r="Q348" s="12">
        <v>556</v>
      </c>
      <c r="R348" s="13">
        <v>45108</v>
      </c>
      <c r="S348" s="13">
        <v>45204</v>
      </c>
      <c r="T348" s="11">
        <v>70</v>
      </c>
      <c r="U348" s="11"/>
      <c r="V348" s="11"/>
      <c r="W348" s="11"/>
      <c r="X348" s="11"/>
      <c r="Z348">
        <v>2</v>
      </c>
      <c r="AA348" s="120"/>
      <c r="AB348" s="120"/>
      <c r="AC348" s="120"/>
    </row>
    <row r="349" spans="1:29" s="28" customFormat="1" x14ac:dyDescent="0.25">
      <c r="A349"/>
      <c r="B349"/>
      <c r="C349" s="31"/>
      <c r="D349" s="31"/>
      <c r="E349" s="31"/>
      <c r="F349" s="31"/>
      <c r="G349" s="20" t="s">
        <v>582</v>
      </c>
      <c r="H349" s="20" t="s">
        <v>583</v>
      </c>
      <c r="I349" s="20" t="s">
        <v>584</v>
      </c>
      <c r="J349" s="20" t="s">
        <v>585</v>
      </c>
      <c r="K349" s="20">
        <v>43.041584</v>
      </c>
      <c r="L349" s="20">
        <v>-98.323269999999994</v>
      </c>
      <c r="M349" s="20" t="s">
        <v>113</v>
      </c>
      <c r="N349" s="4" t="s">
        <v>586</v>
      </c>
      <c r="O349" t="s">
        <v>54</v>
      </c>
      <c r="P349" t="s">
        <v>55</v>
      </c>
      <c r="Q349" s="5">
        <v>329</v>
      </c>
      <c r="R349" s="1">
        <v>45566</v>
      </c>
      <c r="S349" s="1">
        <v>45615</v>
      </c>
      <c r="T349">
        <v>167</v>
      </c>
      <c r="U349"/>
      <c r="V349">
        <v>503</v>
      </c>
      <c r="W349">
        <v>105</v>
      </c>
      <c r="X349">
        <v>70</v>
      </c>
      <c r="Z349">
        <v>3</v>
      </c>
      <c r="AA349" s="120"/>
      <c r="AB349" s="120"/>
      <c r="AC349" s="120"/>
    </row>
    <row r="350" spans="1:29" s="28" customFormat="1" x14ac:dyDescent="0.25">
      <c r="A350"/>
      <c r="B350" s="13">
        <v>45580</v>
      </c>
      <c r="C350" s="32">
        <v>4480</v>
      </c>
      <c r="D350" s="32"/>
      <c r="E350" s="32">
        <v>3935.1</v>
      </c>
      <c r="F350" s="32">
        <v>8415.1</v>
      </c>
      <c r="G350" s="8" t="s">
        <v>582</v>
      </c>
      <c r="H350" s="8" t="s">
        <v>583</v>
      </c>
      <c r="I350" s="8" t="s">
        <v>584</v>
      </c>
      <c r="J350" s="8" t="s">
        <v>585</v>
      </c>
      <c r="K350" s="8">
        <v>43.041584</v>
      </c>
      <c r="L350" s="8">
        <v>-98.323269999999994</v>
      </c>
      <c r="M350" s="8" t="s">
        <v>113</v>
      </c>
      <c r="N350" s="10" t="s">
        <v>586</v>
      </c>
      <c r="O350" s="11" t="s">
        <v>56</v>
      </c>
      <c r="P350" s="11" t="s">
        <v>57</v>
      </c>
      <c r="Q350" s="12">
        <v>340</v>
      </c>
      <c r="R350" s="13">
        <v>45574</v>
      </c>
      <c r="S350" s="13">
        <v>45580</v>
      </c>
      <c r="T350" s="11">
        <v>167</v>
      </c>
      <c r="U350" s="11"/>
      <c r="V350" s="11">
        <v>1080</v>
      </c>
      <c r="W350" s="11">
        <v>351</v>
      </c>
      <c r="X350" s="11">
        <v>245</v>
      </c>
      <c r="Z350">
        <v>3</v>
      </c>
      <c r="AA350" s="120"/>
      <c r="AB350" s="120"/>
      <c r="AC350" s="120"/>
    </row>
    <row r="351" spans="1:29" s="28" customFormat="1" x14ac:dyDescent="0.25">
      <c r="A351"/>
      <c r="B351"/>
      <c r="C351" s="31"/>
      <c r="D351" s="31"/>
      <c r="E351" s="31"/>
      <c r="F351" s="31"/>
      <c r="G351" s="20" t="s">
        <v>582</v>
      </c>
      <c r="H351" s="20" t="s">
        <v>587</v>
      </c>
      <c r="I351" s="20" t="s">
        <v>588</v>
      </c>
      <c r="J351" s="20" t="s">
        <v>585</v>
      </c>
      <c r="K351" s="20">
        <v>43.073557000000001</v>
      </c>
      <c r="L351" s="20">
        <v>-98.103380000000001</v>
      </c>
      <c r="M351" s="20" t="s">
        <v>113</v>
      </c>
      <c r="N351" s="4" t="s">
        <v>589</v>
      </c>
      <c r="O351" t="s">
        <v>54</v>
      </c>
      <c r="P351" t="s">
        <v>55</v>
      </c>
      <c r="Q351" s="5">
        <v>329</v>
      </c>
      <c r="R351" s="1">
        <v>45536</v>
      </c>
      <c r="S351" s="1">
        <v>45610</v>
      </c>
      <c r="T351">
        <v>160</v>
      </c>
      <c r="U351"/>
      <c r="V351">
        <v>563</v>
      </c>
      <c r="W351">
        <v>127</v>
      </c>
      <c r="X351">
        <v>88</v>
      </c>
      <c r="Z351">
        <v>3</v>
      </c>
      <c r="AA351" s="120"/>
      <c r="AB351" s="120"/>
      <c r="AC351" s="120"/>
    </row>
    <row r="352" spans="1:29" s="28" customFormat="1" x14ac:dyDescent="0.25">
      <c r="A352"/>
      <c r="B352" s="13">
        <v>45580</v>
      </c>
      <c r="C352" s="32">
        <v>4000</v>
      </c>
      <c r="D352" s="32"/>
      <c r="E352" s="32">
        <v>4001.6</v>
      </c>
      <c r="F352" s="32">
        <v>8001.6</v>
      </c>
      <c r="G352" s="8" t="s">
        <v>582</v>
      </c>
      <c r="H352" s="8" t="s">
        <v>587</v>
      </c>
      <c r="I352" s="8" t="s">
        <v>588</v>
      </c>
      <c r="J352" s="8" t="s">
        <v>585</v>
      </c>
      <c r="K352" s="8">
        <v>43.073557000000001</v>
      </c>
      <c r="L352" s="8">
        <v>-98.103380000000001</v>
      </c>
      <c r="M352" s="8" t="s">
        <v>113</v>
      </c>
      <c r="N352" s="10" t="s">
        <v>589</v>
      </c>
      <c r="O352" s="11" t="s">
        <v>56</v>
      </c>
      <c r="P352" s="11" t="s">
        <v>57</v>
      </c>
      <c r="Q352" s="12">
        <v>340</v>
      </c>
      <c r="R352" s="13">
        <v>45573</v>
      </c>
      <c r="S352" s="13">
        <v>45580</v>
      </c>
      <c r="T352" s="11">
        <v>160</v>
      </c>
      <c r="U352" s="11"/>
      <c r="V352" s="11">
        <v>1279</v>
      </c>
      <c r="W352" s="11">
        <v>427</v>
      </c>
      <c r="X352" s="11">
        <v>206</v>
      </c>
      <c r="Z352">
        <v>3</v>
      </c>
      <c r="AA352" s="120"/>
      <c r="AB352" s="120"/>
      <c r="AC352" s="120"/>
    </row>
    <row r="353" spans="1:29" s="28" customFormat="1" x14ac:dyDescent="0.25">
      <c r="A353"/>
      <c r="B353"/>
      <c r="C353" s="31"/>
      <c r="D353" s="31"/>
      <c r="E353" s="31"/>
      <c r="F353" s="31"/>
      <c r="G353" s="20" t="s">
        <v>582</v>
      </c>
      <c r="H353" s="20" t="s">
        <v>590</v>
      </c>
      <c r="I353" s="20" t="s">
        <v>584</v>
      </c>
      <c r="J353" s="20" t="s">
        <v>585</v>
      </c>
      <c r="K353" s="20">
        <v>43.122312999999998</v>
      </c>
      <c r="L353" s="20">
        <v>-98.439615000000003</v>
      </c>
      <c r="M353" s="20" t="s">
        <v>113</v>
      </c>
      <c r="N353" s="4" t="s">
        <v>591</v>
      </c>
      <c r="O353" t="s">
        <v>54</v>
      </c>
      <c r="P353" t="s">
        <v>55</v>
      </c>
      <c r="Q353" s="5">
        <v>329</v>
      </c>
      <c r="R353" s="1">
        <v>45566</v>
      </c>
      <c r="S353" s="1">
        <v>45615</v>
      </c>
      <c r="T353">
        <v>167</v>
      </c>
      <c r="U353"/>
      <c r="V353">
        <v>563</v>
      </c>
      <c r="W353">
        <v>137</v>
      </c>
      <c r="X353">
        <v>88</v>
      </c>
      <c r="Z353">
        <v>3</v>
      </c>
      <c r="AA353" s="120"/>
      <c r="AB353" s="120"/>
      <c r="AC353" s="120"/>
    </row>
    <row r="354" spans="1:29" s="28" customFormat="1" x14ac:dyDescent="0.25">
      <c r="A354"/>
      <c r="B354" s="13">
        <v>45580</v>
      </c>
      <c r="C354" s="32">
        <v>4000</v>
      </c>
      <c r="D354" s="32"/>
      <c r="E354" s="32">
        <v>4001.6</v>
      </c>
      <c r="F354" s="32">
        <v>8001.6</v>
      </c>
      <c r="G354" s="8" t="s">
        <v>582</v>
      </c>
      <c r="H354" s="8" t="s">
        <v>590</v>
      </c>
      <c r="I354" s="8" t="s">
        <v>584</v>
      </c>
      <c r="J354" s="8" t="s">
        <v>585</v>
      </c>
      <c r="K354" s="8">
        <v>43.122312999999998</v>
      </c>
      <c r="L354" s="8">
        <v>-98.439615000000003</v>
      </c>
      <c r="M354" s="8" t="s">
        <v>113</v>
      </c>
      <c r="N354" s="10" t="s">
        <v>591</v>
      </c>
      <c r="O354" s="11" t="s">
        <v>56</v>
      </c>
      <c r="P354" s="11" t="s">
        <v>57</v>
      </c>
      <c r="Q354" s="12">
        <v>340</v>
      </c>
      <c r="R354" s="13">
        <v>45567</v>
      </c>
      <c r="S354" s="13">
        <v>45580</v>
      </c>
      <c r="T354" s="11">
        <v>167</v>
      </c>
      <c r="U354" s="11"/>
      <c r="V354" s="11">
        <v>1279</v>
      </c>
      <c r="W354" s="11">
        <v>427</v>
      </c>
      <c r="X354" s="11">
        <v>306</v>
      </c>
      <c r="Z354">
        <v>3</v>
      </c>
      <c r="AA354" s="120"/>
      <c r="AB354" s="120"/>
      <c r="AC354" s="120"/>
    </row>
    <row r="355" spans="1:29" s="28" customFormat="1" x14ac:dyDescent="0.25">
      <c r="A355"/>
      <c r="B355"/>
      <c r="C355" s="31"/>
      <c r="D355" s="31"/>
      <c r="E355" s="31"/>
      <c r="F355" s="31"/>
      <c r="G355" s="20" t="s">
        <v>582</v>
      </c>
      <c r="H355" s="20" t="s">
        <v>592</v>
      </c>
      <c r="I355" s="20" t="s">
        <v>593</v>
      </c>
      <c r="J355" s="20" t="s">
        <v>585</v>
      </c>
      <c r="K355" s="20">
        <v>43.050083000000001</v>
      </c>
      <c r="L355" s="20">
        <v>-98.086907999999994</v>
      </c>
      <c r="M355" s="20" t="s">
        <v>113</v>
      </c>
      <c r="N355" s="4" t="s">
        <v>594</v>
      </c>
      <c r="O355" t="s">
        <v>54</v>
      </c>
      <c r="P355" t="s">
        <v>55</v>
      </c>
      <c r="Q355" s="5">
        <v>329</v>
      </c>
      <c r="R355" s="1">
        <v>45566</v>
      </c>
      <c r="S355" s="1">
        <v>45611</v>
      </c>
      <c r="T355">
        <v>137</v>
      </c>
      <c r="U355"/>
      <c r="V355">
        <v>467</v>
      </c>
      <c r="W355">
        <v>106</v>
      </c>
      <c r="X355">
        <v>74</v>
      </c>
      <c r="Z355">
        <v>3</v>
      </c>
      <c r="AA355" s="120"/>
      <c r="AB355" s="120"/>
      <c r="AC355" s="120"/>
    </row>
    <row r="356" spans="1:29" s="28" customFormat="1" x14ac:dyDescent="0.25">
      <c r="A356"/>
      <c r="B356" s="13">
        <v>45580</v>
      </c>
      <c r="C356" s="32">
        <v>4000</v>
      </c>
      <c r="D356" s="32"/>
      <c r="E356" s="32">
        <v>4350.32</v>
      </c>
      <c r="F356" s="32">
        <v>8350.32</v>
      </c>
      <c r="G356" s="8" t="s">
        <v>582</v>
      </c>
      <c r="H356" s="8" t="s">
        <v>592</v>
      </c>
      <c r="I356" s="8" t="s">
        <v>593</v>
      </c>
      <c r="J356" s="8" t="s">
        <v>585</v>
      </c>
      <c r="K356" s="8">
        <v>43.050083000000001</v>
      </c>
      <c r="L356" s="8">
        <v>-98.086907999999994</v>
      </c>
      <c r="M356" s="8" t="s">
        <v>113</v>
      </c>
      <c r="N356" s="10" t="s">
        <v>594</v>
      </c>
      <c r="O356" s="11" t="s">
        <v>56</v>
      </c>
      <c r="P356" s="11" t="s">
        <v>57</v>
      </c>
      <c r="Q356" s="12">
        <v>340</v>
      </c>
      <c r="R356" s="13">
        <v>45566</v>
      </c>
      <c r="S356" s="13">
        <v>45580</v>
      </c>
      <c r="T356" s="11">
        <v>137</v>
      </c>
      <c r="U356" s="11"/>
      <c r="V356" s="11">
        <v>1069</v>
      </c>
      <c r="W356" s="11">
        <v>359</v>
      </c>
      <c r="X356" s="11">
        <v>258</v>
      </c>
      <c r="Z356">
        <v>3</v>
      </c>
      <c r="AA356" s="120"/>
      <c r="AB356" s="120"/>
      <c r="AC356" s="120"/>
    </row>
    <row r="357" spans="1:29" s="28" customFormat="1" x14ac:dyDescent="0.25">
      <c r="A357"/>
      <c r="B357"/>
      <c r="C357" s="31"/>
      <c r="D357" s="31"/>
      <c r="E357" s="31"/>
      <c r="F357" s="31"/>
      <c r="G357" s="20" t="s">
        <v>582</v>
      </c>
      <c r="H357" s="20" t="s">
        <v>595</v>
      </c>
      <c r="I357" s="20" t="s">
        <v>584</v>
      </c>
      <c r="J357" s="20" t="s">
        <v>585</v>
      </c>
      <c r="K357" s="20">
        <v>43.591461000000002</v>
      </c>
      <c r="L357" s="20">
        <v>-96.778142000000003</v>
      </c>
      <c r="M357" s="20" t="s">
        <v>156</v>
      </c>
      <c r="N357" s="4" t="s">
        <v>596</v>
      </c>
      <c r="O357" t="s">
        <v>54</v>
      </c>
      <c r="P357" t="s">
        <v>55</v>
      </c>
      <c r="Q357" s="5">
        <v>329</v>
      </c>
      <c r="R357" s="1">
        <v>45569</v>
      </c>
      <c r="S357" s="1">
        <v>45580</v>
      </c>
      <c r="T357">
        <v>160</v>
      </c>
      <c r="U357"/>
      <c r="V357">
        <v>548</v>
      </c>
      <c r="W357">
        <v>120</v>
      </c>
      <c r="X357">
        <v>83</v>
      </c>
      <c r="Z357">
        <v>3</v>
      </c>
      <c r="AA357" s="120"/>
      <c r="AB357" s="120"/>
      <c r="AC357" s="120"/>
    </row>
    <row r="358" spans="1:29" s="28" customFormat="1" x14ac:dyDescent="0.25">
      <c r="A358"/>
      <c r="B358" s="13">
        <v>45580</v>
      </c>
      <c r="C358" s="32">
        <v>3415.75</v>
      </c>
      <c r="D358" s="32"/>
      <c r="E358" s="32">
        <v>3437.16</v>
      </c>
      <c r="F358" s="32">
        <v>6852.91</v>
      </c>
      <c r="G358" s="8" t="s">
        <v>582</v>
      </c>
      <c r="H358" s="8" t="s">
        <v>595</v>
      </c>
      <c r="I358" s="8" t="s">
        <v>584</v>
      </c>
      <c r="J358" s="8" t="s">
        <v>585</v>
      </c>
      <c r="K358" s="8">
        <v>43.591461000000002</v>
      </c>
      <c r="L358" s="8">
        <v>-96.778142000000003</v>
      </c>
      <c r="M358" s="8" t="s">
        <v>156</v>
      </c>
      <c r="N358" s="10" t="s">
        <v>596</v>
      </c>
      <c r="O358" s="11" t="s">
        <v>56</v>
      </c>
      <c r="P358" s="11" t="s">
        <v>57</v>
      </c>
      <c r="Q358" s="12">
        <v>340</v>
      </c>
      <c r="R358" s="13">
        <v>45569</v>
      </c>
      <c r="S358" s="13">
        <v>45580</v>
      </c>
      <c r="T358" s="11">
        <v>160</v>
      </c>
      <c r="U358" s="11"/>
      <c r="V358" s="11">
        <v>1220</v>
      </c>
      <c r="W358" s="11">
        <v>405</v>
      </c>
      <c r="X358" s="11">
        <v>287</v>
      </c>
      <c r="Z358">
        <v>3</v>
      </c>
      <c r="AA358" s="120"/>
      <c r="AB358" s="120"/>
      <c r="AC358" s="120"/>
    </row>
    <row r="359" spans="1:29" s="28" customFormat="1" x14ac:dyDescent="0.25">
      <c r="A359"/>
      <c r="B359"/>
      <c r="C359" s="31"/>
      <c r="D359" s="31"/>
      <c r="E359" s="31"/>
      <c r="F359" s="31"/>
      <c r="G359" s="20" t="s">
        <v>597</v>
      </c>
      <c r="H359" s="20" t="s">
        <v>261</v>
      </c>
      <c r="I359" s="20" t="s">
        <v>598</v>
      </c>
      <c r="J359" s="20" t="s">
        <v>427</v>
      </c>
      <c r="K359" s="20">
        <v>43.709344999999999</v>
      </c>
      <c r="L359" s="20">
        <v>-97.133640999999997</v>
      </c>
      <c r="M359" s="20" t="s">
        <v>599</v>
      </c>
      <c r="N359" s="4" t="s">
        <v>600</v>
      </c>
      <c r="O359" t="s">
        <v>83</v>
      </c>
      <c r="P359" t="s">
        <v>84</v>
      </c>
      <c r="Q359" s="5">
        <v>328</v>
      </c>
      <c r="R359" s="1">
        <v>45505</v>
      </c>
      <c r="S359" s="1">
        <v>45708</v>
      </c>
      <c r="T359">
        <v>65</v>
      </c>
      <c r="U359"/>
      <c r="V359"/>
      <c r="W359"/>
      <c r="X359"/>
      <c r="Z359">
        <v>3</v>
      </c>
      <c r="AA359" s="120"/>
      <c r="AB359" s="120"/>
      <c r="AC359" s="120"/>
    </row>
    <row r="360" spans="1:29" s="28" customFormat="1" x14ac:dyDescent="0.25">
      <c r="A360"/>
      <c r="B360"/>
      <c r="C360" s="31"/>
      <c r="D360" s="31"/>
      <c r="E360" s="31"/>
      <c r="F360" s="31"/>
      <c r="G360" s="6" t="s">
        <v>597</v>
      </c>
      <c r="H360" s="6" t="s">
        <v>261</v>
      </c>
      <c r="I360" s="6" t="s">
        <v>598</v>
      </c>
      <c r="J360" s="6" t="s">
        <v>427</v>
      </c>
      <c r="K360" s="6">
        <v>43.709344999999999</v>
      </c>
      <c r="L360" s="6">
        <v>-97.133640999999997</v>
      </c>
      <c r="M360" s="6" t="s">
        <v>599</v>
      </c>
      <c r="N360" s="4" t="s">
        <v>600</v>
      </c>
      <c r="O360" t="s">
        <v>54</v>
      </c>
      <c r="P360" t="s">
        <v>55</v>
      </c>
      <c r="Q360" s="5">
        <v>329</v>
      </c>
      <c r="R360" s="1">
        <v>45505</v>
      </c>
      <c r="S360" s="1">
        <v>45708</v>
      </c>
      <c r="T360">
        <v>65</v>
      </c>
      <c r="U360"/>
      <c r="V360">
        <v>164</v>
      </c>
      <c r="W360">
        <v>29</v>
      </c>
      <c r="X360">
        <v>18</v>
      </c>
      <c r="Z360">
        <v>3</v>
      </c>
      <c r="AA360" s="120"/>
      <c r="AB360" s="120"/>
      <c r="AC360" s="120"/>
    </row>
    <row r="361" spans="1:29" s="28" customFormat="1" x14ac:dyDescent="0.25">
      <c r="A361"/>
      <c r="B361" s="13">
        <v>45575</v>
      </c>
      <c r="C361" s="32">
        <v>1607.13</v>
      </c>
      <c r="D361" s="32"/>
      <c r="E361" s="32">
        <v>1607.13</v>
      </c>
      <c r="F361" s="32">
        <v>3214.26</v>
      </c>
      <c r="G361" s="8" t="s">
        <v>597</v>
      </c>
      <c r="H361" s="8" t="s">
        <v>261</v>
      </c>
      <c r="I361" s="8" t="s">
        <v>598</v>
      </c>
      <c r="J361" s="8" t="s">
        <v>427</v>
      </c>
      <c r="K361" s="8">
        <v>43.709344999999999</v>
      </c>
      <c r="L361" s="8">
        <v>-97.133640999999997</v>
      </c>
      <c r="M361" s="8" t="s">
        <v>599</v>
      </c>
      <c r="N361" s="10" t="s">
        <v>600</v>
      </c>
      <c r="O361" s="11" t="s">
        <v>56</v>
      </c>
      <c r="P361" s="11" t="s">
        <v>57</v>
      </c>
      <c r="Q361" s="12">
        <v>340</v>
      </c>
      <c r="R361" s="13">
        <v>45488</v>
      </c>
      <c r="S361" s="13">
        <v>45560</v>
      </c>
      <c r="T361" s="11">
        <v>65</v>
      </c>
      <c r="U361" s="11"/>
      <c r="V361" s="11">
        <v>312</v>
      </c>
      <c r="W361" s="11">
        <v>96</v>
      </c>
      <c r="X361" s="11">
        <v>62</v>
      </c>
      <c r="Z361">
        <v>3</v>
      </c>
      <c r="AA361" s="120"/>
      <c r="AB361" s="120"/>
      <c r="AC361" s="120"/>
    </row>
    <row r="362" spans="1:29" s="28" customFormat="1" x14ac:dyDescent="0.25">
      <c r="A362"/>
      <c r="B362"/>
      <c r="C362" s="31"/>
      <c r="D362" s="31"/>
      <c r="E362" s="31"/>
      <c r="F362" s="31"/>
      <c r="G362" s="20" t="s">
        <v>597</v>
      </c>
      <c r="H362" s="20" t="s">
        <v>601</v>
      </c>
      <c r="I362" s="20" t="s">
        <v>602</v>
      </c>
      <c r="J362" s="20" t="s">
        <v>427</v>
      </c>
      <c r="K362" s="20">
        <v>43.724487000000003</v>
      </c>
      <c r="L362" s="20">
        <v>-97.181922999999998</v>
      </c>
      <c r="M362" s="20" t="s">
        <v>130</v>
      </c>
      <c r="N362" s="4" t="s">
        <v>603</v>
      </c>
      <c r="O362" t="s">
        <v>54</v>
      </c>
      <c r="P362" t="s">
        <v>55</v>
      </c>
      <c r="Q362" s="5">
        <v>329</v>
      </c>
      <c r="R362" s="1">
        <v>45505</v>
      </c>
      <c r="S362" s="1">
        <v>45566</v>
      </c>
      <c r="T362">
        <v>63.2</v>
      </c>
      <c r="U362"/>
      <c r="V362">
        <v>262</v>
      </c>
      <c r="W362">
        <v>69</v>
      </c>
      <c r="X362">
        <v>45</v>
      </c>
      <c r="Z362">
        <v>3</v>
      </c>
      <c r="AA362" s="120"/>
      <c r="AB362" s="120"/>
      <c r="AC362" s="120"/>
    </row>
    <row r="363" spans="1:29" s="28" customFormat="1" x14ac:dyDescent="0.25">
      <c r="A363"/>
      <c r="B363" s="13">
        <v>45623</v>
      </c>
      <c r="C363" s="32">
        <v>3902.91</v>
      </c>
      <c r="D363" s="32"/>
      <c r="E363" s="32">
        <v>3902.91</v>
      </c>
      <c r="F363" s="32">
        <v>7805.83</v>
      </c>
      <c r="G363" s="8" t="s">
        <v>597</v>
      </c>
      <c r="H363" s="8" t="s">
        <v>601</v>
      </c>
      <c r="I363" s="8" t="s">
        <v>602</v>
      </c>
      <c r="J363" s="8" t="s">
        <v>427</v>
      </c>
      <c r="K363" s="8">
        <v>43.724487000000003</v>
      </c>
      <c r="L363" s="8">
        <v>-97.181922999999998</v>
      </c>
      <c r="M363" s="8" t="s">
        <v>130</v>
      </c>
      <c r="N363" s="10" t="s">
        <v>603</v>
      </c>
      <c r="O363" s="11" t="s">
        <v>132</v>
      </c>
      <c r="P363" s="11" t="s">
        <v>133</v>
      </c>
      <c r="Q363" s="12"/>
      <c r="R363" s="13">
        <v>45505</v>
      </c>
      <c r="S363" s="13">
        <v>45566</v>
      </c>
      <c r="T363" s="11">
        <v>63.2</v>
      </c>
      <c r="U363" s="11"/>
      <c r="V363" s="11">
        <v>328</v>
      </c>
      <c r="W363" s="11">
        <v>104</v>
      </c>
      <c r="X363" s="11">
        <v>68</v>
      </c>
      <c r="Z363">
        <v>3</v>
      </c>
      <c r="AA363" s="120"/>
      <c r="AB363" s="120"/>
      <c r="AC363" s="120"/>
    </row>
    <row r="364" spans="1:29" s="28" customFormat="1" x14ac:dyDescent="0.25">
      <c r="A364"/>
      <c r="B364"/>
      <c r="C364" s="31"/>
      <c r="D364" s="31"/>
      <c r="E364" s="31"/>
      <c r="F364" s="31"/>
      <c r="G364" s="20" t="s">
        <v>597</v>
      </c>
      <c r="H364" s="20" t="s">
        <v>444</v>
      </c>
      <c r="I364" s="20" t="s">
        <v>604</v>
      </c>
      <c r="J364" s="20" t="s">
        <v>291</v>
      </c>
      <c r="K364" s="20">
        <v>44.517601999999997</v>
      </c>
      <c r="L364" s="20">
        <v>-97.294883999999996</v>
      </c>
      <c r="M364" s="20" t="s">
        <v>128</v>
      </c>
      <c r="N364" s="4" t="s">
        <v>365</v>
      </c>
      <c r="O364" t="s">
        <v>83</v>
      </c>
      <c r="P364" t="s">
        <v>84</v>
      </c>
      <c r="Q364" s="5">
        <v>328</v>
      </c>
      <c r="R364" s="1">
        <v>45383</v>
      </c>
      <c r="S364" s="1">
        <v>45392</v>
      </c>
      <c r="T364">
        <v>152</v>
      </c>
      <c r="U364"/>
      <c r="V364"/>
      <c r="W364"/>
      <c r="X364"/>
      <c r="Z364">
        <v>3</v>
      </c>
      <c r="AA364" s="120">
        <v>540</v>
      </c>
      <c r="AB364" s="120">
        <v>200</v>
      </c>
      <c r="AC364" s="120">
        <v>137</v>
      </c>
    </row>
    <row r="365" spans="1:29" s="28" customFormat="1" x14ac:dyDescent="0.25">
      <c r="A365"/>
      <c r="B365"/>
      <c r="C365" s="31"/>
      <c r="D365" s="31"/>
      <c r="E365" s="31"/>
      <c r="F365" s="31"/>
      <c r="G365" s="6" t="s">
        <v>597</v>
      </c>
      <c r="H365" s="6" t="s">
        <v>444</v>
      </c>
      <c r="I365" s="6" t="s">
        <v>604</v>
      </c>
      <c r="J365" s="6" t="s">
        <v>291</v>
      </c>
      <c r="K365" s="6">
        <v>44.517601999999997</v>
      </c>
      <c r="L365" s="6">
        <v>-97.294883999999996</v>
      </c>
      <c r="M365" s="6" t="s">
        <v>128</v>
      </c>
      <c r="N365" s="4" t="s">
        <v>365</v>
      </c>
      <c r="O365" t="s">
        <v>54</v>
      </c>
      <c r="P365" t="s">
        <v>55</v>
      </c>
      <c r="Q365" s="5">
        <v>329</v>
      </c>
      <c r="R365" s="1">
        <v>45383</v>
      </c>
      <c r="S365" s="1">
        <v>45392</v>
      </c>
      <c r="T365">
        <v>152</v>
      </c>
      <c r="U365"/>
      <c r="V365" s="117">
        <v>415</v>
      </c>
      <c r="W365" s="117">
        <v>174</v>
      </c>
      <c r="X365" s="117">
        <v>120</v>
      </c>
      <c r="Z365">
        <v>3</v>
      </c>
      <c r="AA365" s="38">
        <v>540</v>
      </c>
      <c r="AB365" s="38">
        <v>200</v>
      </c>
      <c r="AC365" s="38">
        <v>137</v>
      </c>
    </row>
    <row r="366" spans="1:29" s="28" customFormat="1" x14ac:dyDescent="0.25">
      <c r="A366"/>
      <c r="B366" s="13">
        <v>45387</v>
      </c>
      <c r="C366" s="32">
        <v>15200</v>
      </c>
      <c r="D366" s="36"/>
      <c r="E366" s="32">
        <v>25241.119999999999</v>
      </c>
      <c r="F366" s="32">
        <v>40441.120000000003</v>
      </c>
      <c r="G366" s="8" t="s">
        <v>597</v>
      </c>
      <c r="H366" s="8" t="s">
        <v>444</v>
      </c>
      <c r="I366" s="8" t="s">
        <v>604</v>
      </c>
      <c r="J366" s="8" t="s">
        <v>291</v>
      </c>
      <c r="K366" s="8">
        <v>44.517601999999997</v>
      </c>
      <c r="L366" s="8">
        <v>-97.294883999999996</v>
      </c>
      <c r="M366" s="8" t="s">
        <v>128</v>
      </c>
      <c r="N366" s="10" t="s">
        <v>365</v>
      </c>
      <c r="O366" s="11" t="s">
        <v>132</v>
      </c>
      <c r="P366" s="11" t="s">
        <v>133</v>
      </c>
      <c r="Q366" s="12"/>
      <c r="R366" s="13">
        <v>45355</v>
      </c>
      <c r="S366" s="13">
        <v>45397</v>
      </c>
      <c r="T366" s="11">
        <v>152</v>
      </c>
      <c r="U366" s="11"/>
      <c r="V366" s="11">
        <v>350</v>
      </c>
      <c r="W366" s="11">
        <v>59</v>
      </c>
      <c r="X366" s="11">
        <v>35</v>
      </c>
      <c r="Z366">
        <v>3</v>
      </c>
      <c r="AA366" s="38">
        <v>540</v>
      </c>
      <c r="AB366" s="38">
        <v>200</v>
      </c>
      <c r="AC366" s="38">
        <v>137</v>
      </c>
    </row>
    <row r="367" spans="1:29" s="28" customFormat="1" x14ac:dyDescent="0.25">
      <c r="A367"/>
      <c r="B367"/>
      <c r="C367" s="31"/>
      <c r="D367" s="31"/>
      <c r="E367" s="31"/>
      <c r="F367" s="31"/>
      <c r="G367" s="20" t="s">
        <v>597</v>
      </c>
      <c r="H367" s="20" t="s">
        <v>567</v>
      </c>
      <c r="I367" s="20" t="s">
        <v>598</v>
      </c>
      <c r="J367" s="20" t="s">
        <v>291</v>
      </c>
      <c r="K367" s="20">
        <v>44.584667000000003</v>
      </c>
      <c r="L367" s="20">
        <v>-97.306381999999999</v>
      </c>
      <c r="M367" s="20" t="s">
        <v>128</v>
      </c>
      <c r="N367" s="4" t="s">
        <v>605</v>
      </c>
      <c r="O367" t="s">
        <v>83</v>
      </c>
      <c r="P367" t="s">
        <v>84</v>
      </c>
      <c r="Q367" s="5">
        <v>328</v>
      </c>
      <c r="R367" s="1">
        <v>45356</v>
      </c>
      <c r="S367" s="1">
        <v>45397</v>
      </c>
      <c r="T367">
        <v>95</v>
      </c>
      <c r="U367"/>
      <c r="V367"/>
      <c r="W367"/>
      <c r="X367"/>
      <c r="Z367">
        <v>3</v>
      </c>
      <c r="AA367" s="120">
        <v>354</v>
      </c>
      <c r="AB367" s="120">
        <v>131</v>
      </c>
      <c r="AC367" s="120">
        <v>91</v>
      </c>
    </row>
    <row r="368" spans="1:29" s="28" customFormat="1" x14ac:dyDescent="0.25">
      <c r="A368"/>
      <c r="B368"/>
      <c r="C368" s="31"/>
      <c r="D368" s="31"/>
      <c r="E368" s="31"/>
      <c r="F368" s="31"/>
      <c r="G368" s="6" t="s">
        <v>597</v>
      </c>
      <c r="H368" s="6" t="s">
        <v>567</v>
      </c>
      <c r="I368" s="6" t="s">
        <v>598</v>
      </c>
      <c r="J368" s="6" t="s">
        <v>291</v>
      </c>
      <c r="K368" s="6">
        <v>44.584667000000003</v>
      </c>
      <c r="L368" s="6">
        <v>-97.306381999999999</v>
      </c>
      <c r="M368" s="6" t="s">
        <v>128</v>
      </c>
      <c r="N368" s="4" t="s">
        <v>605</v>
      </c>
      <c r="O368" t="s">
        <v>54</v>
      </c>
      <c r="P368" t="s">
        <v>55</v>
      </c>
      <c r="Q368" s="5">
        <v>329</v>
      </c>
      <c r="R368" s="1">
        <v>45356</v>
      </c>
      <c r="S368" s="1">
        <v>45397</v>
      </c>
      <c r="T368">
        <v>95</v>
      </c>
      <c r="U368"/>
      <c r="V368" s="117">
        <v>274</v>
      </c>
      <c r="W368" s="117">
        <v>114</v>
      </c>
      <c r="X368" s="117">
        <v>79</v>
      </c>
      <c r="Z368">
        <v>3</v>
      </c>
      <c r="AA368" s="38">
        <v>354</v>
      </c>
      <c r="AB368" s="38">
        <v>131</v>
      </c>
      <c r="AC368" s="38">
        <v>91</v>
      </c>
    </row>
    <row r="369" spans="1:29" s="28" customFormat="1" x14ac:dyDescent="0.25">
      <c r="A369"/>
      <c r="B369" s="13">
        <v>45387</v>
      </c>
      <c r="C369" s="32">
        <v>9500</v>
      </c>
      <c r="D369" s="37"/>
      <c r="E369" s="32">
        <v>12958.4</v>
      </c>
      <c r="F369" s="32">
        <v>22458.400000000001</v>
      </c>
      <c r="G369" s="8" t="s">
        <v>597</v>
      </c>
      <c r="H369" s="8" t="s">
        <v>567</v>
      </c>
      <c r="I369" s="8" t="s">
        <v>598</v>
      </c>
      <c r="J369" s="8" t="s">
        <v>291</v>
      </c>
      <c r="K369" s="8">
        <v>44.584667000000003</v>
      </c>
      <c r="L369" s="8">
        <v>-97.306381999999999</v>
      </c>
      <c r="M369" s="8" t="s">
        <v>128</v>
      </c>
      <c r="N369" s="10" t="s">
        <v>605</v>
      </c>
      <c r="O369" s="11" t="s">
        <v>132</v>
      </c>
      <c r="P369" s="11" t="s">
        <v>133</v>
      </c>
      <c r="Q369" s="12"/>
      <c r="R369" s="13">
        <v>45356</v>
      </c>
      <c r="S369" s="13">
        <v>45397</v>
      </c>
      <c r="T369" s="11">
        <v>95</v>
      </c>
      <c r="U369" s="11"/>
      <c r="V369" s="11">
        <v>205</v>
      </c>
      <c r="W369" s="11">
        <v>33</v>
      </c>
      <c r="X369" s="11">
        <v>19</v>
      </c>
      <c r="Z369">
        <v>3</v>
      </c>
      <c r="AA369" s="38">
        <v>354</v>
      </c>
      <c r="AB369" s="38">
        <v>131</v>
      </c>
      <c r="AC369" s="38">
        <v>91</v>
      </c>
    </row>
    <row r="370" spans="1:29" s="28" customFormat="1" x14ac:dyDescent="0.25">
      <c r="A370"/>
      <c r="B370"/>
      <c r="C370" s="31"/>
      <c r="D370" s="31"/>
      <c r="E370" s="31"/>
      <c r="F370" s="31"/>
      <c r="G370" s="20" t="s">
        <v>606</v>
      </c>
      <c r="H370" s="20" t="s">
        <v>607</v>
      </c>
      <c r="I370" s="20" t="s">
        <v>608</v>
      </c>
      <c r="J370" s="20" t="s">
        <v>572</v>
      </c>
      <c r="K370" s="20">
        <v>43.130637</v>
      </c>
      <c r="L370" s="20">
        <v>-97.609910999999997</v>
      </c>
      <c r="M370" s="20" t="s">
        <v>137</v>
      </c>
      <c r="N370" s="4" t="s">
        <v>609</v>
      </c>
      <c r="O370" t="s">
        <v>54</v>
      </c>
      <c r="P370" t="s">
        <v>55</v>
      </c>
      <c r="Q370" s="5">
        <v>329</v>
      </c>
      <c r="R370" s="1">
        <v>45505</v>
      </c>
      <c r="S370" s="1">
        <v>45723</v>
      </c>
      <c r="T370">
        <v>79</v>
      </c>
      <c r="U370"/>
      <c r="V370">
        <v>515</v>
      </c>
      <c r="W370">
        <v>158</v>
      </c>
      <c r="X370">
        <v>113</v>
      </c>
      <c r="Z370">
        <v>3</v>
      </c>
      <c r="AA370" s="120"/>
      <c r="AB370" s="120"/>
      <c r="AC370" s="120"/>
    </row>
    <row r="371" spans="1:29" s="28" customFormat="1" x14ac:dyDescent="0.25">
      <c r="A371"/>
      <c r="B371" s="1">
        <v>45512</v>
      </c>
      <c r="C371" s="31">
        <v>1975</v>
      </c>
      <c r="E371" s="31">
        <v>3298</v>
      </c>
      <c r="F371" s="31">
        <v>5273</v>
      </c>
      <c r="G371" s="6" t="s">
        <v>606</v>
      </c>
      <c r="H371" s="6" t="s">
        <v>607</v>
      </c>
      <c r="I371" s="6" t="s">
        <v>608</v>
      </c>
      <c r="J371" s="6" t="s">
        <v>572</v>
      </c>
      <c r="K371" s="6">
        <v>43.130637</v>
      </c>
      <c r="L371" s="6">
        <v>-97.609910999999997</v>
      </c>
      <c r="M371" s="6" t="s">
        <v>137</v>
      </c>
      <c r="N371" s="4" t="s">
        <v>609</v>
      </c>
      <c r="O371" t="s">
        <v>56</v>
      </c>
      <c r="P371" t="s">
        <v>57</v>
      </c>
      <c r="Q371" s="5">
        <v>340</v>
      </c>
      <c r="R371" s="1">
        <v>45498</v>
      </c>
      <c r="S371" s="1">
        <v>45512</v>
      </c>
      <c r="T371">
        <v>79</v>
      </c>
      <c r="U371"/>
      <c r="V371">
        <v>691</v>
      </c>
      <c r="W371">
        <v>237</v>
      </c>
      <c r="X371">
        <v>171</v>
      </c>
      <c r="Z371">
        <v>3</v>
      </c>
      <c r="AA371" s="120"/>
      <c r="AB371" s="120"/>
      <c r="AC371" s="120"/>
    </row>
    <row r="372" spans="1:29" s="28" customFormat="1" x14ac:dyDescent="0.25">
      <c r="A372"/>
      <c r="B372" s="11"/>
      <c r="C372" s="32"/>
      <c r="D372" s="32"/>
      <c r="E372" s="32"/>
      <c r="F372" s="32"/>
      <c r="G372" s="8" t="s">
        <v>606</v>
      </c>
      <c r="H372" s="8" t="s">
        <v>607</v>
      </c>
      <c r="I372" s="8" t="s">
        <v>608</v>
      </c>
      <c r="J372" s="8" t="s">
        <v>572</v>
      </c>
      <c r="K372" s="8">
        <v>43.130637</v>
      </c>
      <c r="L372" s="8">
        <v>-97.609910999999997</v>
      </c>
      <c r="M372" s="8" t="s">
        <v>137</v>
      </c>
      <c r="N372" s="10" t="s">
        <v>609</v>
      </c>
      <c r="O372" s="11" t="s">
        <v>105</v>
      </c>
      <c r="P372" s="11" t="s">
        <v>679</v>
      </c>
      <c r="Q372" s="12">
        <v>556</v>
      </c>
      <c r="R372" s="13">
        <v>45505</v>
      </c>
      <c r="S372" s="13">
        <v>45723</v>
      </c>
      <c r="T372" s="11">
        <v>79</v>
      </c>
      <c r="U372" s="11"/>
      <c r="V372" s="11"/>
      <c r="W372" s="11"/>
      <c r="X372" s="11"/>
      <c r="Z372">
        <v>3</v>
      </c>
      <c r="AA372" s="120"/>
      <c r="AB372" s="120"/>
      <c r="AC372" s="120"/>
    </row>
    <row r="373" spans="1:29" s="28" customFormat="1" x14ac:dyDescent="0.25">
      <c r="A373"/>
      <c r="B373"/>
      <c r="C373" s="31"/>
      <c r="D373" s="31"/>
      <c r="E373" s="31"/>
      <c r="F373" s="31"/>
      <c r="G373" s="20" t="s">
        <v>357</v>
      </c>
      <c r="H373" s="20" t="s">
        <v>610</v>
      </c>
      <c r="I373" s="20" t="s">
        <v>611</v>
      </c>
      <c r="J373" s="20" t="s">
        <v>268</v>
      </c>
      <c r="K373" s="20">
        <v>43.478054999999998</v>
      </c>
      <c r="L373" s="20">
        <v>-99.115500999999995</v>
      </c>
      <c r="M373" s="20" t="s">
        <v>269</v>
      </c>
      <c r="N373" s="4" t="s">
        <v>612</v>
      </c>
      <c r="O373" t="s">
        <v>54</v>
      </c>
      <c r="P373" t="s">
        <v>55</v>
      </c>
      <c r="Q373" s="5">
        <v>329</v>
      </c>
      <c r="R373" s="1">
        <v>45536</v>
      </c>
      <c r="S373" s="1">
        <v>45566</v>
      </c>
      <c r="T373">
        <v>191</v>
      </c>
      <c r="U373"/>
      <c r="V373">
        <v>1017</v>
      </c>
      <c r="W373">
        <v>296</v>
      </c>
      <c r="X373">
        <v>205</v>
      </c>
      <c r="Z373">
        <v>3</v>
      </c>
      <c r="AA373" s="120"/>
      <c r="AB373" s="120"/>
      <c r="AC373" s="120"/>
    </row>
    <row r="374" spans="1:29" s="28" customFormat="1" x14ac:dyDescent="0.25">
      <c r="A374"/>
      <c r="B374" s="13">
        <v>45565</v>
      </c>
      <c r="C374" s="32">
        <v>3890.6</v>
      </c>
      <c r="D374" s="32"/>
      <c r="E374" s="32">
        <v>3890.6</v>
      </c>
      <c r="F374" s="32">
        <v>7781.2</v>
      </c>
      <c r="G374" s="8" t="s">
        <v>357</v>
      </c>
      <c r="H374" s="8" t="s">
        <v>610</v>
      </c>
      <c r="I374" s="8" t="s">
        <v>611</v>
      </c>
      <c r="J374" s="8" t="s">
        <v>268</v>
      </c>
      <c r="K374" s="8">
        <v>43.478054999999998</v>
      </c>
      <c r="L374" s="8">
        <v>-99.115500999999995</v>
      </c>
      <c r="M374" s="8" t="s">
        <v>269</v>
      </c>
      <c r="N374" s="10" t="s">
        <v>612</v>
      </c>
      <c r="O374" s="11" t="s">
        <v>56</v>
      </c>
      <c r="P374" s="11" t="s">
        <v>57</v>
      </c>
      <c r="Q374" s="12">
        <v>340</v>
      </c>
      <c r="R374" s="13">
        <v>45505</v>
      </c>
      <c r="S374" s="13">
        <v>45545</v>
      </c>
      <c r="T374" s="11">
        <v>191</v>
      </c>
      <c r="U374" s="11"/>
      <c r="V374" s="11">
        <v>1332</v>
      </c>
      <c r="W374" s="11">
        <v>443</v>
      </c>
      <c r="X374" s="11">
        <v>309</v>
      </c>
      <c r="Z374">
        <v>3</v>
      </c>
      <c r="AA374" s="120"/>
      <c r="AB374" s="120"/>
      <c r="AC374" s="120"/>
    </row>
    <row r="375" spans="1:29" s="28" customFormat="1" x14ac:dyDescent="0.25">
      <c r="A375"/>
      <c r="B375"/>
      <c r="C375" s="31"/>
      <c r="D375" s="31"/>
      <c r="E375" s="31"/>
      <c r="F375" s="31"/>
      <c r="G375" s="34" t="s">
        <v>357</v>
      </c>
      <c r="H375" s="34" t="s">
        <v>272</v>
      </c>
      <c r="I375" s="34" t="s">
        <v>613</v>
      </c>
      <c r="J375" s="34" t="s">
        <v>268</v>
      </c>
      <c r="K375" s="34">
        <v>43.373806000000002</v>
      </c>
      <c r="L375" s="34">
        <v>-99.006247999999999</v>
      </c>
      <c r="M375" s="34" t="s">
        <v>269</v>
      </c>
      <c r="N375" s="4" t="s">
        <v>614</v>
      </c>
      <c r="O375" t="s">
        <v>54</v>
      </c>
      <c r="P375" t="s">
        <v>55</v>
      </c>
      <c r="Q375" s="5">
        <v>329</v>
      </c>
      <c r="R375" s="1">
        <v>45536</v>
      </c>
      <c r="S375" s="1">
        <v>45580</v>
      </c>
      <c r="T375">
        <v>206</v>
      </c>
      <c r="U375"/>
      <c r="V375">
        <v>910</v>
      </c>
      <c r="W375">
        <v>247</v>
      </c>
      <c r="X375">
        <v>163</v>
      </c>
      <c r="Z375">
        <v>3</v>
      </c>
      <c r="AA375" s="120"/>
      <c r="AB375" s="120"/>
      <c r="AC375" s="120"/>
    </row>
    <row r="376" spans="1:29" s="28" customFormat="1" x14ac:dyDescent="0.25">
      <c r="A376"/>
      <c r="B376" s="13">
        <v>45565</v>
      </c>
      <c r="C376" s="32">
        <v>4480</v>
      </c>
      <c r="D376" s="32"/>
      <c r="E376" s="32">
        <v>3935.1</v>
      </c>
      <c r="F376" s="32">
        <v>8415.1</v>
      </c>
      <c r="G376" s="8" t="s">
        <v>357</v>
      </c>
      <c r="H376" s="8" t="s">
        <v>272</v>
      </c>
      <c r="I376" s="8" t="s">
        <v>613</v>
      </c>
      <c r="J376" s="8" t="s">
        <v>268</v>
      </c>
      <c r="K376" s="8">
        <v>43.373806000000002</v>
      </c>
      <c r="L376" s="8">
        <v>-99.006247999999999</v>
      </c>
      <c r="M376" s="8" t="s">
        <v>269</v>
      </c>
      <c r="N376" s="10" t="s">
        <v>614</v>
      </c>
      <c r="O376" s="11" t="s">
        <v>56</v>
      </c>
      <c r="P376" s="11" t="s">
        <v>57</v>
      </c>
      <c r="Q376" s="12">
        <v>340</v>
      </c>
      <c r="R376" s="13">
        <v>45505</v>
      </c>
      <c r="S376" s="13">
        <v>45545</v>
      </c>
      <c r="T376" s="11">
        <v>206</v>
      </c>
      <c r="U376" s="11"/>
      <c r="V376" s="11">
        <v>1154</v>
      </c>
      <c r="W376" s="11">
        <v>370</v>
      </c>
      <c r="X376" s="11">
        <v>246</v>
      </c>
      <c r="Z376">
        <v>3</v>
      </c>
      <c r="AA376" s="120"/>
      <c r="AB376" s="120"/>
      <c r="AC376" s="120"/>
    </row>
    <row r="377" spans="1:29" s="28" customFormat="1" x14ac:dyDescent="0.25">
      <c r="A377"/>
      <c r="B377"/>
      <c r="C377" s="31"/>
      <c r="D377" s="31"/>
      <c r="E377" s="31"/>
      <c r="F377" s="31"/>
      <c r="G377" s="20" t="s">
        <v>615</v>
      </c>
      <c r="H377" s="20" t="s">
        <v>616</v>
      </c>
      <c r="I377" s="20" t="s">
        <v>617</v>
      </c>
      <c r="J377" s="20" t="s">
        <v>518</v>
      </c>
      <c r="K377" s="20">
        <v>43.080862000000003</v>
      </c>
      <c r="L377" s="20">
        <v>-96.954374000000001</v>
      </c>
      <c r="M377" s="20" t="s">
        <v>100</v>
      </c>
      <c r="N377" s="4" t="s">
        <v>618</v>
      </c>
      <c r="O377" t="s">
        <v>83</v>
      </c>
      <c r="P377" t="s">
        <v>84</v>
      </c>
      <c r="Q377" s="5">
        <v>328</v>
      </c>
      <c r="R377" s="1">
        <v>45444</v>
      </c>
      <c r="S377" s="1">
        <v>45602</v>
      </c>
      <c r="T377">
        <v>107</v>
      </c>
      <c r="U377"/>
      <c r="V377"/>
      <c r="W377"/>
      <c r="X377"/>
      <c r="Z377">
        <v>3</v>
      </c>
      <c r="AA377" s="120"/>
      <c r="AB377" s="120"/>
      <c r="AC377" s="120"/>
    </row>
    <row r="378" spans="1:29" s="28" customFormat="1" x14ac:dyDescent="0.25">
      <c r="A378"/>
      <c r="B378"/>
      <c r="C378" s="31"/>
      <c r="D378" s="31"/>
      <c r="E378" s="31"/>
      <c r="F378" s="31"/>
      <c r="G378" s="6" t="s">
        <v>615</v>
      </c>
      <c r="H378" s="6" t="s">
        <v>616</v>
      </c>
      <c r="I378" s="6" t="s">
        <v>617</v>
      </c>
      <c r="J378" s="6" t="s">
        <v>518</v>
      </c>
      <c r="K378" s="6">
        <v>43.080862000000003</v>
      </c>
      <c r="L378" s="6">
        <v>-96.954374000000001</v>
      </c>
      <c r="M378" s="6" t="s">
        <v>100</v>
      </c>
      <c r="N378" s="4" t="s">
        <v>618</v>
      </c>
      <c r="O378" t="s">
        <v>54</v>
      </c>
      <c r="P378" t="s">
        <v>55</v>
      </c>
      <c r="Q378" s="5">
        <v>329</v>
      </c>
      <c r="R378" s="1">
        <v>45444</v>
      </c>
      <c r="S378" s="1">
        <v>45602</v>
      </c>
      <c r="T378">
        <v>107</v>
      </c>
      <c r="U378"/>
      <c r="V378">
        <v>286</v>
      </c>
      <c r="W378">
        <v>47</v>
      </c>
      <c r="X378">
        <v>27</v>
      </c>
      <c r="Z378">
        <v>3</v>
      </c>
      <c r="AA378" s="120"/>
      <c r="AB378" s="120"/>
      <c r="AC378" s="120"/>
    </row>
    <row r="379" spans="1:29" s="28" customFormat="1" ht="14.4" thickBot="1" x14ac:dyDescent="0.3">
      <c r="A379"/>
      <c r="B379" s="1">
        <v>45534</v>
      </c>
      <c r="C379" s="31">
        <v>2669.25</v>
      </c>
      <c r="D379" s="31"/>
      <c r="E379" s="31">
        <v>4965.41</v>
      </c>
      <c r="F379" s="31">
        <v>7634.66</v>
      </c>
      <c r="G379" s="6" t="s">
        <v>615</v>
      </c>
      <c r="H379" s="6" t="s">
        <v>616</v>
      </c>
      <c r="I379" s="6" t="s">
        <v>617</v>
      </c>
      <c r="J379" s="6" t="s">
        <v>518</v>
      </c>
      <c r="K379" s="6">
        <v>43.080862000000003</v>
      </c>
      <c r="L379" s="6">
        <v>-96.954374000000001</v>
      </c>
      <c r="M379" s="6" t="s">
        <v>100</v>
      </c>
      <c r="N379" s="4" t="s">
        <v>618</v>
      </c>
      <c r="O379" t="s">
        <v>56</v>
      </c>
      <c r="P379" t="s">
        <v>57</v>
      </c>
      <c r="Q379" s="5">
        <v>340</v>
      </c>
      <c r="R379" s="1">
        <v>45448</v>
      </c>
      <c r="S379" s="1">
        <v>45534</v>
      </c>
      <c r="T379">
        <v>107</v>
      </c>
      <c r="U379"/>
      <c r="V379">
        <v>515</v>
      </c>
      <c r="W379">
        <v>153</v>
      </c>
      <c r="X379">
        <v>95</v>
      </c>
      <c r="Z379">
        <v>3</v>
      </c>
      <c r="AA379" s="120"/>
      <c r="AB379" s="120"/>
      <c r="AC379" s="120"/>
    </row>
    <row r="380" spans="1:29" s="53" customFormat="1" x14ac:dyDescent="0.25">
      <c r="A380" s="46"/>
      <c r="B380" s="109" t="s">
        <v>666</v>
      </c>
      <c r="C380" s="110"/>
      <c r="D380" s="110"/>
      <c r="E380" s="110"/>
      <c r="F380" s="110"/>
      <c r="G380" s="111" t="s">
        <v>615</v>
      </c>
      <c r="H380" s="111" t="s">
        <v>616</v>
      </c>
      <c r="I380" s="111" t="s">
        <v>617</v>
      </c>
      <c r="J380" s="111" t="s">
        <v>518</v>
      </c>
      <c r="K380" s="111">
        <v>43.0809</v>
      </c>
      <c r="L380" s="111">
        <v>-96.953999999999994</v>
      </c>
      <c r="M380" s="111" t="s">
        <v>100</v>
      </c>
      <c r="N380" s="112"/>
      <c r="O380" s="113" t="s">
        <v>75</v>
      </c>
      <c r="P380" s="113" t="s">
        <v>307</v>
      </c>
      <c r="Q380" s="114">
        <v>614</v>
      </c>
      <c r="R380" s="109"/>
      <c r="S380" s="109"/>
      <c r="T380" s="113"/>
      <c r="U380" s="113"/>
      <c r="V380" s="113"/>
      <c r="W380" s="113"/>
      <c r="X380" s="113"/>
      <c r="AA380" s="120"/>
      <c r="AB380" s="120"/>
      <c r="AC380" s="120"/>
    </row>
    <row r="381" spans="1:29" s="28" customFormat="1" x14ac:dyDescent="0.25">
      <c r="A381"/>
      <c r="B381"/>
      <c r="C381" s="31"/>
      <c r="D381" s="31"/>
      <c r="E381" s="31"/>
      <c r="F381" s="31"/>
      <c r="G381" s="20" t="s">
        <v>619</v>
      </c>
      <c r="H381" s="20" t="s">
        <v>456</v>
      </c>
      <c r="I381" s="20" t="s">
        <v>620</v>
      </c>
      <c r="J381" s="20" t="s">
        <v>200</v>
      </c>
      <c r="K381" s="20">
        <v>43.370832</v>
      </c>
      <c r="L381" s="20">
        <v>-97.155732999999998</v>
      </c>
      <c r="M381" s="20" t="s">
        <v>100</v>
      </c>
      <c r="N381" s="4" t="s">
        <v>621</v>
      </c>
      <c r="O381" t="s">
        <v>83</v>
      </c>
      <c r="P381" t="s">
        <v>84</v>
      </c>
      <c r="Q381" s="5">
        <v>328</v>
      </c>
      <c r="R381" s="1">
        <v>45474</v>
      </c>
      <c r="S381" s="1">
        <v>45737</v>
      </c>
      <c r="T381">
        <v>72</v>
      </c>
      <c r="U381"/>
      <c r="V381"/>
      <c r="W381"/>
      <c r="X381"/>
      <c r="Z381">
        <v>3</v>
      </c>
      <c r="AA381" s="120"/>
      <c r="AB381" s="120"/>
      <c r="AC381" s="120"/>
    </row>
    <row r="382" spans="1:29" s="28" customFormat="1" x14ac:dyDescent="0.25">
      <c r="A382"/>
      <c r="B382"/>
      <c r="C382" s="31"/>
      <c r="D382" s="31"/>
      <c r="E382" s="31"/>
      <c r="F382" s="31"/>
      <c r="G382" s="6" t="s">
        <v>619</v>
      </c>
      <c r="H382" s="6" t="s">
        <v>456</v>
      </c>
      <c r="I382" s="6" t="s">
        <v>620</v>
      </c>
      <c r="J382" s="6" t="s">
        <v>200</v>
      </c>
      <c r="K382" s="6">
        <v>43.370832</v>
      </c>
      <c r="L382" s="6">
        <v>-97.155732999999998</v>
      </c>
      <c r="M382" s="6" t="s">
        <v>100</v>
      </c>
      <c r="N382" s="4" t="s">
        <v>621</v>
      </c>
      <c r="O382" t="s">
        <v>54</v>
      </c>
      <c r="P382" t="s">
        <v>55</v>
      </c>
      <c r="Q382" s="5">
        <v>329</v>
      </c>
      <c r="R382" s="1">
        <v>45474</v>
      </c>
      <c r="S382" s="1">
        <v>45737</v>
      </c>
      <c r="T382">
        <v>72</v>
      </c>
      <c r="U382"/>
      <c r="V382">
        <v>180</v>
      </c>
      <c r="W382">
        <v>30</v>
      </c>
      <c r="X382">
        <v>18</v>
      </c>
      <c r="Z382">
        <v>3</v>
      </c>
      <c r="AA382" s="120"/>
      <c r="AB382" s="120"/>
      <c r="AC382" s="120"/>
    </row>
    <row r="383" spans="1:29" s="28" customFormat="1" x14ac:dyDescent="0.25">
      <c r="A383"/>
      <c r="B383" s="13">
        <v>45501</v>
      </c>
      <c r="C383" s="32">
        <v>1800</v>
      </c>
      <c r="D383" s="32"/>
      <c r="E383" s="32">
        <v>3948</v>
      </c>
      <c r="F383" s="32">
        <v>5748</v>
      </c>
      <c r="G383" s="8" t="s">
        <v>619</v>
      </c>
      <c r="H383" s="8" t="s">
        <v>456</v>
      </c>
      <c r="I383" s="8" t="s">
        <v>620</v>
      </c>
      <c r="J383" s="8" t="s">
        <v>200</v>
      </c>
      <c r="K383" s="8">
        <v>43.370832</v>
      </c>
      <c r="L383" s="8">
        <v>-97.155732999999998</v>
      </c>
      <c r="M383" s="8" t="s">
        <v>100</v>
      </c>
      <c r="N383" s="10" t="s">
        <v>621</v>
      </c>
      <c r="O383" s="11" t="s">
        <v>56</v>
      </c>
      <c r="P383" s="11" t="s">
        <v>57</v>
      </c>
      <c r="Q383" s="12">
        <v>340</v>
      </c>
      <c r="R383" s="13">
        <v>45488</v>
      </c>
      <c r="S383" s="13">
        <v>45503</v>
      </c>
      <c r="T383" s="11">
        <v>72</v>
      </c>
      <c r="U383" s="11"/>
      <c r="V383" s="11">
        <v>329</v>
      </c>
      <c r="W383" s="11">
        <v>99</v>
      </c>
      <c r="X383" s="11">
        <v>62</v>
      </c>
      <c r="Z383">
        <v>3</v>
      </c>
      <c r="AA383" s="120"/>
      <c r="AB383" s="120"/>
      <c r="AC383" s="120"/>
    </row>
    <row r="384" spans="1:29" s="28" customFormat="1" x14ac:dyDescent="0.25">
      <c r="A384"/>
      <c r="B384" s="1">
        <v>45545</v>
      </c>
      <c r="C384" s="31">
        <v>7259.83</v>
      </c>
      <c r="D384" s="31"/>
      <c r="E384" s="31">
        <v>14519.66</v>
      </c>
      <c r="F384" s="31">
        <v>21779.49</v>
      </c>
      <c r="G384" s="20" t="s">
        <v>622</v>
      </c>
      <c r="H384" s="20" t="s">
        <v>335</v>
      </c>
      <c r="I384" s="20" t="s">
        <v>622</v>
      </c>
      <c r="J384" s="20" t="s">
        <v>316</v>
      </c>
      <c r="K384" s="20">
        <v>44.694017000000002</v>
      </c>
      <c r="L384" s="20">
        <v>-103.356981</v>
      </c>
      <c r="M384" s="20" t="s">
        <v>623</v>
      </c>
      <c r="N384" s="4" t="s">
        <v>624</v>
      </c>
      <c r="O384" t="s">
        <v>75</v>
      </c>
      <c r="P384" t="s">
        <v>305</v>
      </c>
      <c r="Q384" s="5">
        <v>382</v>
      </c>
      <c r="R384" s="1">
        <v>45527</v>
      </c>
      <c r="S384" s="1">
        <v>45575</v>
      </c>
      <c r="T384">
        <v>70</v>
      </c>
      <c r="U384"/>
      <c r="V384"/>
      <c r="W384"/>
      <c r="X384"/>
      <c r="Z384">
        <v>3</v>
      </c>
      <c r="AA384" s="120"/>
      <c r="AB384" s="120"/>
      <c r="AC384" s="120"/>
    </row>
    <row r="385" spans="1:29" s="28" customFormat="1" x14ac:dyDescent="0.25">
      <c r="A385"/>
      <c r="B385" s="1">
        <v>45552</v>
      </c>
      <c r="C385" s="31">
        <v>3000</v>
      </c>
      <c r="E385" s="31">
        <v>12409.47</v>
      </c>
      <c r="F385" s="31">
        <v>15409.47</v>
      </c>
      <c r="G385" s="6" t="s">
        <v>622</v>
      </c>
      <c r="H385" s="6" t="s">
        <v>335</v>
      </c>
      <c r="I385" s="6" t="s">
        <v>622</v>
      </c>
      <c r="J385" s="6" t="s">
        <v>316</v>
      </c>
      <c r="K385" s="6">
        <v>44.694017000000002</v>
      </c>
      <c r="L385" s="6">
        <v>-103.356981</v>
      </c>
      <c r="M385" s="6" t="s">
        <v>623</v>
      </c>
      <c r="N385" s="4" t="s">
        <v>624</v>
      </c>
      <c r="O385" t="s">
        <v>75</v>
      </c>
      <c r="P385" t="s">
        <v>304</v>
      </c>
      <c r="Q385" s="5">
        <v>516</v>
      </c>
      <c r="R385" s="1">
        <v>45530</v>
      </c>
      <c r="S385" s="1">
        <v>45575</v>
      </c>
      <c r="T385">
        <v>70</v>
      </c>
      <c r="U385"/>
      <c r="V385"/>
      <c r="W385"/>
      <c r="X385"/>
      <c r="Z385">
        <v>3</v>
      </c>
      <c r="AA385" s="120"/>
      <c r="AB385" s="120"/>
      <c r="AC385" s="120"/>
    </row>
    <row r="386" spans="1:29" s="28" customFormat="1" x14ac:dyDescent="0.25">
      <c r="A386"/>
      <c r="B386" s="13">
        <v>45575</v>
      </c>
      <c r="C386" s="32">
        <v>1370.17</v>
      </c>
      <c r="D386" s="32"/>
      <c r="E386" s="32">
        <v>1322.96</v>
      </c>
      <c r="F386" s="32">
        <v>2693.13</v>
      </c>
      <c r="G386" s="8" t="s">
        <v>622</v>
      </c>
      <c r="H386" s="8" t="s">
        <v>335</v>
      </c>
      <c r="I386" s="8" t="s">
        <v>622</v>
      </c>
      <c r="J386" s="8" t="s">
        <v>316</v>
      </c>
      <c r="K386" s="8">
        <v>44.694017000000002</v>
      </c>
      <c r="L386" s="8">
        <v>-103.356981</v>
      </c>
      <c r="M386" s="8" t="s">
        <v>623</v>
      </c>
      <c r="N386" s="10" t="s">
        <v>624</v>
      </c>
      <c r="O386" s="11" t="s">
        <v>75</v>
      </c>
      <c r="P386" s="11" t="s">
        <v>307</v>
      </c>
      <c r="Q386" s="12">
        <v>614</v>
      </c>
      <c r="R386" s="13">
        <v>45530</v>
      </c>
      <c r="S386" s="13">
        <v>45575</v>
      </c>
      <c r="T386" s="11">
        <v>70</v>
      </c>
      <c r="U386" s="11"/>
      <c r="V386" s="11"/>
      <c r="W386" s="11"/>
      <c r="X386" s="11"/>
      <c r="Z386">
        <v>3</v>
      </c>
      <c r="AA386" s="120"/>
      <c r="AB386" s="120"/>
      <c r="AC386" s="120"/>
    </row>
    <row r="387" spans="1:29" s="28" customFormat="1" x14ac:dyDescent="0.25">
      <c r="A387"/>
      <c r="B387"/>
      <c r="C387" s="31"/>
      <c r="D387" s="31"/>
      <c r="E387" s="31"/>
      <c r="F387" s="31"/>
      <c r="G387" s="20" t="s">
        <v>625</v>
      </c>
      <c r="H387" s="20" t="s">
        <v>626</v>
      </c>
      <c r="I387" s="20" t="s">
        <v>627</v>
      </c>
      <c r="J387" s="20" t="s">
        <v>628</v>
      </c>
      <c r="K387" s="20">
        <v>42.842393000000001</v>
      </c>
      <c r="L387" s="20">
        <v>-96.563044000000005</v>
      </c>
      <c r="M387" s="20" t="s">
        <v>629</v>
      </c>
      <c r="N387" s="4" t="s">
        <v>630</v>
      </c>
      <c r="O387" t="s">
        <v>54</v>
      </c>
      <c r="P387" t="s">
        <v>55</v>
      </c>
      <c r="Q387" s="5">
        <v>329</v>
      </c>
      <c r="R387" s="1">
        <v>45496</v>
      </c>
      <c r="S387" s="1">
        <v>45553</v>
      </c>
      <c r="T387">
        <v>71.900000000000006</v>
      </c>
      <c r="U387"/>
      <c r="V387">
        <v>317</v>
      </c>
      <c r="W387">
        <v>79</v>
      </c>
      <c r="X387">
        <v>57</v>
      </c>
      <c r="Z387">
        <v>3</v>
      </c>
      <c r="AA387" s="120"/>
      <c r="AB387" s="120"/>
      <c r="AC387" s="120"/>
    </row>
    <row r="388" spans="1:29" s="28" customFormat="1" x14ac:dyDescent="0.25">
      <c r="A388"/>
      <c r="B388" s="13">
        <v>45512</v>
      </c>
      <c r="C388" s="32">
        <v>1797.5</v>
      </c>
      <c r="D388" s="32"/>
      <c r="E388" s="32">
        <v>2352.6999999999998</v>
      </c>
      <c r="F388" s="32">
        <v>4150.2</v>
      </c>
      <c r="G388" s="8" t="s">
        <v>625</v>
      </c>
      <c r="H388" s="8" t="s">
        <v>626</v>
      </c>
      <c r="I388" s="8" t="s">
        <v>627</v>
      </c>
      <c r="J388" s="8" t="s">
        <v>628</v>
      </c>
      <c r="K388" s="8">
        <v>42.842393000000001</v>
      </c>
      <c r="L388" s="8">
        <v>-96.563044000000005</v>
      </c>
      <c r="M388" s="8" t="s">
        <v>629</v>
      </c>
      <c r="N388" s="10" t="s">
        <v>630</v>
      </c>
      <c r="O388" s="11" t="s">
        <v>56</v>
      </c>
      <c r="P388" s="11" t="s">
        <v>57</v>
      </c>
      <c r="Q388" s="12">
        <v>340</v>
      </c>
      <c r="R388" s="13">
        <v>45496</v>
      </c>
      <c r="S388" s="13">
        <v>45553</v>
      </c>
      <c r="T388" s="11">
        <v>71.900000000000006</v>
      </c>
      <c r="U388" s="11"/>
      <c r="V388" s="11">
        <v>777</v>
      </c>
      <c r="W388" s="11">
        <v>268</v>
      </c>
      <c r="X388" s="11">
        <v>168</v>
      </c>
      <c r="Z388">
        <v>3</v>
      </c>
      <c r="AA388" s="120"/>
      <c r="AB388" s="120"/>
      <c r="AC388" s="120"/>
    </row>
    <row r="389" spans="1:29" s="28" customFormat="1" x14ac:dyDescent="0.25">
      <c r="A389"/>
      <c r="B389"/>
      <c r="C389" s="31"/>
      <c r="D389" s="31"/>
      <c r="E389" s="31"/>
      <c r="F389" s="31"/>
      <c r="G389" s="20" t="s">
        <v>631</v>
      </c>
      <c r="H389" s="20" t="s">
        <v>329</v>
      </c>
      <c r="I389" s="20" t="s">
        <v>632</v>
      </c>
      <c r="J389" s="20" t="s">
        <v>427</v>
      </c>
      <c r="K389" s="20">
        <v>43.699703999999997</v>
      </c>
      <c r="L389" s="20">
        <v>-97.144850000000005</v>
      </c>
      <c r="M389" s="20" t="s">
        <v>599</v>
      </c>
      <c r="N389" s="4" t="s">
        <v>633</v>
      </c>
      <c r="O389" t="s">
        <v>54</v>
      </c>
      <c r="P389" t="s">
        <v>55</v>
      </c>
      <c r="Q389" s="5">
        <v>329</v>
      </c>
      <c r="R389" s="1">
        <v>45505</v>
      </c>
      <c r="S389" s="1">
        <v>45708</v>
      </c>
      <c r="T389">
        <v>160</v>
      </c>
      <c r="U389"/>
      <c r="V389">
        <v>388</v>
      </c>
      <c r="W389">
        <v>66</v>
      </c>
      <c r="X389">
        <v>40</v>
      </c>
      <c r="Z389">
        <v>3</v>
      </c>
      <c r="AA389" s="120"/>
      <c r="AB389" s="120"/>
      <c r="AC389" s="120"/>
    </row>
    <row r="390" spans="1:29" s="28" customFormat="1" x14ac:dyDescent="0.25">
      <c r="A390"/>
      <c r="B390" s="13">
        <v>45575</v>
      </c>
      <c r="C390" s="32">
        <v>3177.25</v>
      </c>
      <c r="D390" s="32"/>
      <c r="E390" s="32">
        <v>3177.25</v>
      </c>
      <c r="F390" s="32">
        <v>6354.5</v>
      </c>
      <c r="G390" s="8" t="s">
        <v>631</v>
      </c>
      <c r="H390" s="8" t="s">
        <v>329</v>
      </c>
      <c r="I390" s="8" t="s">
        <v>632</v>
      </c>
      <c r="J390" s="8" t="s">
        <v>427</v>
      </c>
      <c r="K390" s="8">
        <v>43.699703999999997</v>
      </c>
      <c r="L390" s="8">
        <v>-97.144850000000005</v>
      </c>
      <c r="M390" s="8" t="s">
        <v>599</v>
      </c>
      <c r="N390" s="10" t="s">
        <v>633</v>
      </c>
      <c r="O390" s="11" t="s">
        <v>56</v>
      </c>
      <c r="P390" s="11" t="s">
        <v>57</v>
      </c>
      <c r="Q390" s="12">
        <v>340</v>
      </c>
      <c r="R390" s="13">
        <v>45534</v>
      </c>
      <c r="S390" s="13">
        <v>45575</v>
      </c>
      <c r="T390" s="11">
        <v>160</v>
      </c>
      <c r="U390" s="11"/>
      <c r="V390" s="11">
        <v>715</v>
      </c>
      <c r="W390" s="11">
        <v>215</v>
      </c>
      <c r="X390" s="11">
        <v>136</v>
      </c>
      <c r="Z390">
        <v>3</v>
      </c>
      <c r="AA390" s="120"/>
      <c r="AB390" s="120"/>
      <c r="AC390" s="120"/>
    </row>
    <row r="391" spans="1:29" s="28" customFormat="1" x14ac:dyDescent="0.25">
      <c r="A391" t="s">
        <v>145</v>
      </c>
      <c r="B391" s="1">
        <v>43304</v>
      </c>
      <c r="C391" s="31">
        <v>0</v>
      </c>
      <c r="D391" s="31">
        <v>0</v>
      </c>
      <c r="E391" s="31">
        <v>84513.74</v>
      </c>
      <c r="F391" s="31">
        <v>84513.74</v>
      </c>
      <c r="G391" s="18" t="s">
        <v>634</v>
      </c>
      <c r="H391" s="18" t="s">
        <v>635</v>
      </c>
      <c r="I391" s="18" t="s">
        <v>636</v>
      </c>
      <c r="J391" s="18" t="s">
        <v>637</v>
      </c>
      <c r="K391" s="18">
        <v>45.805222000000001</v>
      </c>
      <c r="L391" s="18">
        <v>-100.805126</v>
      </c>
      <c r="M391" s="18" t="s">
        <v>638</v>
      </c>
      <c r="N391" s="16">
        <v>2</v>
      </c>
      <c r="O391" s="14" t="s">
        <v>54</v>
      </c>
      <c r="P391" s="14" t="s">
        <v>57</v>
      </c>
      <c r="Q391" s="17">
        <v>340</v>
      </c>
      <c r="R391" s="15">
        <v>43313</v>
      </c>
      <c r="S391" s="15">
        <v>43507</v>
      </c>
      <c r="T391" s="14">
        <v>556</v>
      </c>
      <c r="U391" s="14"/>
      <c r="V391" s="121">
        <v>197</v>
      </c>
      <c r="W391" s="121">
        <v>40</v>
      </c>
      <c r="X391" s="121">
        <v>28</v>
      </c>
      <c r="Z391">
        <v>1</v>
      </c>
      <c r="AA391" s="120"/>
      <c r="AB391" s="120"/>
      <c r="AC391" s="120"/>
    </row>
    <row r="392" spans="1:29" s="28" customFormat="1" x14ac:dyDescent="0.25">
      <c r="A392" t="s">
        <v>145</v>
      </c>
      <c r="B392" s="15">
        <v>43673</v>
      </c>
      <c r="C392" s="40">
        <v>0</v>
      </c>
      <c r="D392" s="40">
        <v>0</v>
      </c>
      <c r="E392" s="40">
        <v>0</v>
      </c>
      <c r="F392" s="40">
        <v>5848.84</v>
      </c>
      <c r="G392" s="18" t="s">
        <v>639</v>
      </c>
      <c r="H392" s="18" t="s">
        <v>640</v>
      </c>
      <c r="I392" s="18" t="s">
        <v>639</v>
      </c>
      <c r="J392" s="18" t="s">
        <v>503</v>
      </c>
      <c r="K392" s="18">
        <v>45.490411000000002</v>
      </c>
      <c r="L392" s="18">
        <v>-97.291543000000004</v>
      </c>
      <c r="M392" s="18" t="s">
        <v>223</v>
      </c>
      <c r="N392" s="16">
        <v>11</v>
      </c>
      <c r="O392" s="14" t="s">
        <v>54</v>
      </c>
      <c r="P392" s="14" t="s">
        <v>57</v>
      </c>
      <c r="Q392" s="17">
        <v>340</v>
      </c>
      <c r="R392" s="15">
        <v>43308</v>
      </c>
      <c r="S392" s="15">
        <v>43752</v>
      </c>
      <c r="T392" s="14">
        <v>500</v>
      </c>
      <c r="U392" s="14"/>
      <c r="V392" s="121">
        <v>241</v>
      </c>
      <c r="W392" s="121">
        <v>47</v>
      </c>
      <c r="X392" s="121">
        <v>32</v>
      </c>
      <c r="Z392">
        <v>1</v>
      </c>
      <c r="AA392" s="120">
        <v>1644</v>
      </c>
      <c r="AB392" s="120">
        <v>476</v>
      </c>
      <c r="AC392" s="120">
        <v>302</v>
      </c>
    </row>
    <row r="393" spans="1:29" s="28" customFormat="1" x14ac:dyDescent="0.25">
      <c r="A393" t="s">
        <v>145</v>
      </c>
      <c r="B393" s="1">
        <v>43468</v>
      </c>
      <c r="C393" s="31">
        <v>0</v>
      </c>
      <c r="D393" s="31">
        <v>0</v>
      </c>
      <c r="E393" s="31">
        <v>0</v>
      </c>
      <c r="F393" s="31">
        <v>10673.52</v>
      </c>
      <c r="G393" s="6" t="s">
        <v>639</v>
      </c>
      <c r="H393" s="6" t="s">
        <v>640</v>
      </c>
      <c r="I393" s="6" t="s">
        <v>639</v>
      </c>
      <c r="J393" s="6" t="s">
        <v>503</v>
      </c>
      <c r="K393" s="6">
        <v>45.490411000000002</v>
      </c>
      <c r="L393" s="6">
        <v>-97.291543000000004</v>
      </c>
      <c r="M393" s="6" t="s">
        <v>223</v>
      </c>
      <c r="N393" s="4">
        <v>11</v>
      </c>
      <c r="O393" t="s">
        <v>75</v>
      </c>
      <c r="P393" t="s">
        <v>305</v>
      </c>
      <c r="Q393" s="5">
        <v>382</v>
      </c>
      <c r="R393" s="1">
        <v>43385</v>
      </c>
      <c r="S393" s="1">
        <v>43468</v>
      </c>
      <c r="T393">
        <v>616</v>
      </c>
      <c r="U393"/>
      <c r="V393" s="117">
        <v>1583</v>
      </c>
      <c r="W393" s="117">
        <v>464</v>
      </c>
      <c r="X393" s="117">
        <v>294</v>
      </c>
      <c r="Z393">
        <v>1</v>
      </c>
      <c r="AA393" s="38">
        <v>1644</v>
      </c>
      <c r="AB393" s="38">
        <v>476</v>
      </c>
      <c r="AC393" s="38">
        <v>302</v>
      </c>
    </row>
    <row r="394" spans="1:29" s="28" customFormat="1" x14ac:dyDescent="0.25">
      <c r="A394" t="s">
        <v>145</v>
      </c>
      <c r="B394" s="1">
        <v>43676</v>
      </c>
      <c r="C394" s="31">
        <v>0</v>
      </c>
      <c r="D394" s="31">
        <v>0</v>
      </c>
      <c r="E394" s="31">
        <v>0</v>
      </c>
      <c r="F394" s="31">
        <v>24545.67</v>
      </c>
      <c r="G394" s="6" t="s">
        <v>639</v>
      </c>
      <c r="H394" s="6" t="s">
        <v>640</v>
      </c>
      <c r="I394" s="6" t="s">
        <v>639</v>
      </c>
      <c r="J394" s="6" t="s">
        <v>503</v>
      </c>
      <c r="K394" s="6">
        <v>45.490411000000002</v>
      </c>
      <c r="L394" s="6">
        <v>-97.291543000000004</v>
      </c>
      <c r="M394" s="6" t="s">
        <v>223</v>
      </c>
      <c r="N394" s="4">
        <v>11</v>
      </c>
      <c r="O394" t="s">
        <v>75</v>
      </c>
      <c r="P394" t="s">
        <v>304</v>
      </c>
      <c r="Q394" s="5">
        <v>516</v>
      </c>
      <c r="R394" s="1">
        <v>43387</v>
      </c>
      <c r="S394" s="1">
        <v>43752</v>
      </c>
      <c r="T394">
        <v>616</v>
      </c>
      <c r="U394"/>
      <c r="V394"/>
      <c r="W394"/>
      <c r="X394"/>
      <c r="Z394">
        <v>1</v>
      </c>
      <c r="AA394" s="38">
        <v>1644</v>
      </c>
      <c r="AB394" s="38">
        <v>476</v>
      </c>
      <c r="AC394" s="38">
        <v>302</v>
      </c>
    </row>
    <row r="395" spans="1:29" s="28" customFormat="1" x14ac:dyDescent="0.25">
      <c r="A395"/>
      <c r="B395" s="11"/>
      <c r="C395" s="32"/>
      <c r="D395" s="32"/>
      <c r="E395" s="32"/>
      <c r="F395" s="32"/>
      <c r="G395" s="8" t="s">
        <v>639</v>
      </c>
      <c r="H395" s="8" t="s">
        <v>640</v>
      </c>
      <c r="I395" s="8" t="s">
        <v>639</v>
      </c>
      <c r="J395" s="8" t="s">
        <v>503</v>
      </c>
      <c r="K395" s="8">
        <v>45.490411000000002</v>
      </c>
      <c r="L395" s="8">
        <v>-97.291543000000004</v>
      </c>
      <c r="M395" s="8" t="s">
        <v>223</v>
      </c>
      <c r="N395" s="10">
        <v>11</v>
      </c>
      <c r="O395" s="11" t="s">
        <v>105</v>
      </c>
      <c r="P395" s="11" t="s">
        <v>679</v>
      </c>
      <c r="Q395" s="12">
        <v>556</v>
      </c>
      <c r="R395" s="13">
        <v>43193</v>
      </c>
      <c r="S395" s="13">
        <v>43465</v>
      </c>
      <c r="T395" s="11">
        <v>616</v>
      </c>
      <c r="U395" s="11"/>
      <c r="V395" s="11"/>
      <c r="W395" s="11"/>
      <c r="X395" s="11"/>
      <c r="Z395">
        <v>1</v>
      </c>
      <c r="AA395" s="38">
        <v>1644</v>
      </c>
      <c r="AB395" s="38">
        <v>476</v>
      </c>
      <c r="AC395" s="38">
        <v>302</v>
      </c>
    </row>
    <row r="396" spans="1:29" s="28" customFormat="1" x14ac:dyDescent="0.25">
      <c r="A396"/>
      <c r="B396"/>
      <c r="C396" s="31"/>
      <c r="D396" s="31"/>
      <c r="E396" s="31"/>
      <c r="F396" s="31"/>
      <c r="G396" s="20" t="s">
        <v>641</v>
      </c>
      <c r="H396" s="20" t="s">
        <v>642</v>
      </c>
      <c r="I396" s="20" t="s">
        <v>643</v>
      </c>
      <c r="J396" s="20" t="s">
        <v>139</v>
      </c>
      <c r="K396">
        <v>43.070583999999997</v>
      </c>
      <c r="L396">
        <v>-97.341564000000005</v>
      </c>
      <c r="M396" t="s">
        <v>137</v>
      </c>
      <c r="N396" s="4" t="s">
        <v>644</v>
      </c>
      <c r="O396" t="s">
        <v>83</v>
      </c>
      <c r="P396" t="s">
        <v>84</v>
      </c>
      <c r="Q396" s="5">
        <v>328</v>
      </c>
      <c r="R396" s="1">
        <v>45413</v>
      </c>
      <c r="S396" s="1">
        <v>45806</v>
      </c>
      <c r="T396">
        <v>36</v>
      </c>
      <c r="U396"/>
      <c r="V396"/>
      <c r="W396"/>
      <c r="X396"/>
      <c r="Z396">
        <v>3</v>
      </c>
      <c r="AA396" s="120"/>
      <c r="AB396" s="120"/>
      <c r="AC396" s="120"/>
    </row>
    <row r="397" spans="1:29" s="28" customFormat="1" x14ac:dyDescent="0.25">
      <c r="A397"/>
      <c r="B397"/>
      <c r="C397" s="31"/>
      <c r="D397" s="31"/>
      <c r="E397" s="31"/>
      <c r="F397" s="31"/>
      <c r="G397" s="6" t="s">
        <v>641</v>
      </c>
      <c r="H397" s="6" t="s">
        <v>642</v>
      </c>
      <c r="I397" s="6" t="s">
        <v>643</v>
      </c>
      <c r="J397" s="6" t="s">
        <v>139</v>
      </c>
      <c r="K397" s="6">
        <v>43.070583999999997</v>
      </c>
      <c r="L397" s="6">
        <v>-97.341564000000005</v>
      </c>
      <c r="M397" s="6" t="s">
        <v>137</v>
      </c>
      <c r="N397" s="4" t="s">
        <v>644</v>
      </c>
      <c r="O397" t="s">
        <v>54</v>
      </c>
      <c r="P397" t="s">
        <v>55</v>
      </c>
      <c r="Q397" s="5">
        <v>329</v>
      </c>
      <c r="R397" s="1">
        <v>45413</v>
      </c>
      <c r="S397" s="1">
        <v>45806</v>
      </c>
      <c r="T397">
        <v>36</v>
      </c>
      <c r="U397"/>
      <c r="V397">
        <v>130</v>
      </c>
      <c r="W397">
        <v>31</v>
      </c>
      <c r="X397">
        <v>22</v>
      </c>
      <c r="Z397">
        <v>3</v>
      </c>
      <c r="AA397" s="120"/>
      <c r="AB397" s="120"/>
      <c r="AC397" s="120"/>
    </row>
    <row r="398" spans="1:29" ht="14.4" thickBot="1" x14ac:dyDescent="0.3">
      <c r="B398" s="91">
        <v>45776</v>
      </c>
      <c r="C398" s="93">
        <v>2651.5</v>
      </c>
      <c r="D398" s="93"/>
      <c r="E398" s="93">
        <v>2651.5</v>
      </c>
      <c r="F398" s="93">
        <v>5303</v>
      </c>
      <c r="G398" s="61" t="s">
        <v>641</v>
      </c>
      <c r="H398" s="61" t="s">
        <v>642</v>
      </c>
      <c r="I398" s="61" t="s">
        <v>643</v>
      </c>
      <c r="J398" s="61" t="s">
        <v>139</v>
      </c>
      <c r="K398" s="61">
        <v>43.070583999999997</v>
      </c>
      <c r="L398" s="61">
        <v>-97.341564000000005</v>
      </c>
      <c r="M398" s="61" t="s">
        <v>137</v>
      </c>
      <c r="N398" s="95" t="s">
        <v>644</v>
      </c>
      <c r="O398" s="11" t="s">
        <v>132</v>
      </c>
      <c r="P398" s="92" t="s">
        <v>133</v>
      </c>
      <c r="Q398" s="96"/>
      <c r="R398" s="91">
        <v>45749</v>
      </c>
      <c r="S398" s="91">
        <v>45777</v>
      </c>
      <c r="T398" s="92">
        <v>36</v>
      </c>
      <c r="U398" s="92"/>
      <c r="V398" s="92">
        <v>306</v>
      </c>
      <c r="W398" s="92">
        <v>104</v>
      </c>
      <c r="X398" s="92">
        <v>75</v>
      </c>
      <c r="Z398">
        <v>3</v>
      </c>
    </row>
    <row r="399" spans="1:29" x14ac:dyDescent="0.25">
      <c r="A399" s="46"/>
      <c r="B399" s="58" t="s">
        <v>663</v>
      </c>
      <c r="C399" s="55"/>
      <c r="D399" s="55"/>
      <c r="E399" s="55"/>
      <c r="F399" s="55"/>
      <c r="G399" s="94" t="s">
        <v>641</v>
      </c>
      <c r="H399" s="94" t="s">
        <v>642</v>
      </c>
      <c r="I399" s="94" t="s">
        <v>643</v>
      </c>
      <c r="J399" s="94" t="s">
        <v>139</v>
      </c>
      <c r="K399" s="54">
        <v>43.070583999999997</v>
      </c>
      <c r="L399" s="54">
        <v>-97.341564000000005</v>
      </c>
      <c r="M399" s="54" t="s">
        <v>137</v>
      </c>
      <c r="N399" s="56"/>
      <c r="O399" s="54" t="s">
        <v>54</v>
      </c>
      <c r="P399" s="54" t="s">
        <v>57</v>
      </c>
      <c r="Q399" s="57">
        <v>340</v>
      </c>
      <c r="R399" s="58">
        <v>44820</v>
      </c>
      <c r="S399" s="58">
        <v>44827</v>
      </c>
      <c r="T399" s="54">
        <v>160</v>
      </c>
      <c r="U399" s="54"/>
      <c r="V399" s="54"/>
      <c r="W399" s="54"/>
      <c r="X399" s="54"/>
      <c r="Z399" s="46">
        <v>2</v>
      </c>
    </row>
    <row r="400" spans="1:29" x14ac:dyDescent="0.25">
      <c r="G400" s="20" t="s">
        <v>645</v>
      </c>
      <c r="H400" s="20" t="s">
        <v>646</v>
      </c>
      <c r="I400" s="20" t="s">
        <v>647</v>
      </c>
      <c r="J400" s="20" t="s">
        <v>648</v>
      </c>
      <c r="K400">
        <v>44.648105999999999</v>
      </c>
      <c r="L400">
        <v>-97.316018</v>
      </c>
      <c r="M400" t="s">
        <v>128</v>
      </c>
      <c r="N400" s="4" t="s">
        <v>649</v>
      </c>
      <c r="O400" t="s">
        <v>83</v>
      </c>
      <c r="P400" t="s">
        <v>84</v>
      </c>
      <c r="Q400" s="5">
        <v>328</v>
      </c>
      <c r="R400" s="1">
        <v>45717</v>
      </c>
      <c r="S400" s="1">
        <v>45831</v>
      </c>
      <c r="T400">
        <v>100</v>
      </c>
      <c r="Z400">
        <v>3</v>
      </c>
      <c r="AA400" s="120">
        <v>394</v>
      </c>
      <c r="AB400" s="120">
        <v>139</v>
      </c>
      <c r="AC400" s="120">
        <v>96</v>
      </c>
    </row>
    <row r="401" spans="1:29" x14ac:dyDescent="0.25">
      <c r="G401" s="6" t="s">
        <v>645</v>
      </c>
      <c r="H401" s="6" t="s">
        <v>646</v>
      </c>
      <c r="I401" s="6" t="s">
        <v>647</v>
      </c>
      <c r="J401" s="6" t="s">
        <v>648</v>
      </c>
      <c r="K401" s="6">
        <v>44.648105999999999</v>
      </c>
      <c r="L401" s="6">
        <v>-97.316018</v>
      </c>
      <c r="M401" s="6" t="s">
        <v>128</v>
      </c>
      <c r="N401" s="4" t="s">
        <v>649</v>
      </c>
      <c r="O401" t="s">
        <v>54</v>
      </c>
      <c r="P401" t="s">
        <v>55</v>
      </c>
      <c r="Q401" s="5">
        <v>329</v>
      </c>
      <c r="R401" s="1">
        <v>45717</v>
      </c>
      <c r="S401" s="1">
        <v>45831</v>
      </c>
      <c r="T401">
        <v>100</v>
      </c>
      <c r="V401" s="117">
        <v>287</v>
      </c>
      <c r="W401" s="117">
        <v>120</v>
      </c>
      <c r="X401" s="117">
        <v>83</v>
      </c>
      <c r="Z401">
        <v>3</v>
      </c>
      <c r="AA401" s="38">
        <v>394</v>
      </c>
      <c r="AB401" s="38">
        <v>139</v>
      </c>
      <c r="AC401" s="38">
        <v>96</v>
      </c>
    </row>
    <row r="402" spans="1:29" x14ac:dyDescent="0.25">
      <c r="B402" s="13">
        <v>45741</v>
      </c>
      <c r="C402" s="32">
        <v>9610</v>
      </c>
      <c r="D402" s="32"/>
      <c r="E402" s="32">
        <v>14415</v>
      </c>
      <c r="F402" s="32">
        <v>24025</v>
      </c>
      <c r="G402" s="8" t="s">
        <v>645</v>
      </c>
      <c r="H402" s="8" t="s">
        <v>646</v>
      </c>
      <c r="I402" s="8" t="s">
        <v>647</v>
      </c>
      <c r="J402" s="8" t="s">
        <v>648</v>
      </c>
      <c r="K402" s="8">
        <v>44.648105999999999</v>
      </c>
      <c r="L402" s="8">
        <v>-97.316018</v>
      </c>
      <c r="M402" s="8" t="s">
        <v>128</v>
      </c>
      <c r="N402" s="10" t="s">
        <v>649</v>
      </c>
      <c r="O402" s="11" t="s">
        <v>132</v>
      </c>
      <c r="P402" s="11" t="s">
        <v>133</v>
      </c>
      <c r="Q402" s="12"/>
      <c r="R402" s="13">
        <v>45749</v>
      </c>
      <c r="S402" s="13">
        <v>45791</v>
      </c>
      <c r="T402" s="11">
        <v>100</v>
      </c>
      <c r="U402" s="11"/>
      <c r="V402" s="116">
        <v>233</v>
      </c>
      <c r="W402" s="116">
        <v>80</v>
      </c>
      <c r="X402" s="116">
        <v>56</v>
      </c>
      <c r="Z402">
        <v>3</v>
      </c>
      <c r="AA402" s="38">
        <v>394</v>
      </c>
      <c r="AB402" s="38">
        <v>139</v>
      </c>
      <c r="AC402" s="38">
        <v>96</v>
      </c>
    </row>
    <row r="403" spans="1:29" x14ac:dyDescent="0.25">
      <c r="A403" s="41" t="s">
        <v>145</v>
      </c>
      <c r="B403" s="42">
        <v>43641</v>
      </c>
      <c r="C403" s="43">
        <v>0</v>
      </c>
      <c r="D403" s="43">
        <v>0</v>
      </c>
      <c r="E403" s="43">
        <v>10800</v>
      </c>
      <c r="F403" s="43">
        <v>10800</v>
      </c>
      <c r="G403" s="44" t="s">
        <v>650</v>
      </c>
      <c r="H403" s="44" t="s">
        <v>651</v>
      </c>
      <c r="I403" s="45" t="s">
        <v>652</v>
      </c>
      <c r="J403" s="45" t="s">
        <v>653</v>
      </c>
      <c r="K403" s="45"/>
      <c r="L403" s="45"/>
      <c r="M403" s="45"/>
      <c r="N403" s="25">
        <v>201846</v>
      </c>
      <c r="O403" s="24" t="s">
        <v>54</v>
      </c>
      <c r="P403" s="24" t="s">
        <v>57</v>
      </c>
      <c r="Q403" s="26">
        <v>340</v>
      </c>
      <c r="R403" s="27">
        <v>43556</v>
      </c>
      <c r="S403" s="27">
        <v>43801</v>
      </c>
      <c r="T403" s="24"/>
      <c r="U403" s="45" t="s">
        <v>145</v>
      </c>
      <c r="V403" s="45" t="s">
        <v>145</v>
      </c>
      <c r="W403" s="45" t="s">
        <v>145</v>
      </c>
      <c r="X403" s="45" t="s">
        <v>145</v>
      </c>
      <c r="Z403">
        <v>1</v>
      </c>
    </row>
    <row r="404" spans="1:29" x14ac:dyDescent="0.25">
      <c r="A404" t="s">
        <v>145</v>
      </c>
      <c r="B404" s="15">
        <v>43751</v>
      </c>
      <c r="C404" s="40">
        <v>0</v>
      </c>
      <c r="D404" s="40">
        <v>0</v>
      </c>
      <c r="E404" s="40">
        <v>31623.200000000001</v>
      </c>
      <c r="F404" s="40">
        <v>31623.200000000001</v>
      </c>
      <c r="G404" s="99" t="s">
        <v>654</v>
      </c>
      <c r="H404" s="99" t="s">
        <v>655</v>
      </c>
      <c r="I404" s="100" t="s">
        <v>656</v>
      </c>
      <c r="J404" s="100" t="s">
        <v>657</v>
      </c>
      <c r="K404" s="100"/>
      <c r="L404" s="100"/>
      <c r="M404" s="100"/>
      <c r="N404" s="16" t="s">
        <v>658</v>
      </c>
      <c r="O404" s="14" t="s">
        <v>54</v>
      </c>
      <c r="P404" s="14" t="s">
        <v>57</v>
      </c>
      <c r="Q404" s="17">
        <v>340</v>
      </c>
      <c r="R404" s="15">
        <v>43556</v>
      </c>
      <c r="S404" s="15">
        <v>43752</v>
      </c>
      <c r="T404" s="14"/>
      <c r="U404" s="100" t="s">
        <v>145</v>
      </c>
      <c r="V404" s="100" t="s">
        <v>145</v>
      </c>
      <c r="W404" s="100" t="s">
        <v>145</v>
      </c>
      <c r="X404" s="100" t="s">
        <v>145</v>
      </c>
      <c r="Z404">
        <v>1</v>
      </c>
    </row>
    <row r="405" spans="1:29" x14ac:dyDescent="0.25">
      <c r="A405" s="46"/>
      <c r="B405" s="76" t="s">
        <v>666</v>
      </c>
      <c r="C405" s="98"/>
      <c r="D405" s="98"/>
      <c r="E405" s="98"/>
      <c r="F405" s="98"/>
      <c r="G405" s="76" t="s">
        <v>186</v>
      </c>
      <c r="H405" s="76" t="s">
        <v>665</v>
      </c>
      <c r="I405" s="76"/>
      <c r="J405" s="76"/>
      <c r="K405" s="76"/>
      <c r="L405" s="76"/>
      <c r="M405" s="76"/>
      <c r="N405" s="75"/>
      <c r="O405" s="76" t="s">
        <v>54</v>
      </c>
      <c r="P405" s="76" t="s">
        <v>57</v>
      </c>
      <c r="Q405" s="77">
        <v>340</v>
      </c>
      <c r="R405" s="78">
        <v>45497</v>
      </c>
      <c r="S405" s="78">
        <v>45497</v>
      </c>
      <c r="T405" s="76">
        <v>90</v>
      </c>
      <c r="U405" s="76"/>
      <c r="V405" s="76"/>
      <c r="W405" s="76"/>
      <c r="X405" s="76"/>
      <c r="Z405" s="46">
        <v>3</v>
      </c>
    </row>
    <row r="406" spans="1:29" x14ac:dyDescent="0.25">
      <c r="A406" s="46"/>
      <c r="B406" s="76" t="s">
        <v>668</v>
      </c>
      <c r="C406" s="98"/>
      <c r="D406" s="98"/>
      <c r="E406" s="98"/>
      <c r="F406" s="98"/>
      <c r="G406" s="76" t="s">
        <v>667</v>
      </c>
      <c r="H406" s="76" t="s">
        <v>466</v>
      </c>
      <c r="I406" s="76"/>
      <c r="J406" s="76"/>
      <c r="K406" s="76"/>
      <c r="L406" s="76"/>
      <c r="M406" s="76"/>
      <c r="N406" s="75"/>
      <c r="O406" s="76" t="s">
        <v>54</v>
      </c>
      <c r="P406" s="76" t="s">
        <v>57</v>
      </c>
      <c r="Q406" s="77">
        <v>340</v>
      </c>
      <c r="R406" s="78">
        <v>45497</v>
      </c>
      <c r="S406" s="78">
        <v>45497</v>
      </c>
      <c r="T406" s="76"/>
      <c r="U406" s="76"/>
      <c r="V406" s="76"/>
      <c r="W406" s="76"/>
      <c r="X406" s="76"/>
      <c r="Z406" s="46">
        <v>3</v>
      </c>
    </row>
    <row r="407" spans="1:29" x14ac:dyDescent="0.25">
      <c r="A407" s="46"/>
      <c r="B407" s="76" t="s">
        <v>666</v>
      </c>
      <c r="C407" s="98"/>
      <c r="D407" s="98"/>
      <c r="E407" s="98"/>
      <c r="F407" s="98"/>
      <c r="G407" s="76" t="s">
        <v>669</v>
      </c>
      <c r="H407" s="76" t="s">
        <v>670</v>
      </c>
      <c r="I407" s="76"/>
      <c r="J407" s="76"/>
      <c r="K407" s="76"/>
      <c r="L407" s="76"/>
      <c r="M407" s="76"/>
      <c r="N407" s="75"/>
      <c r="O407" s="76"/>
      <c r="P407" s="76"/>
      <c r="Q407" s="77"/>
      <c r="R407" s="78">
        <v>45497</v>
      </c>
      <c r="S407" s="78">
        <v>45497</v>
      </c>
      <c r="T407" s="76"/>
      <c r="U407" s="76"/>
      <c r="V407" s="76"/>
      <c r="W407" s="76"/>
      <c r="X407" s="76"/>
      <c r="Z407" s="46">
        <v>3</v>
      </c>
    </row>
    <row r="408" spans="1:29" x14ac:dyDescent="0.25">
      <c r="A408" s="46"/>
      <c r="B408" s="76" t="s">
        <v>666</v>
      </c>
      <c r="C408" s="98"/>
      <c r="D408" s="98"/>
      <c r="E408" s="98"/>
      <c r="F408" s="98"/>
      <c r="G408" s="76" t="s">
        <v>671</v>
      </c>
      <c r="H408" s="76" t="s">
        <v>672</v>
      </c>
      <c r="I408" s="76"/>
      <c r="J408" s="76"/>
      <c r="K408" s="76"/>
      <c r="L408" s="76"/>
      <c r="M408" s="76"/>
      <c r="N408" s="75"/>
      <c r="O408" s="76" t="s">
        <v>54</v>
      </c>
      <c r="P408" s="76" t="s">
        <v>57</v>
      </c>
      <c r="Q408" s="77">
        <v>340</v>
      </c>
      <c r="R408" s="78">
        <v>45497</v>
      </c>
      <c r="S408" s="78">
        <v>45509</v>
      </c>
      <c r="T408" s="76">
        <v>160</v>
      </c>
      <c r="U408" s="76"/>
      <c r="V408" s="76"/>
      <c r="W408" s="76"/>
      <c r="X408" s="76"/>
      <c r="Z408" s="46">
        <v>3</v>
      </c>
    </row>
    <row r="409" spans="1:29" x14ac:dyDescent="0.25">
      <c r="A409" s="46"/>
      <c r="B409" s="76" t="s">
        <v>666</v>
      </c>
      <c r="C409" s="98"/>
      <c r="D409" s="98"/>
      <c r="E409" s="98"/>
      <c r="F409" s="98"/>
      <c r="G409" s="76" t="s">
        <v>673</v>
      </c>
      <c r="H409" s="76" t="s">
        <v>674</v>
      </c>
      <c r="I409" s="76"/>
      <c r="J409" s="76"/>
      <c r="K409" s="76"/>
      <c r="L409" s="76"/>
      <c r="M409" s="76"/>
      <c r="N409" s="75"/>
      <c r="O409" s="76" t="s">
        <v>54</v>
      </c>
      <c r="P409" s="76" t="s">
        <v>57</v>
      </c>
      <c r="Q409" s="77">
        <v>340</v>
      </c>
      <c r="R409" s="78"/>
      <c r="S409" s="78"/>
      <c r="T409" s="76">
        <v>160</v>
      </c>
      <c r="U409" s="76"/>
      <c r="V409" s="76"/>
      <c r="W409" s="76"/>
      <c r="X409" s="76"/>
      <c r="Z409" s="28"/>
    </row>
    <row r="410" spans="1:29" x14ac:dyDescent="0.25">
      <c r="A410" s="46"/>
      <c r="B410" s="76" t="s">
        <v>666</v>
      </c>
      <c r="C410" s="98"/>
      <c r="D410" s="98"/>
      <c r="E410" s="98"/>
      <c r="F410" s="98"/>
      <c r="G410" s="76" t="s">
        <v>675</v>
      </c>
      <c r="H410" s="76" t="s">
        <v>272</v>
      </c>
      <c r="I410" s="76"/>
      <c r="J410" s="76"/>
      <c r="K410" s="76"/>
      <c r="L410" s="76"/>
      <c r="M410" s="76"/>
      <c r="N410" s="75"/>
      <c r="O410" s="76" t="s">
        <v>54</v>
      </c>
      <c r="P410" s="76" t="s">
        <v>57</v>
      </c>
      <c r="Q410" s="77">
        <v>340</v>
      </c>
      <c r="R410" s="78"/>
      <c r="S410" s="78"/>
      <c r="T410" s="76">
        <v>160</v>
      </c>
      <c r="U410" s="76"/>
      <c r="V410" s="76"/>
      <c r="W410" s="76"/>
      <c r="X410" s="76"/>
      <c r="Z410" s="28"/>
    </row>
    <row r="411" spans="1:29" x14ac:dyDescent="0.25">
      <c r="A411" s="46"/>
      <c r="B411" s="76" t="s">
        <v>666</v>
      </c>
      <c r="C411" s="98"/>
      <c r="D411" s="98"/>
      <c r="E411" s="98"/>
      <c r="F411" s="98"/>
      <c r="G411" s="76" t="s">
        <v>676</v>
      </c>
      <c r="H411" s="76" t="s">
        <v>331</v>
      </c>
      <c r="I411" s="76"/>
      <c r="J411" s="76"/>
      <c r="K411" s="76"/>
      <c r="L411" s="76"/>
      <c r="M411" s="76"/>
      <c r="N411" s="75"/>
      <c r="O411" s="76" t="s">
        <v>75</v>
      </c>
      <c r="P411" s="76" t="s">
        <v>307</v>
      </c>
      <c r="Q411" s="77">
        <v>614</v>
      </c>
      <c r="R411" s="78"/>
      <c r="S411" s="78"/>
      <c r="T411" s="76">
        <v>160</v>
      </c>
      <c r="U411" s="76"/>
      <c r="V411" s="76"/>
      <c r="W411" s="76"/>
      <c r="X411" s="76"/>
      <c r="Z411" s="28"/>
    </row>
    <row r="412" spans="1:29" x14ac:dyDescent="0.25">
      <c r="B412" s="15">
        <v>45896</v>
      </c>
      <c r="C412" s="40">
        <v>2128.5</v>
      </c>
      <c r="D412" s="40">
        <v>0</v>
      </c>
      <c r="E412" s="40">
        <v>0</v>
      </c>
      <c r="F412" s="40">
        <v>0</v>
      </c>
      <c r="G412" s="99" t="s">
        <v>683</v>
      </c>
      <c r="H412" s="99" t="s">
        <v>684</v>
      </c>
      <c r="I412" s="100" t="s">
        <v>685</v>
      </c>
      <c r="J412" s="100" t="s">
        <v>686</v>
      </c>
      <c r="K412" s="100">
        <v>44.063547</v>
      </c>
      <c r="L412" s="100">
        <v>-98.314023000000006</v>
      </c>
      <c r="M412" s="100"/>
      <c r="N412" s="16" t="s">
        <v>687</v>
      </c>
      <c r="O412" s="14" t="s">
        <v>105</v>
      </c>
      <c r="P412" s="14" t="s">
        <v>304</v>
      </c>
      <c r="Q412" s="17">
        <v>516</v>
      </c>
      <c r="R412" s="15">
        <v>45814</v>
      </c>
      <c r="S412" s="15">
        <v>45896</v>
      </c>
      <c r="T412" s="14"/>
      <c r="U412" s="14" t="s">
        <v>145</v>
      </c>
      <c r="V412" s="14">
        <v>106</v>
      </c>
      <c r="W412" s="14">
        <v>37.6</v>
      </c>
      <c r="X412" s="14">
        <v>27.6</v>
      </c>
      <c r="Z412">
        <v>3</v>
      </c>
    </row>
    <row r="413" spans="1:29" x14ac:dyDescent="0.25">
      <c r="B413" s="15">
        <v>45819</v>
      </c>
      <c r="C413" s="40">
        <v>1176</v>
      </c>
      <c r="D413" s="40">
        <v>1500</v>
      </c>
      <c r="E413" s="40">
        <v>0</v>
      </c>
      <c r="F413" s="40">
        <v>2676</v>
      </c>
      <c r="G413" s="99" t="s">
        <v>688</v>
      </c>
      <c r="H413" s="99" t="s">
        <v>665</v>
      </c>
      <c r="I413" s="100" t="s">
        <v>689</v>
      </c>
      <c r="J413" s="100" t="s">
        <v>310</v>
      </c>
      <c r="K413" s="100">
        <v>44.706671</v>
      </c>
      <c r="L413" s="100">
        <v>-103.572749</v>
      </c>
      <c r="M413" s="100"/>
      <c r="N413" s="16" t="s">
        <v>693</v>
      </c>
      <c r="O413" s="14" t="s">
        <v>54</v>
      </c>
      <c r="P413" s="14" t="s">
        <v>57</v>
      </c>
      <c r="Q413" s="17">
        <v>340</v>
      </c>
      <c r="R413" s="15">
        <v>45834</v>
      </c>
      <c r="S413" s="15">
        <v>45947</v>
      </c>
      <c r="T413" s="14">
        <v>46</v>
      </c>
      <c r="U413" s="14"/>
      <c r="V413" s="121">
        <v>21</v>
      </c>
      <c r="W413" s="121">
        <v>5.26</v>
      </c>
      <c r="X413" s="121">
        <v>3.9</v>
      </c>
      <c r="Z413">
        <v>3</v>
      </c>
    </row>
  </sheetData>
  <autoFilter ref="A1:AC413" xr:uid="{74C729E3-A2D6-4C67-B999-47DB31579828}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EBD2-D951-4ABE-AC7D-CD2AAF709F94}">
  <dimension ref="B1:Z160"/>
  <sheetViews>
    <sheetView topLeftCell="B1" zoomScale="72" zoomScaleNormal="72" workbookViewId="0">
      <selection activeCell="F13" sqref="F13"/>
    </sheetView>
  </sheetViews>
  <sheetFormatPr defaultRowHeight="13.8" x14ac:dyDescent="0.25"/>
  <cols>
    <col min="2" max="2" width="10.296875" style="1" bestFit="1" customWidth="1"/>
    <col min="3" max="3" width="11.3984375" bestFit="1" customWidth="1"/>
    <col min="4" max="4" width="9.796875" customWidth="1"/>
    <col min="5" max="5" width="14.5" bestFit="1" customWidth="1"/>
    <col min="6" max="6" width="14.19921875" bestFit="1" customWidth="1"/>
    <col min="7" max="7" width="12.09765625" bestFit="1" customWidth="1"/>
    <col min="8" max="8" width="11.3984375" bestFit="1" customWidth="1"/>
    <col min="9" max="9" width="17.8984375" customWidth="1"/>
    <col min="18" max="18" width="9.296875" bestFit="1" customWidth="1"/>
    <col min="19" max="19" width="9.69921875" bestFit="1" customWidth="1"/>
  </cols>
  <sheetData>
    <row r="1" spans="2:26" x14ac:dyDescent="0.25">
      <c r="B1" s="115" t="s">
        <v>681</v>
      </c>
      <c r="C1" s="2" t="s">
        <v>40</v>
      </c>
      <c r="D1" s="2" t="s">
        <v>42</v>
      </c>
      <c r="E1" s="2" t="s">
        <v>43</v>
      </c>
      <c r="F1" s="2" t="s">
        <v>45</v>
      </c>
      <c r="G1" s="2" t="s">
        <v>47</v>
      </c>
      <c r="H1" s="2" t="s">
        <v>48</v>
      </c>
      <c r="I1" s="2" t="s">
        <v>0</v>
      </c>
      <c r="J1" s="2" t="s">
        <v>2</v>
      </c>
      <c r="K1" s="2" t="s">
        <v>4</v>
      </c>
      <c r="L1" s="2" t="s">
        <v>6</v>
      </c>
      <c r="M1" s="2" t="s">
        <v>8</v>
      </c>
      <c r="N1" s="3" t="s">
        <v>10</v>
      </c>
      <c r="O1" s="2" t="s">
        <v>12</v>
      </c>
      <c r="P1" s="2" t="s">
        <v>14</v>
      </c>
      <c r="Q1" s="3" t="s">
        <v>16</v>
      </c>
      <c r="R1" s="2" t="s">
        <v>18</v>
      </c>
      <c r="S1" s="2" t="s">
        <v>20</v>
      </c>
      <c r="T1" s="2" t="s">
        <v>22</v>
      </c>
      <c r="U1" s="2" t="s">
        <v>24</v>
      </c>
      <c r="V1" s="2" t="s">
        <v>30</v>
      </c>
      <c r="W1" s="2" t="s">
        <v>32</v>
      </c>
      <c r="X1" s="2" t="s">
        <v>34</v>
      </c>
      <c r="Y1" s="2" t="s">
        <v>36</v>
      </c>
      <c r="Z1" s="2" t="s">
        <v>680</v>
      </c>
    </row>
    <row r="2" spans="2:26" x14ac:dyDescent="0.25">
      <c r="B2" s="1">
        <v>44453</v>
      </c>
      <c r="C2" s="31">
        <v>0</v>
      </c>
      <c r="D2" s="31">
        <v>0</v>
      </c>
      <c r="E2" s="31">
        <v>2972.58</v>
      </c>
      <c r="F2" s="31">
        <v>2972.58</v>
      </c>
      <c r="G2" s="6" t="s">
        <v>49</v>
      </c>
      <c r="H2" s="6" t="s">
        <v>50</v>
      </c>
      <c r="I2" s="6" t="s">
        <v>51</v>
      </c>
      <c r="J2" s="7" t="s">
        <v>52</v>
      </c>
      <c r="K2" s="6">
        <v>44.229377999999997</v>
      </c>
      <c r="L2" s="6">
        <v>-98.130941000000007</v>
      </c>
      <c r="M2" s="6" t="s">
        <v>53</v>
      </c>
      <c r="N2" s="4">
        <v>20211</v>
      </c>
      <c r="O2" t="s">
        <v>56</v>
      </c>
      <c r="P2" t="s">
        <v>57</v>
      </c>
      <c r="Q2" s="5">
        <v>340</v>
      </c>
      <c r="R2" s="1">
        <v>44470</v>
      </c>
      <c r="S2" s="1">
        <v>44501</v>
      </c>
      <c r="T2">
        <v>56</v>
      </c>
      <c r="V2">
        <v>160</v>
      </c>
      <c r="W2">
        <v>51</v>
      </c>
      <c r="X2">
        <v>33</v>
      </c>
      <c r="Y2" s="28"/>
      <c r="Z2">
        <v>2</v>
      </c>
    </row>
    <row r="3" spans="2:26" x14ac:dyDescent="0.25">
      <c r="B3" s="13">
        <v>45096</v>
      </c>
      <c r="C3" s="32">
        <v>4770</v>
      </c>
      <c r="D3" s="32">
        <v>0</v>
      </c>
      <c r="E3" s="32">
        <v>7969.84</v>
      </c>
      <c r="F3" s="32">
        <v>12739.84</v>
      </c>
      <c r="G3" s="8" t="s">
        <v>60</v>
      </c>
      <c r="H3" s="8" t="s">
        <v>61</v>
      </c>
      <c r="I3" s="8" t="s">
        <v>62</v>
      </c>
      <c r="J3" s="9" t="s">
        <v>63</v>
      </c>
      <c r="K3" s="8">
        <v>43.621378</v>
      </c>
      <c r="L3" s="8">
        <v>-98.079824000000002</v>
      </c>
      <c r="M3" s="8" t="s">
        <v>64</v>
      </c>
      <c r="N3" s="10" t="s">
        <v>65</v>
      </c>
      <c r="O3" s="11" t="s">
        <v>56</v>
      </c>
      <c r="P3" s="11" t="s">
        <v>57</v>
      </c>
      <c r="Q3" s="12">
        <v>340</v>
      </c>
      <c r="R3" s="13">
        <v>45117</v>
      </c>
      <c r="S3" s="13">
        <v>45139</v>
      </c>
      <c r="T3" s="11">
        <v>128</v>
      </c>
      <c r="U3" s="11"/>
      <c r="V3" s="11">
        <v>469</v>
      </c>
      <c r="W3" s="11">
        <v>139</v>
      </c>
      <c r="X3" s="11">
        <v>83.9</v>
      </c>
      <c r="Y3" s="28"/>
      <c r="Z3">
        <v>2</v>
      </c>
    </row>
    <row r="4" spans="2:26" x14ac:dyDescent="0.25">
      <c r="B4" s="1">
        <v>44335</v>
      </c>
      <c r="C4" s="31">
        <v>0</v>
      </c>
      <c r="D4" s="31">
        <v>1649.25</v>
      </c>
      <c r="E4" s="31">
        <v>2308.9499999999998</v>
      </c>
      <c r="F4" s="31">
        <v>4463</v>
      </c>
      <c r="G4" s="6" t="s">
        <v>66</v>
      </c>
      <c r="H4" s="6" t="s">
        <v>67</v>
      </c>
      <c r="I4" s="6" t="s">
        <v>68</v>
      </c>
      <c r="J4" s="7" t="s">
        <v>69</v>
      </c>
      <c r="K4" s="6">
        <v>43.655670000000001</v>
      </c>
      <c r="L4" s="6">
        <v>-97.899885999999995</v>
      </c>
      <c r="M4" s="6" t="s">
        <v>64</v>
      </c>
      <c r="N4" s="4" t="s">
        <v>70</v>
      </c>
      <c r="O4" t="s">
        <v>56</v>
      </c>
      <c r="P4" t="s">
        <v>57</v>
      </c>
      <c r="Q4" s="5">
        <v>340</v>
      </c>
      <c r="R4" s="1">
        <v>44317</v>
      </c>
      <c r="S4" s="1">
        <v>44453</v>
      </c>
      <c r="T4">
        <v>385</v>
      </c>
      <c r="V4">
        <v>405</v>
      </c>
      <c r="W4">
        <v>125</v>
      </c>
      <c r="X4">
        <v>80</v>
      </c>
      <c r="Y4" s="28"/>
      <c r="Z4">
        <v>2</v>
      </c>
    </row>
    <row r="5" spans="2:26" x14ac:dyDescent="0.25">
      <c r="B5" s="1">
        <v>44698</v>
      </c>
      <c r="C5" s="31">
        <v>0</v>
      </c>
      <c r="D5" s="31">
        <v>3000</v>
      </c>
      <c r="E5" s="31">
        <v>6129.95</v>
      </c>
      <c r="F5" s="31">
        <v>9129.9500000000007</v>
      </c>
      <c r="G5" s="6" t="s">
        <v>66</v>
      </c>
      <c r="H5" s="6" t="s">
        <v>67</v>
      </c>
      <c r="I5" s="6" t="s">
        <v>68</v>
      </c>
      <c r="J5" s="7" t="s">
        <v>69</v>
      </c>
      <c r="K5" s="6">
        <v>43.655670000000001</v>
      </c>
      <c r="L5" s="6">
        <v>-97.899885999999995</v>
      </c>
      <c r="M5" s="6" t="s">
        <v>64</v>
      </c>
      <c r="N5" s="4" t="s">
        <v>74</v>
      </c>
      <c r="O5" t="s">
        <v>56</v>
      </c>
      <c r="P5" t="s">
        <v>57</v>
      </c>
      <c r="Q5" s="5">
        <v>340</v>
      </c>
      <c r="R5" s="1">
        <v>44682</v>
      </c>
      <c r="S5" s="1">
        <v>44845</v>
      </c>
      <c r="T5">
        <v>385</v>
      </c>
      <c r="V5">
        <v>490</v>
      </c>
      <c r="W5">
        <v>146</v>
      </c>
      <c r="X5">
        <v>91</v>
      </c>
      <c r="Y5" s="28"/>
      <c r="Z5">
        <v>2</v>
      </c>
    </row>
    <row r="6" spans="2:26" x14ac:dyDescent="0.25">
      <c r="B6" s="13">
        <v>44763</v>
      </c>
      <c r="C6" s="32">
        <v>0</v>
      </c>
      <c r="D6" s="32">
        <v>6000</v>
      </c>
      <c r="E6" s="32">
        <v>25526.23</v>
      </c>
      <c r="F6" s="32">
        <v>31526.23</v>
      </c>
      <c r="G6" s="8" t="s">
        <v>86</v>
      </c>
      <c r="H6" s="8" t="s">
        <v>87</v>
      </c>
      <c r="I6" s="8" t="s">
        <v>88</v>
      </c>
      <c r="J6" s="9" t="s">
        <v>89</v>
      </c>
      <c r="K6" s="8">
        <v>45.069645999999999</v>
      </c>
      <c r="L6" s="8">
        <v>-98.579145999999994</v>
      </c>
      <c r="M6" s="8" t="s">
        <v>91</v>
      </c>
      <c r="N6" s="10">
        <v>202206</v>
      </c>
      <c r="O6" s="11" t="s">
        <v>56</v>
      </c>
      <c r="P6" s="11" t="s">
        <v>57</v>
      </c>
      <c r="Q6" s="12">
        <v>340</v>
      </c>
      <c r="R6" s="13">
        <v>44743</v>
      </c>
      <c r="S6" s="13">
        <v>44805</v>
      </c>
      <c r="T6" s="11">
        <v>1371</v>
      </c>
      <c r="U6" s="11"/>
      <c r="V6" s="11">
        <v>2030</v>
      </c>
      <c r="W6" s="11">
        <v>543</v>
      </c>
      <c r="X6" s="11">
        <v>266</v>
      </c>
      <c r="Y6" s="28"/>
      <c r="Z6">
        <v>2</v>
      </c>
    </row>
    <row r="7" spans="2:26" x14ac:dyDescent="0.25">
      <c r="B7" s="13">
        <v>45153</v>
      </c>
      <c r="C7" s="32">
        <v>4800</v>
      </c>
      <c r="D7" s="32">
        <v>0</v>
      </c>
      <c r="E7" s="32">
        <v>19075</v>
      </c>
      <c r="F7" s="32">
        <v>23875</v>
      </c>
      <c r="G7" s="8" t="s">
        <v>86</v>
      </c>
      <c r="H7" s="8" t="s">
        <v>92</v>
      </c>
      <c r="I7" s="8" t="s">
        <v>93</v>
      </c>
      <c r="J7" s="9" t="s">
        <v>89</v>
      </c>
      <c r="K7" s="8">
        <v>45.154879000000001</v>
      </c>
      <c r="L7" s="8">
        <v>-98.601916000000003</v>
      </c>
      <c r="M7" s="8" t="s">
        <v>94</v>
      </c>
      <c r="N7" s="10" t="s">
        <v>95</v>
      </c>
      <c r="O7" s="11" t="s">
        <v>56</v>
      </c>
      <c r="P7" s="11" t="s">
        <v>57</v>
      </c>
      <c r="Q7" s="12">
        <v>340</v>
      </c>
      <c r="R7" s="13">
        <v>44927</v>
      </c>
      <c r="S7" s="13">
        <v>45168</v>
      </c>
      <c r="T7" s="11">
        <v>569</v>
      </c>
      <c r="U7" s="11"/>
      <c r="V7" s="11">
        <v>989</v>
      </c>
      <c r="W7" s="11">
        <v>272</v>
      </c>
      <c r="X7" s="11">
        <v>141</v>
      </c>
      <c r="Y7" s="28"/>
      <c r="Z7">
        <v>2</v>
      </c>
    </row>
    <row r="8" spans="2:26" x14ac:dyDescent="0.25">
      <c r="B8" s="1">
        <v>45135</v>
      </c>
      <c r="C8" s="31">
        <v>311.5</v>
      </c>
      <c r="D8" s="31">
        <v>0</v>
      </c>
      <c r="E8" s="31">
        <v>381.45</v>
      </c>
      <c r="F8" s="31">
        <v>692.95</v>
      </c>
      <c r="G8" s="6" t="s">
        <v>96</v>
      </c>
      <c r="H8" s="6" t="s">
        <v>97</v>
      </c>
      <c r="I8" s="6" t="s">
        <v>98</v>
      </c>
      <c r="J8" s="7" t="s">
        <v>99</v>
      </c>
      <c r="K8" s="6">
        <v>43.279971000000003</v>
      </c>
      <c r="L8" s="6">
        <v>-97.366298</v>
      </c>
      <c r="M8" s="6" t="s">
        <v>100</v>
      </c>
      <c r="N8" s="4" t="s">
        <v>103</v>
      </c>
      <c r="O8" t="s">
        <v>56</v>
      </c>
      <c r="P8" t="s">
        <v>57</v>
      </c>
      <c r="Q8" s="5">
        <v>340</v>
      </c>
      <c r="R8" s="1">
        <v>45078</v>
      </c>
      <c r="S8" s="1">
        <v>45146</v>
      </c>
      <c r="T8">
        <v>12</v>
      </c>
      <c r="V8">
        <v>68</v>
      </c>
      <c r="W8">
        <v>21</v>
      </c>
      <c r="X8">
        <v>14</v>
      </c>
      <c r="Y8" s="29" t="s">
        <v>96</v>
      </c>
      <c r="Z8">
        <v>2</v>
      </c>
    </row>
    <row r="9" spans="2:26" x14ac:dyDescent="0.25">
      <c r="B9" s="1">
        <v>45131</v>
      </c>
      <c r="C9" s="31">
        <v>3800</v>
      </c>
      <c r="D9" s="31">
        <v>0</v>
      </c>
      <c r="E9" s="31">
        <v>6789.84</v>
      </c>
      <c r="F9" s="31">
        <v>10589.84</v>
      </c>
      <c r="G9" s="6" t="s">
        <v>96</v>
      </c>
      <c r="H9" s="6" t="s">
        <v>106</v>
      </c>
      <c r="I9" s="6" t="s">
        <v>107</v>
      </c>
      <c r="J9" s="7" t="s">
        <v>99</v>
      </c>
      <c r="K9" s="6">
        <v>43.440432999999999</v>
      </c>
      <c r="L9" s="6">
        <v>-97.455648999999994</v>
      </c>
      <c r="M9" s="6" t="s">
        <v>100</v>
      </c>
      <c r="N9" s="4" t="s">
        <v>108</v>
      </c>
      <c r="O9" t="s">
        <v>56</v>
      </c>
      <c r="P9" t="s">
        <v>57</v>
      </c>
      <c r="Q9" s="5">
        <v>340</v>
      </c>
      <c r="R9" s="1">
        <v>45122</v>
      </c>
      <c r="S9" s="1">
        <v>45147</v>
      </c>
      <c r="T9">
        <v>152</v>
      </c>
      <c r="V9">
        <v>172</v>
      </c>
      <c r="W9">
        <v>48</v>
      </c>
      <c r="X9">
        <v>33</v>
      </c>
      <c r="Y9" s="29" t="s">
        <v>96</v>
      </c>
      <c r="Z9">
        <v>2</v>
      </c>
    </row>
    <row r="10" spans="2:26" x14ac:dyDescent="0.25">
      <c r="B10" s="1">
        <v>44550</v>
      </c>
      <c r="C10" s="31">
        <v>0</v>
      </c>
      <c r="D10" s="31">
        <v>0</v>
      </c>
      <c r="E10" s="31">
        <v>0</v>
      </c>
      <c r="F10" s="31">
        <v>9075</v>
      </c>
      <c r="G10" s="20" t="s">
        <v>109</v>
      </c>
      <c r="H10" s="20" t="s">
        <v>110</v>
      </c>
      <c r="I10" s="20" t="s">
        <v>111</v>
      </c>
      <c r="J10" s="21" t="s">
        <v>112</v>
      </c>
      <c r="K10" s="20">
        <v>43.265368000000002</v>
      </c>
      <c r="L10" s="20">
        <v>-98.529054000000002</v>
      </c>
      <c r="M10" s="20" t="s">
        <v>113</v>
      </c>
      <c r="N10" s="4">
        <v>20211004</v>
      </c>
      <c r="O10" t="s">
        <v>54</v>
      </c>
      <c r="P10" t="s">
        <v>55</v>
      </c>
      <c r="Q10" s="5">
        <v>329</v>
      </c>
      <c r="R10" s="1">
        <v>44317</v>
      </c>
      <c r="S10" s="1">
        <v>44409</v>
      </c>
      <c r="T10">
        <v>160</v>
      </c>
      <c r="V10">
        <v>438</v>
      </c>
      <c r="W10">
        <v>101</v>
      </c>
      <c r="X10">
        <v>68</v>
      </c>
      <c r="Y10" s="28"/>
      <c r="Z10">
        <v>2</v>
      </c>
    </row>
    <row r="11" spans="2:26" x14ac:dyDescent="0.25">
      <c r="B11" s="1">
        <v>44410</v>
      </c>
      <c r="C11" s="31">
        <v>0</v>
      </c>
      <c r="D11" s="31">
        <v>1622.36</v>
      </c>
      <c r="E11" s="31">
        <v>1472.4</v>
      </c>
      <c r="F11" s="31">
        <v>10580.1</v>
      </c>
      <c r="G11" s="6" t="s">
        <v>109</v>
      </c>
      <c r="H11" s="6" t="s">
        <v>110</v>
      </c>
      <c r="I11" s="6" t="s">
        <v>111</v>
      </c>
      <c r="J11" s="7" t="s">
        <v>112</v>
      </c>
      <c r="K11" s="6">
        <v>43.265368000000002</v>
      </c>
      <c r="L11" s="6">
        <v>-98.529054000000002</v>
      </c>
      <c r="M11" s="6" t="s">
        <v>113</v>
      </c>
      <c r="N11" s="4">
        <v>20211004</v>
      </c>
      <c r="O11" t="s">
        <v>56</v>
      </c>
      <c r="P11" t="s">
        <v>57</v>
      </c>
      <c r="Q11" s="5">
        <v>340</v>
      </c>
      <c r="R11" s="1">
        <v>44317</v>
      </c>
      <c r="S11" s="1">
        <v>44409</v>
      </c>
      <c r="T11">
        <v>160</v>
      </c>
      <c r="V11">
        <v>1135</v>
      </c>
      <c r="W11">
        <v>379</v>
      </c>
      <c r="X11">
        <v>265</v>
      </c>
      <c r="Y11" s="28"/>
      <c r="Z11">
        <v>2</v>
      </c>
    </row>
    <row r="12" spans="2:26" x14ac:dyDescent="0.25">
      <c r="B12" s="1">
        <v>45092</v>
      </c>
      <c r="C12" s="31">
        <v>2787.04</v>
      </c>
      <c r="D12" s="31">
        <v>1220.96</v>
      </c>
      <c r="E12" s="31">
        <v>7520</v>
      </c>
      <c r="F12" s="31">
        <v>11528</v>
      </c>
      <c r="G12" s="6" t="s">
        <v>109</v>
      </c>
      <c r="H12" s="6" t="s">
        <v>110</v>
      </c>
      <c r="I12" s="6" t="s">
        <v>111</v>
      </c>
      <c r="J12" s="7" t="s">
        <v>112</v>
      </c>
      <c r="K12" s="6">
        <v>43.265368000000002</v>
      </c>
      <c r="L12" s="6">
        <v>-98.529054000000002</v>
      </c>
      <c r="M12" s="6" t="s">
        <v>113</v>
      </c>
      <c r="N12" s="4" t="s">
        <v>114</v>
      </c>
      <c r="O12" t="s">
        <v>56</v>
      </c>
      <c r="P12" t="s">
        <v>57</v>
      </c>
      <c r="Q12" s="5">
        <v>340</v>
      </c>
      <c r="R12" s="1">
        <v>45031</v>
      </c>
      <c r="S12" s="1">
        <v>45117</v>
      </c>
      <c r="T12">
        <v>160</v>
      </c>
      <c r="V12">
        <v>1135</v>
      </c>
      <c r="W12">
        <v>379</v>
      </c>
      <c r="X12">
        <v>265</v>
      </c>
      <c r="Y12" s="28"/>
      <c r="Z12">
        <v>2</v>
      </c>
    </row>
    <row r="13" spans="2:26" x14ac:dyDescent="0.25">
      <c r="B13" s="13">
        <v>45565</v>
      </c>
      <c r="C13" s="32">
        <v>10693.08</v>
      </c>
      <c r="D13" s="32"/>
      <c r="E13" s="32">
        <v>10693.08</v>
      </c>
      <c r="F13" s="32">
        <v>21386.16</v>
      </c>
      <c r="G13" s="8" t="s">
        <v>121</v>
      </c>
      <c r="H13" s="8" t="s">
        <v>126</v>
      </c>
      <c r="I13" s="8" t="s">
        <v>123</v>
      </c>
      <c r="J13" s="9" t="s">
        <v>127</v>
      </c>
      <c r="K13" s="8">
        <v>44.481755</v>
      </c>
      <c r="L13" s="8">
        <v>-97.627313999999998</v>
      </c>
      <c r="M13" s="8" t="s">
        <v>130</v>
      </c>
      <c r="N13" s="10" t="s">
        <v>131</v>
      </c>
      <c r="O13" s="11" t="s">
        <v>132</v>
      </c>
      <c r="P13" s="11" t="s">
        <v>133</v>
      </c>
      <c r="Q13" s="12"/>
      <c r="R13" s="13">
        <v>45433</v>
      </c>
      <c r="S13" s="13">
        <v>45552</v>
      </c>
      <c r="T13" s="11">
        <v>108</v>
      </c>
      <c r="U13" s="11"/>
      <c r="V13" s="11">
        <v>411</v>
      </c>
      <c r="W13" s="11">
        <v>120</v>
      </c>
      <c r="X13" s="11">
        <v>74</v>
      </c>
      <c r="Y13" s="28"/>
      <c r="Z13">
        <v>3</v>
      </c>
    </row>
    <row r="14" spans="2:26" x14ac:dyDescent="0.25">
      <c r="B14" s="1">
        <v>44463</v>
      </c>
      <c r="C14" s="31">
        <v>0</v>
      </c>
      <c r="D14" s="31">
        <v>2771</v>
      </c>
      <c r="E14" s="31">
        <v>2232</v>
      </c>
      <c r="F14" s="31">
        <v>5003</v>
      </c>
      <c r="G14" s="6" t="s">
        <v>134</v>
      </c>
      <c r="H14" s="6" t="s">
        <v>135</v>
      </c>
      <c r="I14" s="6" t="s">
        <v>136</v>
      </c>
      <c r="J14" s="7" t="s">
        <v>80</v>
      </c>
      <c r="K14" s="6">
        <v>43.013342999999999</v>
      </c>
      <c r="L14" s="6">
        <v>-97.414660999999995</v>
      </c>
      <c r="M14" s="6" t="s">
        <v>137</v>
      </c>
      <c r="N14" s="4">
        <v>20211008</v>
      </c>
      <c r="O14" t="s">
        <v>56</v>
      </c>
      <c r="P14" t="s">
        <v>57</v>
      </c>
      <c r="Q14" s="5">
        <v>340</v>
      </c>
      <c r="R14" s="1">
        <v>44287</v>
      </c>
      <c r="S14" s="1">
        <v>44463</v>
      </c>
      <c r="T14">
        <v>124</v>
      </c>
      <c r="V14">
        <v>1033</v>
      </c>
      <c r="W14">
        <v>352</v>
      </c>
      <c r="X14">
        <v>252</v>
      </c>
      <c r="Y14" s="28"/>
      <c r="Z14">
        <v>2</v>
      </c>
    </row>
    <row r="15" spans="2:26" x14ac:dyDescent="0.25">
      <c r="B15" s="1">
        <v>44463</v>
      </c>
      <c r="C15" s="31">
        <v>0</v>
      </c>
      <c r="D15" s="31">
        <v>2501</v>
      </c>
      <c r="E15" s="31">
        <v>4715</v>
      </c>
      <c r="F15" s="31">
        <v>4715</v>
      </c>
      <c r="G15" s="6" t="s">
        <v>134</v>
      </c>
      <c r="H15" s="6" t="s">
        <v>138</v>
      </c>
      <c r="I15" s="6" t="s">
        <v>136</v>
      </c>
      <c r="J15" s="7" t="s">
        <v>139</v>
      </c>
      <c r="K15" s="6">
        <v>43.036881999999999</v>
      </c>
      <c r="L15" s="6">
        <v>-97.424096000000006</v>
      </c>
      <c r="M15" s="6" t="s">
        <v>137</v>
      </c>
      <c r="N15" s="4">
        <v>20211007</v>
      </c>
      <c r="O15" t="s">
        <v>56</v>
      </c>
      <c r="P15" t="s">
        <v>57</v>
      </c>
      <c r="Q15" s="5">
        <v>340</v>
      </c>
      <c r="R15" s="1">
        <v>44287</v>
      </c>
      <c r="S15" s="1">
        <v>44463</v>
      </c>
      <c r="T15">
        <v>123</v>
      </c>
      <c r="V15">
        <v>1033</v>
      </c>
      <c r="W15">
        <v>352</v>
      </c>
      <c r="X15">
        <v>252</v>
      </c>
      <c r="Y15" s="28"/>
      <c r="Z15">
        <v>2</v>
      </c>
    </row>
    <row r="16" spans="2:26" x14ac:dyDescent="0.25">
      <c r="B16" s="13">
        <v>45119</v>
      </c>
      <c r="C16" s="32">
        <v>4000</v>
      </c>
      <c r="D16" s="32">
        <v>0</v>
      </c>
      <c r="E16" s="32">
        <v>45240</v>
      </c>
      <c r="F16" s="32">
        <v>49240</v>
      </c>
      <c r="G16" s="8" t="s">
        <v>146</v>
      </c>
      <c r="H16" s="8" t="s">
        <v>147</v>
      </c>
      <c r="I16" s="8" t="s">
        <v>148</v>
      </c>
      <c r="J16" s="8" t="s">
        <v>149</v>
      </c>
      <c r="K16" s="8">
        <v>45.745404999999998</v>
      </c>
      <c r="L16" s="8">
        <v>-98.635947999999999</v>
      </c>
      <c r="M16" s="8" t="s">
        <v>150</v>
      </c>
      <c r="N16" s="10" t="s">
        <v>151</v>
      </c>
      <c r="O16" s="11" t="s">
        <v>56</v>
      </c>
      <c r="P16" s="11" t="s">
        <v>57</v>
      </c>
      <c r="Q16" s="12">
        <v>340</v>
      </c>
      <c r="R16" s="13">
        <v>45047</v>
      </c>
      <c r="S16" s="13">
        <v>45118</v>
      </c>
      <c r="T16" s="11">
        <v>1210</v>
      </c>
      <c r="U16" s="11"/>
      <c r="V16" s="11">
        <v>2486.3000000000002</v>
      </c>
      <c r="W16" s="11">
        <v>622.1</v>
      </c>
      <c r="X16" s="11">
        <v>259.5</v>
      </c>
      <c r="Y16" s="28"/>
      <c r="Z16">
        <v>2</v>
      </c>
    </row>
    <row r="17" spans="2:26" x14ac:dyDescent="0.25">
      <c r="B17" s="1">
        <v>45148</v>
      </c>
      <c r="C17" s="31">
        <v>1596.99</v>
      </c>
      <c r="D17" s="31">
        <v>0</v>
      </c>
      <c r="E17" s="31">
        <v>1596.99</v>
      </c>
      <c r="F17" s="31">
        <v>3193.98</v>
      </c>
      <c r="G17" s="6" t="s">
        <v>152</v>
      </c>
      <c r="H17" s="6" t="s">
        <v>153</v>
      </c>
      <c r="I17" s="6" t="s">
        <v>154</v>
      </c>
      <c r="J17" s="6" t="s">
        <v>155</v>
      </c>
      <c r="K17" s="6">
        <v>43.689903999999999</v>
      </c>
      <c r="L17" s="6">
        <v>-96.779409000000001</v>
      </c>
      <c r="M17" s="6" t="s">
        <v>156</v>
      </c>
      <c r="N17" s="4" t="s">
        <v>162</v>
      </c>
      <c r="O17" t="s">
        <v>56</v>
      </c>
      <c r="P17" t="s">
        <v>57</v>
      </c>
      <c r="Q17" s="5">
        <v>340</v>
      </c>
      <c r="R17" s="1">
        <v>45047</v>
      </c>
      <c r="S17" s="1">
        <v>45147</v>
      </c>
      <c r="T17">
        <v>100</v>
      </c>
      <c r="V17">
        <v>133</v>
      </c>
      <c r="W17">
        <v>43</v>
      </c>
      <c r="X17">
        <v>32</v>
      </c>
      <c r="Y17" s="28"/>
      <c r="Z17">
        <v>2</v>
      </c>
    </row>
    <row r="18" spans="2:26" x14ac:dyDescent="0.25">
      <c r="B18" s="1">
        <v>45513</v>
      </c>
      <c r="C18" s="31">
        <v>1400</v>
      </c>
      <c r="D18" s="31"/>
      <c r="E18" s="31">
        <v>1769.7</v>
      </c>
      <c r="F18" s="31">
        <v>3169.7</v>
      </c>
      <c r="G18" s="6" t="s">
        <v>152</v>
      </c>
      <c r="H18" s="6" t="s">
        <v>153</v>
      </c>
      <c r="I18" s="6" t="s">
        <v>154</v>
      </c>
      <c r="J18" s="6" t="s">
        <v>155</v>
      </c>
      <c r="K18" s="6">
        <v>43.692777999999997</v>
      </c>
      <c r="L18" s="6">
        <v>-96.773408000000003</v>
      </c>
      <c r="M18" s="6" t="s">
        <v>156</v>
      </c>
      <c r="N18" s="4" t="s">
        <v>164</v>
      </c>
      <c r="O18" t="s">
        <v>56</v>
      </c>
      <c r="P18" t="s">
        <v>57</v>
      </c>
      <c r="Q18" s="5">
        <v>340</v>
      </c>
      <c r="R18" s="1">
        <v>45432</v>
      </c>
      <c r="S18" s="1">
        <v>45555</v>
      </c>
      <c r="T18">
        <v>56</v>
      </c>
      <c r="V18">
        <v>469</v>
      </c>
      <c r="W18">
        <v>158</v>
      </c>
      <c r="X18">
        <v>113</v>
      </c>
      <c r="Y18" s="28"/>
      <c r="Z18">
        <v>3</v>
      </c>
    </row>
    <row r="19" spans="2:26" x14ac:dyDescent="0.25">
      <c r="B19" s="1">
        <v>44494</v>
      </c>
      <c r="C19" s="31">
        <v>0</v>
      </c>
      <c r="D19" s="31">
        <v>0</v>
      </c>
      <c r="E19" s="31">
        <v>6751.12</v>
      </c>
      <c r="F19" s="31">
        <v>6751.12</v>
      </c>
      <c r="G19" s="6" t="s">
        <v>165</v>
      </c>
      <c r="H19" s="6" t="s">
        <v>166</v>
      </c>
      <c r="I19" s="6" t="s">
        <v>167</v>
      </c>
      <c r="J19" s="6" t="s">
        <v>168</v>
      </c>
      <c r="K19" s="6">
        <v>45.649925000000003</v>
      </c>
      <c r="L19" s="6">
        <v>-97.611886999999996</v>
      </c>
      <c r="M19" s="6" t="s">
        <v>169</v>
      </c>
      <c r="N19" s="4">
        <v>2021110</v>
      </c>
      <c r="O19" t="s">
        <v>56</v>
      </c>
      <c r="P19" t="s">
        <v>57</v>
      </c>
      <c r="Q19" s="5">
        <v>340</v>
      </c>
      <c r="R19" s="1">
        <v>44470</v>
      </c>
      <c r="S19" s="1">
        <v>44480</v>
      </c>
      <c r="T19">
        <v>117</v>
      </c>
      <c r="V19">
        <v>672</v>
      </c>
      <c r="W19">
        <v>226</v>
      </c>
      <c r="X19">
        <v>164</v>
      </c>
      <c r="Y19" s="28"/>
      <c r="Z19">
        <v>2</v>
      </c>
    </row>
    <row r="20" spans="2:26" x14ac:dyDescent="0.25">
      <c r="B20" s="1">
        <v>45153</v>
      </c>
      <c r="C20" s="31">
        <v>525</v>
      </c>
      <c r="D20" s="31">
        <v>0</v>
      </c>
      <c r="E20" s="31">
        <v>525</v>
      </c>
      <c r="F20" s="31">
        <v>1050</v>
      </c>
      <c r="G20" s="6" t="s">
        <v>170</v>
      </c>
      <c r="H20" s="6" t="s">
        <v>171</v>
      </c>
      <c r="I20" s="6" t="s">
        <v>172</v>
      </c>
      <c r="J20" s="6" t="s">
        <v>173</v>
      </c>
      <c r="K20" s="6">
        <v>45.132477000000002</v>
      </c>
      <c r="L20" s="6">
        <v>-96.797469000000007</v>
      </c>
      <c r="M20" s="6" t="s">
        <v>174</v>
      </c>
      <c r="N20" s="4">
        <v>20211007</v>
      </c>
      <c r="O20" t="s">
        <v>56</v>
      </c>
      <c r="P20" t="s">
        <v>57</v>
      </c>
      <c r="Q20" s="5">
        <v>340</v>
      </c>
      <c r="R20" s="1">
        <v>44713</v>
      </c>
      <c r="S20" s="1">
        <v>45154</v>
      </c>
      <c r="T20">
        <v>143</v>
      </c>
      <c r="V20">
        <v>163</v>
      </c>
      <c r="W20">
        <v>55</v>
      </c>
      <c r="X20">
        <v>38</v>
      </c>
      <c r="Y20" s="28"/>
      <c r="Z20">
        <v>2</v>
      </c>
    </row>
    <row r="21" spans="2:26" x14ac:dyDescent="0.25">
      <c r="B21" s="13">
        <v>45153</v>
      </c>
      <c r="C21" s="32">
        <v>6462</v>
      </c>
      <c r="D21" s="32">
        <v>0</v>
      </c>
      <c r="E21" s="32">
        <v>6462</v>
      </c>
      <c r="F21" s="32">
        <v>12924</v>
      </c>
      <c r="G21" s="8" t="s">
        <v>170</v>
      </c>
      <c r="H21" s="8" t="s">
        <v>171</v>
      </c>
      <c r="I21" s="8" t="s">
        <v>172</v>
      </c>
      <c r="J21" s="8" t="s">
        <v>173</v>
      </c>
      <c r="K21" s="8">
        <v>45.132477000000002</v>
      </c>
      <c r="L21" s="8">
        <v>-96.797469000000007</v>
      </c>
      <c r="M21" s="8" t="s">
        <v>174</v>
      </c>
      <c r="N21" s="10">
        <v>20211007</v>
      </c>
      <c r="O21" s="11" t="s">
        <v>132</v>
      </c>
      <c r="P21" s="11" t="s">
        <v>133</v>
      </c>
      <c r="Q21" s="12"/>
      <c r="R21" s="13">
        <v>44652</v>
      </c>
      <c r="S21" s="13">
        <v>44711</v>
      </c>
      <c r="T21" s="11">
        <v>0</v>
      </c>
      <c r="U21" s="11" t="s">
        <v>145</v>
      </c>
      <c r="V21" s="11">
        <v>198</v>
      </c>
      <c r="W21" s="11">
        <v>40</v>
      </c>
      <c r="X21" s="11">
        <v>26</v>
      </c>
      <c r="Y21" s="28"/>
      <c r="Z21">
        <v>2</v>
      </c>
    </row>
    <row r="22" spans="2:26" x14ac:dyDescent="0.25">
      <c r="B22" s="13">
        <v>44455</v>
      </c>
      <c r="C22" s="32">
        <v>0</v>
      </c>
      <c r="D22" s="32">
        <v>900.06</v>
      </c>
      <c r="E22" s="32">
        <v>756</v>
      </c>
      <c r="F22" s="32">
        <v>1656.06</v>
      </c>
      <c r="G22" s="30" t="s">
        <v>175</v>
      </c>
      <c r="H22" s="30" t="s">
        <v>176</v>
      </c>
      <c r="I22" s="30" t="s">
        <v>177</v>
      </c>
      <c r="J22" s="30" t="s">
        <v>178</v>
      </c>
      <c r="K22" s="30">
        <v>42.983561000000002</v>
      </c>
      <c r="L22" s="30">
        <v>-98.013389000000004</v>
      </c>
      <c r="M22" s="30" t="s">
        <v>179</v>
      </c>
      <c r="N22" s="25" t="s">
        <v>180</v>
      </c>
      <c r="O22" s="24" t="s">
        <v>56</v>
      </c>
      <c r="P22" s="24" t="s">
        <v>57</v>
      </c>
      <c r="Q22" s="26">
        <v>340</v>
      </c>
      <c r="R22" s="27">
        <v>44470</v>
      </c>
      <c r="S22" s="27">
        <v>44505</v>
      </c>
      <c r="T22" s="24">
        <v>0</v>
      </c>
      <c r="U22" s="24" t="s">
        <v>145</v>
      </c>
      <c r="V22" s="24">
        <v>405</v>
      </c>
      <c r="W22" s="24">
        <v>141</v>
      </c>
      <c r="X22" s="24">
        <v>103</v>
      </c>
      <c r="Y22" s="28"/>
      <c r="Z22">
        <v>2</v>
      </c>
    </row>
    <row r="23" spans="2:26" x14ac:dyDescent="0.25">
      <c r="B23" s="13">
        <v>44529</v>
      </c>
      <c r="C23" s="32">
        <v>0</v>
      </c>
      <c r="D23" s="32">
        <v>3304.8</v>
      </c>
      <c r="E23" s="32">
        <v>3060</v>
      </c>
      <c r="F23" s="32">
        <v>6364.8</v>
      </c>
      <c r="G23" s="30" t="s">
        <v>181</v>
      </c>
      <c r="H23" s="30" t="s">
        <v>182</v>
      </c>
      <c r="I23" s="30" t="s">
        <v>183</v>
      </c>
      <c r="J23" s="30" t="s">
        <v>139</v>
      </c>
      <c r="K23" s="30">
        <v>42.954563999999998</v>
      </c>
      <c r="L23" s="30">
        <v>-97.356232000000006</v>
      </c>
      <c r="M23" s="30" t="s">
        <v>137</v>
      </c>
      <c r="N23" s="25" t="s">
        <v>184</v>
      </c>
      <c r="O23" s="24" t="s">
        <v>56</v>
      </c>
      <c r="P23" s="24" t="s">
        <v>57</v>
      </c>
      <c r="Q23" s="26">
        <v>340</v>
      </c>
      <c r="R23" s="27">
        <v>44378</v>
      </c>
      <c r="S23" s="27">
        <v>44530</v>
      </c>
      <c r="T23" s="24">
        <v>0</v>
      </c>
      <c r="U23" s="24" t="s">
        <v>145</v>
      </c>
      <c r="V23" s="24">
        <v>1364</v>
      </c>
      <c r="W23" s="24">
        <v>463</v>
      </c>
      <c r="X23" s="24">
        <v>330</v>
      </c>
      <c r="Y23" s="28"/>
      <c r="Z23">
        <v>2</v>
      </c>
    </row>
    <row r="24" spans="2:26" x14ac:dyDescent="0.25">
      <c r="B24" s="13">
        <v>44850</v>
      </c>
      <c r="C24" s="32">
        <v>931</v>
      </c>
      <c r="D24" s="32">
        <v>0</v>
      </c>
      <c r="E24" s="32">
        <v>931</v>
      </c>
      <c r="F24" s="32">
        <v>1862</v>
      </c>
      <c r="G24" s="8" t="s">
        <v>185</v>
      </c>
      <c r="H24" s="8" t="s">
        <v>186</v>
      </c>
      <c r="I24" s="8" t="s">
        <v>187</v>
      </c>
      <c r="J24" s="8" t="s">
        <v>188</v>
      </c>
      <c r="K24" s="8">
        <v>43.916442000000004</v>
      </c>
      <c r="L24" s="8">
        <v>-97.696316999999993</v>
      </c>
      <c r="M24" s="8" t="s">
        <v>189</v>
      </c>
      <c r="N24" s="10" t="s">
        <v>190</v>
      </c>
      <c r="O24" s="11" t="s">
        <v>56</v>
      </c>
      <c r="P24" s="11" t="s">
        <v>57</v>
      </c>
      <c r="Q24" s="12">
        <v>340</v>
      </c>
      <c r="R24" s="13">
        <v>44753</v>
      </c>
      <c r="S24" s="13">
        <v>44850</v>
      </c>
      <c r="T24" s="11">
        <v>76</v>
      </c>
      <c r="U24" s="11"/>
      <c r="V24" s="11">
        <v>280</v>
      </c>
      <c r="W24" s="11">
        <v>83</v>
      </c>
      <c r="X24" s="11">
        <v>50</v>
      </c>
      <c r="Y24" s="28"/>
      <c r="Z24">
        <v>2</v>
      </c>
    </row>
    <row r="25" spans="2:26" x14ac:dyDescent="0.25">
      <c r="B25" s="13">
        <v>44850</v>
      </c>
      <c r="C25" s="32">
        <v>1653.75</v>
      </c>
      <c r="D25" s="32">
        <v>0</v>
      </c>
      <c r="E25" s="32">
        <v>1653.75</v>
      </c>
      <c r="F25" s="32">
        <v>3307.5</v>
      </c>
      <c r="G25" s="8" t="s">
        <v>185</v>
      </c>
      <c r="H25" s="8" t="s">
        <v>166</v>
      </c>
      <c r="I25" s="8" t="s">
        <v>187</v>
      </c>
      <c r="J25" s="8" t="s">
        <v>188</v>
      </c>
      <c r="K25" s="8">
        <v>43.874657999999997</v>
      </c>
      <c r="L25" s="8">
        <v>-97.632651999999993</v>
      </c>
      <c r="M25" s="8" t="s">
        <v>189</v>
      </c>
      <c r="N25" s="10" t="s">
        <v>191</v>
      </c>
      <c r="O25" s="11" t="s">
        <v>56</v>
      </c>
      <c r="P25" s="11" t="s">
        <v>57</v>
      </c>
      <c r="Q25" s="12">
        <v>340</v>
      </c>
      <c r="R25" s="13">
        <v>44805</v>
      </c>
      <c r="S25" s="13">
        <v>44873</v>
      </c>
      <c r="T25" s="11">
        <v>135</v>
      </c>
      <c r="U25" s="11"/>
      <c r="V25" s="11">
        <v>480</v>
      </c>
      <c r="W25" s="11">
        <v>141</v>
      </c>
      <c r="X25" s="11">
        <v>81</v>
      </c>
      <c r="Y25" s="28"/>
      <c r="Z25">
        <v>2</v>
      </c>
    </row>
    <row r="26" spans="2:26" x14ac:dyDescent="0.25">
      <c r="B26" s="13">
        <v>44860</v>
      </c>
      <c r="C26" s="32">
        <v>1678.25</v>
      </c>
      <c r="D26" s="32">
        <v>0</v>
      </c>
      <c r="E26" s="32">
        <v>1678.25</v>
      </c>
      <c r="F26" s="32">
        <v>3356.5</v>
      </c>
      <c r="G26" s="8" t="s">
        <v>185</v>
      </c>
      <c r="H26" s="8" t="s">
        <v>67</v>
      </c>
      <c r="I26" s="8" t="s">
        <v>187</v>
      </c>
      <c r="J26" s="8" t="s">
        <v>188</v>
      </c>
      <c r="K26" s="8">
        <v>43.859940999999999</v>
      </c>
      <c r="L26" s="8">
        <v>-97.615333000000007</v>
      </c>
      <c r="M26" s="8" t="s">
        <v>192</v>
      </c>
      <c r="N26" s="10" t="s">
        <v>193</v>
      </c>
      <c r="O26" s="11" t="s">
        <v>56</v>
      </c>
      <c r="P26" s="11" t="s">
        <v>57</v>
      </c>
      <c r="Q26" s="12">
        <v>340</v>
      </c>
      <c r="R26" s="13">
        <v>44743</v>
      </c>
      <c r="S26" s="13">
        <v>44867</v>
      </c>
      <c r="T26" s="11">
        <v>137</v>
      </c>
      <c r="U26" s="11"/>
      <c r="V26" s="11">
        <v>485</v>
      </c>
      <c r="W26" s="11">
        <v>142</v>
      </c>
      <c r="X26" s="11">
        <v>83</v>
      </c>
      <c r="Y26" s="28"/>
      <c r="Z26">
        <v>2</v>
      </c>
    </row>
    <row r="27" spans="2:26" x14ac:dyDescent="0.25">
      <c r="B27" s="13">
        <v>44945</v>
      </c>
      <c r="C27" s="32">
        <v>2155.4699999999998</v>
      </c>
      <c r="D27" s="32">
        <v>0</v>
      </c>
      <c r="E27" s="32">
        <v>2155.4699999999998</v>
      </c>
      <c r="F27" s="32">
        <v>4310.95</v>
      </c>
      <c r="G27" s="8" t="s">
        <v>194</v>
      </c>
      <c r="H27" s="8" t="s">
        <v>195</v>
      </c>
      <c r="I27" s="8" t="s">
        <v>196</v>
      </c>
      <c r="J27" s="8" t="s">
        <v>197</v>
      </c>
      <c r="K27" s="8">
        <v>43.311056000000001</v>
      </c>
      <c r="L27" s="8">
        <v>-97.175206000000003</v>
      </c>
      <c r="M27" s="8" t="s">
        <v>100</v>
      </c>
      <c r="N27" s="10">
        <v>2014</v>
      </c>
      <c r="O27" s="11" t="s">
        <v>56</v>
      </c>
      <c r="P27" s="11" t="s">
        <v>57</v>
      </c>
      <c r="Q27" s="12">
        <v>340</v>
      </c>
      <c r="R27" s="13">
        <v>44774</v>
      </c>
      <c r="S27" s="13">
        <v>44819</v>
      </c>
      <c r="T27" s="11">
        <v>115</v>
      </c>
      <c r="U27" s="11"/>
      <c r="V27" s="11">
        <v>547</v>
      </c>
      <c r="W27" s="11">
        <v>168</v>
      </c>
      <c r="X27" s="11">
        <v>105</v>
      </c>
      <c r="Y27" s="28"/>
      <c r="Z27">
        <v>2</v>
      </c>
    </row>
    <row r="28" spans="2:26" x14ac:dyDescent="0.25">
      <c r="B28" s="13">
        <v>44943</v>
      </c>
      <c r="C28" s="32">
        <v>4000</v>
      </c>
      <c r="D28" s="32">
        <v>0</v>
      </c>
      <c r="E28" s="32">
        <v>6400.25</v>
      </c>
      <c r="F28" s="32">
        <v>10400.25</v>
      </c>
      <c r="G28" s="8" t="s">
        <v>194</v>
      </c>
      <c r="H28" s="8" t="s">
        <v>198</v>
      </c>
      <c r="I28" s="8" t="s">
        <v>199</v>
      </c>
      <c r="J28" s="8" t="s">
        <v>200</v>
      </c>
      <c r="K28" s="8">
        <v>43.296892</v>
      </c>
      <c r="L28" s="8">
        <v>-97.107156000000003</v>
      </c>
      <c r="M28" s="8" t="s">
        <v>100</v>
      </c>
      <c r="N28" s="10">
        <v>2015</v>
      </c>
      <c r="O28" s="11" t="s">
        <v>56</v>
      </c>
      <c r="P28" s="11" t="s">
        <v>57</v>
      </c>
      <c r="Q28" s="12">
        <v>340</v>
      </c>
      <c r="R28" s="13">
        <v>44799</v>
      </c>
      <c r="S28" s="13">
        <v>44826</v>
      </c>
      <c r="T28" s="11">
        <v>297</v>
      </c>
      <c r="U28" s="11"/>
      <c r="V28" s="11">
        <v>1789</v>
      </c>
      <c r="W28" s="11">
        <v>579</v>
      </c>
      <c r="X28" s="11">
        <v>390</v>
      </c>
      <c r="Y28" s="28"/>
      <c r="Z28">
        <v>2</v>
      </c>
    </row>
    <row r="29" spans="2:26" x14ac:dyDescent="0.25">
      <c r="B29" s="13">
        <v>44823</v>
      </c>
      <c r="C29" s="32">
        <v>1761.14</v>
      </c>
      <c r="D29" s="32">
        <v>0</v>
      </c>
      <c r="E29" s="32">
        <v>1905</v>
      </c>
      <c r="F29" s="32">
        <v>3677.14</v>
      </c>
      <c r="G29" s="8" t="s">
        <v>194</v>
      </c>
      <c r="H29" s="8" t="s">
        <v>201</v>
      </c>
      <c r="I29" s="8" t="s">
        <v>202</v>
      </c>
      <c r="J29" s="8" t="s">
        <v>99</v>
      </c>
      <c r="K29" s="8">
        <v>43.348407999999999</v>
      </c>
      <c r="L29" s="8">
        <v>-97.343086999999997</v>
      </c>
      <c r="M29" s="8" t="s">
        <v>203</v>
      </c>
      <c r="N29" s="10">
        <v>2007</v>
      </c>
      <c r="O29" s="11" t="s">
        <v>56</v>
      </c>
      <c r="P29" s="11" t="s">
        <v>57</v>
      </c>
      <c r="Q29" s="12">
        <v>340</v>
      </c>
      <c r="R29" s="13">
        <v>44725</v>
      </c>
      <c r="S29" s="13">
        <v>44879</v>
      </c>
      <c r="T29" s="11">
        <v>127</v>
      </c>
      <c r="U29" s="11"/>
      <c r="V29" s="66">
        <v>500.9</v>
      </c>
      <c r="W29" s="66">
        <v>172.3</v>
      </c>
      <c r="X29" s="66">
        <v>124.8</v>
      </c>
      <c r="Y29" s="28"/>
      <c r="Z29">
        <v>2</v>
      </c>
    </row>
    <row r="30" spans="2:26" x14ac:dyDescent="0.25">
      <c r="B30" s="1">
        <v>44369</v>
      </c>
      <c r="C30" s="31">
        <v>5747.75</v>
      </c>
      <c r="D30" s="31">
        <v>0</v>
      </c>
      <c r="E30" s="31">
        <v>5058.0200000000004</v>
      </c>
      <c r="F30" s="31">
        <v>10805.77</v>
      </c>
      <c r="G30" s="6" t="s">
        <v>204</v>
      </c>
      <c r="H30" s="6" t="s">
        <v>205</v>
      </c>
      <c r="I30" s="6" t="s">
        <v>206</v>
      </c>
      <c r="J30" s="6" t="s">
        <v>207</v>
      </c>
      <c r="K30" s="6">
        <v>44.437491000000001</v>
      </c>
      <c r="L30" s="6">
        <v>-103.22508500000001</v>
      </c>
      <c r="M30" s="6" t="s">
        <v>208</v>
      </c>
      <c r="N30" s="4">
        <v>2021915</v>
      </c>
      <c r="O30" t="s">
        <v>56</v>
      </c>
      <c r="P30" t="s">
        <v>57</v>
      </c>
      <c r="Q30" s="5">
        <v>340</v>
      </c>
      <c r="R30" s="1">
        <v>44317</v>
      </c>
      <c r="S30" s="1">
        <v>44423</v>
      </c>
      <c r="T30">
        <v>230</v>
      </c>
      <c r="V30">
        <v>906</v>
      </c>
      <c r="W30">
        <v>314</v>
      </c>
      <c r="X30">
        <v>233</v>
      </c>
      <c r="Y30" s="28"/>
      <c r="Z30">
        <v>2</v>
      </c>
    </row>
    <row r="31" spans="2:26" x14ac:dyDescent="0.25">
      <c r="B31" s="27">
        <v>44433</v>
      </c>
      <c r="C31" s="33">
        <v>0</v>
      </c>
      <c r="D31" s="33">
        <v>1919.3</v>
      </c>
      <c r="E31" s="33">
        <v>3042</v>
      </c>
      <c r="F31" s="33">
        <v>4961.3</v>
      </c>
      <c r="G31" s="22" t="s">
        <v>209</v>
      </c>
      <c r="H31" s="22" t="s">
        <v>210</v>
      </c>
      <c r="I31" s="22" t="s">
        <v>211</v>
      </c>
      <c r="J31" s="22" t="s">
        <v>212</v>
      </c>
      <c r="K31" s="22">
        <v>42.971603999999999</v>
      </c>
      <c r="L31" s="22">
        <v>-97.326511999999994</v>
      </c>
      <c r="M31" s="22"/>
      <c r="N31" s="10" t="s">
        <v>213</v>
      </c>
      <c r="O31" s="11" t="s">
        <v>56</v>
      </c>
      <c r="P31" s="11" t="s">
        <v>57</v>
      </c>
      <c r="Q31" s="12">
        <v>340</v>
      </c>
      <c r="R31" s="13">
        <v>44470</v>
      </c>
      <c r="S31" s="13">
        <v>44498</v>
      </c>
      <c r="T31" s="11">
        <v>170</v>
      </c>
      <c r="U31" s="11"/>
      <c r="V31" s="11">
        <v>1243</v>
      </c>
      <c r="W31" s="11">
        <v>413</v>
      </c>
      <c r="X31" s="11">
        <v>293</v>
      </c>
      <c r="Y31" s="28"/>
      <c r="Z31">
        <v>2</v>
      </c>
    </row>
    <row r="32" spans="2:26" x14ac:dyDescent="0.25">
      <c r="B32" s="1">
        <v>44417</v>
      </c>
      <c r="C32" s="31">
        <v>0</v>
      </c>
      <c r="D32" s="31">
        <v>1750.56</v>
      </c>
      <c r="E32" s="31">
        <v>1167.04</v>
      </c>
      <c r="F32" s="31">
        <v>2917.6</v>
      </c>
      <c r="G32" s="6" t="s">
        <v>214</v>
      </c>
      <c r="H32" s="6"/>
      <c r="I32" s="6" t="s">
        <v>216</v>
      </c>
      <c r="J32" s="6" t="s">
        <v>217</v>
      </c>
      <c r="K32" s="6">
        <v>43.078023999999999</v>
      </c>
      <c r="L32" s="6">
        <v>-100.144284</v>
      </c>
      <c r="M32" s="6" t="s">
        <v>218</v>
      </c>
      <c r="N32" s="4">
        <v>2021003</v>
      </c>
      <c r="O32" t="s">
        <v>56</v>
      </c>
      <c r="P32" t="s">
        <v>57</v>
      </c>
      <c r="Q32" s="5">
        <v>340</v>
      </c>
      <c r="R32" s="1">
        <v>44287</v>
      </c>
      <c r="S32" s="1">
        <v>44417</v>
      </c>
      <c r="T32">
        <v>70</v>
      </c>
      <c r="V32">
        <v>636</v>
      </c>
      <c r="W32">
        <v>225</v>
      </c>
      <c r="X32">
        <v>167</v>
      </c>
      <c r="Y32" s="28"/>
      <c r="Z32">
        <v>2</v>
      </c>
    </row>
    <row r="33" spans="2:26" x14ac:dyDescent="0.25">
      <c r="B33" s="1">
        <v>44789</v>
      </c>
      <c r="C33" s="31">
        <v>1253.52</v>
      </c>
      <c r="D33" s="31">
        <v>0</v>
      </c>
      <c r="E33" s="31">
        <v>1901.64</v>
      </c>
      <c r="F33" s="31">
        <v>3155.16</v>
      </c>
      <c r="G33" s="6" t="s">
        <v>214</v>
      </c>
      <c r="H33" s="6" t="s">
        <v>215</v>
      </c>
      <c r="I33" s="6" t="s">
        <v>216</v>
      </c>
      <c r="J33" s="6" t="s">
        <v>217</v>
      </c>
      <c r="K33" s="6">
        <v>43.078023999999999</v>
      </c>
      <c r="L33" s="6">
        <v>-100.144284</v>
      </c>
      <c r="M33" s="6" t="s">
        <v>218</v>
      </c>
      <c r="N33" s="4" t="s">
        <v>219</v>
      </c>
      <c r="O33" t="s">
        <v>56</v>
      </c>
      <c r="P33" t="s">
        <v>57</v>
      </c>
      <c r="Q33" s="5">
        <v>340</v>
      </c>
      <c r="R33" s="1">
        <v>44762</v>
      </c>
      <c r="S33" s="1">
        <v>44932</v>
      </c>
      <c r="T33">
        <v>70</v>
      </c>
      <c r="V33">
        <v>590</v>
      </c>
      <c r="W33">
        <v>205</v>
      </c>
      <c r="X33">
        <v>153</v>
      </c>
      <c r="Y33" s="28"/>
      <c r="Z33">
        <v>2</v>
      </c>
    </row>
    <row r="34" spans="2:26" x14ac:dyDescent="0.25">
      <c r="B34" s="27">
        <v>45153</v>
      </c>
      <c r="C34" s="33">
        <v>1000</v>
      </c>
      <c r="D34" s="33">
        <v>0</v>
      </c>
      <c r="E34" s="33">
        <v>3958</v>
      </c>
      <c r="F34" s="33">
        <v>4958</v>
      </c>
      <c r="G34" s="30" t="s">
        <v>220</v>
      </c>
      <c r="H34" s="30" t="s">
        <v>205</v>
      </c>
      <c r="I34" s="30" t="s">
        <v>221</v>
      </c>
      <c r="J34" s="30" t="s">
        <v>222</v>
      </c>
      <c r="K34" s="30">
        <v>44.899106000000003</v>
      </c>
      <c r="L34" s="30">
        <v>-97.205034999999995</v>
      </c>
      <c r="M34" s="30" t="s">
        <v>223</v>
      </c>
      <c r="N34" s="25" t="s">
        <v>95</v>
      </c>
      <c r="O34" s="24" t="s">
        <v>132</v>
      </c>
      <c r="P34" s="24" t="s">
        <v>133</v>
      </c>
      <c r="Q34" s="26"/>
      <c r="R34" s="27">
        <v>44927</v>
      </c>
      <c r="S34" s="27">
        <v>45061</v>
      </c>
      <c r="T34" s="24">
        <v>10</v>
      </c>
      <c r="U34" s="24"/>
      <c r="V34" s="24">
        <v>65</v>
      </c>
      <c r="W34" s="24">
        <v>23</v>
      </c>
      <c r="X34" s="24">
        <v>17</v>
      </c>
      <c r="Y34" s="28"/>
      <c r="Z34">
        <v>2</v>
      </c>
    </row>
    <row r="35" spans="2:26" x14ac:dyDescent="0.25">
      <c r="B35" s="1">
        <v>44407</v>
      </c>
      <c r="C35" s="31">
        <v>0</v>
      </c>
      <c r="D35" s="31">
        <v>719.5</v>
      </c>
      <c r="E35" s="31">
        <v>1108.0999999999999</v>
      </c>
      <c r="F35" s="31">
        <v>1899.6</v>
      </c>
      <c r="G35" s="6" t="s">
        <v>224</v>
      </c>
      <c r="H35" s="6" t="s">
        <v>225</v>
      </c>
      <c r="I35" s="6" t="s">
        <v>226</v>
      </c>
      <c r="J35" s="6" t="s">
        <v>227</v>
      </c>
      <c r="K35" s="6">
        <v>43.866072000000003</v>
      </c>
      <c r="L35" s="6">
        <v>-96.759816999999998</v>
      </c>
      <c r="M35" s="6" t="s">
        <v>228</v>
      </c>
      <c r="N35" s="4">
        <v>2021002</v>
      </c>
      <c r="O35" t="s">
        <v>56</v>
      </c>
      <c r="P35" t="s">
        <v>57</v>
      </c>
      <c r="Q35" s="5">
        <v>340</v>
      </c>
      <c r="R35" s="1">
        <v>44348</v>
      </c>
      <c r="S35" s="1">
        <v>44439</v>
      </c>
      <c r="T35">
        <v>31.66</v>
      </c>
      <c r="V35">
        <v>196</v>
      </c>
      <c r="W35">
        <v>64</v>
      </c>
      <c r="X35">
        <v>11</v>
      </c>
      <c r="Y35" s="28"/>
      <c r="Z35">
        <v>2</v>
      </c>
    </row>
    <row r="36" spans="2:26" x14ac:dyDescent="0.25">
      <c r="B36" s="1">
        <v>44769</v>
      </c>
      <c r="C36" s="31">
        <v>0</v>
      </c>
      <c r="D36" s="31">
        <v>3596.87</v>
      </c>
      <c r="E36" s="31">
        <v>3596.87</v>
      </c>
      <c r="F36" s="31">
        <v>7193.74</v>
      </c>
      <c r="G36" s="6" t="s">
        <v>229</v>
      </c>
      <c r="H36" s="6" t="s">
        <v>230</v>
      </c>
      <c r="I36" s="6" t="s">
        <v>231</v>
      </c>
      <c r="J36" s="6" t="s">
        <v>232</v>
      </c>
      <c r="K36" s="6">
        <v>45.425331</v>
      </c>
      <c r="L36" s="6">
        <v>-98.027854000000005</v>
      </c>
      <c r="M36" s="6" t="s">
        <v>233</v>
      </c>
      <c r="N36" s="4">
        <v>2003</v>
      </c>
      <c r="O36" t="s">
        <v>56</v>
      </c>
      <c r="P36" t="s">
        <v>57</v>
      </c>
      <c r="Q36" s="5">
        <v>340</v>
      </c>
      <c r="R36" s="1">
        <v>44718</v>
      </c>
      <c r="S36" s="1">
        <v>44770</v>
      </c>
      <c r="T36">
        <v>157</v>
      </c>
      <c r="V36">
        <v>425.4</v>
      </c>
      <c r="W36">
        <v>120.3</v>
      </c>
      <c r="X36">
        <v>65.8</v>
      </c>
      <c r="Y36" s="28"/>
      <c r="Z36">
        <v>2</v>
      </c>
    </row>
    <row r="37" spans="2:26" x14ac:dyDescent="0.25">
      <c r="B37" s="13">
        <v>44849</v>
      </c>
      <c r="C37" s="32">
        <v>3622.8</v>
      </c>
      <c r="D37" s="32">
        <v>0</v>
      </c>
      <c r="E37" s="32">
        <v>4226.6000000000004</v>
      </c>
      <c r="F37" s="32">
        <v>7849.4</v>
      </c>
      <c r="G37" s="8" t="s">
        <v>234</v>
      </c>
      <c r="H37" s="8" t="s">
        <v>122</v>
      </c>
      <c r="I37" s="8" t="s">
        <v>235</v>
      </c>
      <c r="J37" s="8" t="s">
        <v>99</v>
      </c>
      <c r="K37" s="8">
        <v>43.410054000000002</v>
      </c>
      <c r="L37" s="8">
        <v>-97.545253000000002</v>
      </c>
      <c r="M37" s="8" t="s">
        <v>192</v>
      </c>
      <c r="N37" s="10" t="s">
        <v>236</v>
      </c>
      <c r="O37" s="11" t="s">
        <v>56</v>
      </c>
      <c r="P37" s="11" t="s">
        <v>57</v>
      </c>
      <c r="Q37" s="12">
        <v>340</v>
      </c>
      <c r="R37" s="13">
        <v>44682</v>
      </c>
      <c r="S37" s="13">
        <v>44848</v>
      </c>
      <c r="T37" s="11">
        <v>261</v>
      </c>
      <c r="U37" s="11"/>
      <c r="V37" s="11">
        <v>1009</v>
      </c>
      <c r="W37" s="11">
        <v>296</v>
      </c>
      <c r="X37" s="11">
        <v>172</v>
      </c>
      <c r="Y37" s="28"/>
      <c r="Z37">
        <v>2</v>
      </c>
    </row>
    <row r="38" spans="2:26" x14ac:dyDescent="0.25">
      <c r="B38" s="13">
        <v>45153</v>
      </c>
      <c r="C38" s="32">
        <v>1000</v>
      </c>
      <c r="D38" s="32">
        <v>0</v>
      </c>
      <c r="E38" s="32">
        <v>1000</v>
      </c>
      <c r="F38" s="32">
        <v>2000</v>
      </c>
      <c r="G38" s="8" t="s">
        <v>237</v>
      </c>
      <c r="H38" s="8" t="s">
        <v>92</v>
      </c>
      <c r="I38" s="8" t="s">
        <v>238</v>
      </c>
      <c r="J38" s="8" t="s">
        <v>239</v>
      </c>
      <c r="K38" s="8">
        <v>43.468524000000002</v>
      </c>
      <c r="L38" s="8">
        <v>-98.023386000000002</v>
      </c>
      <c r="M38" s="8" t="s">
        <v>64</v>
      </c>
      <c r="N38" s="10" t="s">
        <v>240</v>
      </c>
      <c r="O38" s="11" t="s">
        <v>56</v>
      </c>
      <c r="P38" s="11" t="s">
        <v>57</v>
      </c>
      <c r="Q38" s="12">
        <v>340</v>
      </c>
      <c r="R38" s="13">
        <v>45047</v>
      </c>
      <c r="S38" s="13">
        <v>45168</v>
      </c>
      <c r="T38" s="11">
        <v>40</v>
      </c>
      <c r="U38" s="11"/>
      <c r="V38" s="11">
        <v>195</v>
      </c>
      <c r="W38" s="11">
        <v>64</v>
      </c>
      <c r="X38" s="11">
        <v>43</v>
      </c>
      <c r="Y38" s="28"/>
      <c r="Z38">
        <v>2</v>
      </c>
    </row>
    <row r="39" spans="2:26" x14ac:dyDescent="0.25">
      <c r="B39" s="1">
        <v>44417</v>
      </c>
      <c r="C39" s="31">
        <v>0</v>
      </c>
      <c r="D39" s="31">
        <v>1060</v>
      </c>
      <c r="E39" s="31">
        <v>1060</v>
      </c>
      <c r="F39" s="31">
        <v>2120</v>
      </c>
      <c r="G39" s="6" t="s">
        <v>237</v>
      </c>
      <c r="H39" s="6" t="s">
        <v>241</v>
      </c>
      <c r="I39" s="6" t="s">
        <v>242</v>
      </c>
      <c r="J39" s="6" t="s">
        <v>239</v>
      </c>
      <c r="K39" s="6">
        <v>43.469451999999997</v>
      </c>
      <c r="L39" s="6">
        <v>-98.025881999999996</v>
      </c>
      <c r="M39" s="6" t="s">
        <v>64</v>
      </c>
      <c r="N39" s="4">
        <v>2021014</v>
      </c>
      <c r="O39" t="s">
        <v>56</v>
      </c>
      <c r="P39" t="s">
        <v>57</v>
      </c>
      <c r="Q39" s="5">
        <v>340</v>
      </c>
      <c r="R39" s="1">
        <v>44417</v>
      </c>
      <c r="S39" s="1">
        <v>44550</v>
      </c>
      <c r="T39">
        <v>100</v>
      </c>
      <c r="V39">
        <v>323</v>
      </c>
      <c r="W39">
        <v>107</v>
      </c>
      <c r="X39">
        <v>74</v>
      </c>
      <c r="Y39" s="28"/>
      <c r="Z39">
        <v>2</v>
      </c>
    </row>
    <row r="40" spans="2:26" x14ac:dyDescent="0.25">
      <c r="B40" s="13">
        <v>44706</v>
      </c>
      <c r="C40" s="32">
        <v>1751.2</v>
      </c>
      <c r="D40" s="32">
        <v>0</v>
      </c>
      <c r="E40" s="32">
        <v>1751.2</v>
      </c>
      <c r="F40" s="32">
        <v>3502.4</v>
      </c>
      <c r="G40" s="8" t="s">
        <v>237</v>
      </c>
      <c r="H40" s="8" t="s">
        <v>241</v>
      </c>
      <c r="I40" s="8" t="s">
        <v>242</v>
      </c>
      <c r="J40" s="8" t="s">
        <v>239</v>
      </c>
      <c r="K40" s="8">
        <v>43.469451999999997</v>
      </c>
      <c r="L40" s="8">
        <v>-98.025881999999996</v>
      </c>
      <c r="M40" s="8" t="s">
        <v>64</v>
      </c>
      <c r="N40" s="10">
        <v>202201</v>
      </c>
      <c r="O40" s="11" t="s">
        <v>56</v>
      </c>
      <c r="P40" s="11" t="s">
        <v>57</v>
      </c>
      <c r="Q40" s="12">
        <v>340</v>
      </c>
      <c r="R40" s="13">
        <v>44774</v>
      </c>
      <c r="S40" s="13">
        <v>44805</v>
      </c>
      <c r="T40" s="11">
        <v>100</v>
      </c>
      <c r="U40" s="11"/>
      <c r="V40" s="11">
        <v>446</v>
      </c>
      <c r="W40" s="11">
        <v>147</v>
      </c>
      <c r="X40" s="11">
        <v>101</v>
      </c>
      <c r="Y40" s="28"/>
      <c r="Z40">
        <v>2</v>
      </c>
    </row>
    <row r="41" spans="2:26" x14ac:dyDescent="0.25">
      <c r="B41" s="1">
        <v>44850</v>
      </c>
      <c r="C41" s="31">
        <v>1939.2</v>
      </c>
      <c r="D41" s="31">
        <v>0</v>
      </c>
      <c r="E41" s="31">
        <v>3181.2</v>
      </c>
      <c r="F41" s="31">
        <v>5120.3999999999996</v>
      </c>
      <c r="G41" s="6" t="s">
        <v>243</v>
      </c>
      <c r="H41" s="6" t="s">
        <v>244</v>
      </c>
      <c r="I41" s="6" t="s">
        <v>245</v>
      </c>
      <c r="J41" s="6" t="s">
        <v>52</v>
      </c>
      <c r="K41" s="6">
        <v>44.482517999999999</v>
      </c>
      <c r="L41" s="6">
        <v>-97.967359000000002</v>
      </c>
      <c r="M41" s="6" t="s">
        <v>246</v>
      </c>
      <c r="N41" s="4" t="s">
        <v>247</v>
      </c>
      <c r="O41" t="s">
        <v>56</v>
      </c>
      <c r="P41" t="s">
        <v>57</v>
      </c>
      <c r="Q41" s="5">
        <v>340</v>
      </c>
      <c r="R41" s="1">
        <v>44760</v>
      </c>
      <c r="S41" s="1">
        <v>44879</v>
      </c>
      <c r="T41">
        <v>202</v>
      </c>
      <c r="V41">
        <v>496</v>
      </c>
      <c r="W41">
        <v>138</v>
      </c>
      <c r="X41">
        <v>79</v>
      </c>
      <c r="Y41" s="28"/>
      <c r="Z41">
        <v>2</v>
      </c>
    </row>
    <row r="42" spans="2:26" x14ac:dyDescent="0.25">
      <c r="B42" s="13">
        <v>45089</v>
      </c>
      <c r="C42" s="32">
        <v>4000</v>
      </c>
      <c r="D42" s="32">
        <v>0</v>
      </c>
      <c r="E42" s="32">
        <v>7219.08</v>
      </c>
      <c r="F42" s="32">
        <v>11219.08</v>
      </c>
      <c r="G42" s="8" t="s">
        <v>243</v>
      </c>
      <c r="H42" s="8" t="s">
        <v>244</v>
      </c>
      <c r="I42" s="8" t="s">
        <v>245</v>
      </c>
      <c r="J42" s="8" t="s">
        <v>52</v>
      </c>
      <c r="K42" s="8">
        <v>44.482517999999999</v>
      </c>
      <c r="L42" s="8">
        <v>-97.967359000000002</v>
      </c>
      <c r="M42" s="8" t="s">
        <v>246</v>
      </c>
      <c r="N42" s="10" t="s">
        <v>162</v>
      </c>
      <c r="O42" s="66" t="s">
        <v>56</v>
      </c>
      <c r="P42" s="66" t="s">
        <v>57</v>
      </c>
      <c r="Q42" s="12">
        <v>329</v>
      </c>
      <c r="R42" s="13">
        <v>45124</v>
      </c>
      <c r="S42" s="13">
        <v>45143</v>
      </c>
      <c r="T42" s="11">
        <v>202</v>
      </c>
      <c r="U42" s="11"/>
      <c r="V42" s="11">
        <v>539</v>
      </c>
      <c r="W42" s="11">
        <v>148</v>
      </c>
      <c r="X42" s="11">
        <v>77</v>
      </c>
      <c r="Y42" s="28"/>
      <c r="Z42">
        <v>2</v>
      </c>
    </row>
    <row r="43" spans="2:26" x14ac:dyDescent="0.25">
      <c r="B43" s="1">
        <v>44764</v>
      </c>
      <c r="C43" s="31">
        <v>0</v>
      </c>
      <c r="D43" s="31">
        <v>331</v>
      </c>
      <c r="E43" s="31">
        <v>268.2</v>
      </c>
      <c r="F43" s="31">
        <v>599.20000000000005</v>
      </c>
      <c r="G43" s="6" t="s">
        <v>248</v>
      </c>
      <c r="H43" s="6" t="s">
        <v>50</v>
      </c>
      <c r="I43" s="6" t="s">
        <v>249</v>
      </c>
      <c r="J43" s="6" t="s">
        <v>250</v>
      </c>
      <c r="K43" s="6">
        <v>43.163657999999998</v>
      </c>
      <c r="L43" s="6">
        <v>-97.874202999999994</v>
      </c>
      <c r="M43" s="6" t="s">
        <v>64</v>
      </c>
      <c r="N43" s="4" t="s">
        <v>251</v>
      </c>
      <c r="O43" t="s">
        <v>56</v>
      </c>
      <c r="P43" t="s">
        <v>57</v>
      </c>
      <c r="Q43" s="5">
        <v>340</v>
      </c>
      <c r="R43" s="1">
        <v>44655</v>
      </c>
      <c r="S43" s="1">
        <v>44795</v>
      </c>
      <c r="T43">
        <v>15</v>
      </c>
      <c r="V43">
        <v>163</v>
      </c>
      <c r="W43">
        <v>56</v>
      </c>
      <c r="X43">
        <v>41</v>
      </c>
      <c r="Y43" s="28"/>
      <c r="Z43">
        <v>2</v>
      </c>
    </row>
    <row r="44" spans="2:26" x14ac:dyDescent="0.25">
      <c r="B44" s="1">
        <v>44687</v>
      </c>
      <c r="C44" s="31">
        <v>0</v>
      </c>
      <c r="D44" s="31">
        <v>134</v>
      </c>
      <c r="E44" s="31">
        <v>259</v>
      </c>
      <c r="F44" s="31">
        <v>393</v>
      </c>
      <c r="G44" s="6" t="s">
        <v>248</v>
      </c>
      <c r="H44" s="6" t="s">
        <v>50</v>
      </c>
      <c r="I44" s="6" t="s">
        <v>249</v>
      </c>
      <c r="J44" s="6" t="s">
        <v>250</v>
      </c>
      <c r="K44" s="6">
        <v>43.163657999999998</v>
      </c>
      <c r="L44" s="6">
        <v>-97.874202999999994</v>
      </c>
      <c r="M44" s="6" t="s">
        <v>64</v>
      </c>
      <c r="N44" s="4" t="s">
        <v>251</v>
      </c>
      <c r="O44" t="s">
        <v>132</v>
      </c>
      <c r="P44" t="s">
        <v>133</v>
      </c>
      <c r="Q44" s="5"/>
      <c r="R44" s="1">
        <v>44655</v>
      </c>
      <c r="S44" s="1">
        <v>44713</v>
      </c>
      <c r="T44">
        <v>5</v>
      </c>
      <c r="Y44" s="28"/>
      <c r="Z44">
        <v>2</v>
      </c>
    </row>
    <row r="45" spans="2:26" x14ac:dyDescent="0.25">
      <c r="B45" s="1">
        <v>45061</v>
      </c>
      <c r="C45" s="31">
        <v>2985.58</v>
      </c>
      <c r="D45" s="31">
        <v>0</v>
      </c>
      <c r="E45" s="31">
        <v>1990.38</v>
      </c>
      <c r="F45" s="31">
        <v>4975.96</v>
      </c>
      <c r="G45" s="6" t="s">
        <v>248</v>
      </c>
      <c r="H45" s="6" t="s">
        <v>50</v>
      </c>
      <c r="I45" s="6" t="s">
        <v>249</v>
      </c>
      <c r="J45" s="6" t="s">
        <v>250</v>
      </c>
      <c r="K45" s="6">
        <v>43.163657999999998</v>
      </c>
      <c r="L45" s="6">
        <v>-97.874202999999994</v>
      </c>
      <c r="M45" s="6" t="s">
        <v>64</v>
      </c>
      <c r="N45" s="4" t="s">
        <v>252</v>
      </c>
      <c r="O45" t="s">
        <v>132</v>
      </c>
      <c r="P45" t="s">
        <v>133</v>
      </c>
      <c r="Q45" s="5"/>
      <c r="R45" s="1">
        <v>45017</v>
      </c>
      <c r="S45" s="1">
        <v>45077</v>
      </c>
      <c r="T45">
        <v>40</v>
      </c>
      <c r="V45">
        <v>225</v>
      </c>
      <c r="W45">
        <v>77</v>
      </c>
      <c r="X45">
        <v>56</v>
      </c>
      <c r="Y45" s="28"/>
      <c r="Z45">
        <v>2</v>
      </c>
    </row>
    <row r="46" spans="2:26" x14ac:dyDescent="0.25">
      <c r="B46" s="13">
        <v>45519</v>
      </c>
      <c r="C46" s="32">
        <v>2100</v>
      </c>
      <c r="D46" s="32"/>
      <c r="E46" s="32">
        <v>2567.88</v>
      </c>
      <c r="F46" s="32">
        <v>4667.88</v>
      </c>
      <c r="G46" s="8" t="s">
        <v>248</v>
      </c>
      <c r="H46" s="8" t="s">
        <v>50</v>
      </c>
      <c r="I46" s="8" t="s">
        <v>249</v>
      </c>
      <c r="J46" s="8" t="s">
        <v>250</v>
      </c>
      <c r="K46" s="8">
        <v>43.157899</v>
      </c>
      <c r="L46" s="8">
        <v>-97.895435000000006</v>
      </c>
      <c r="M46" s="8" t="s">
        <v>64</v>
      </c>
      <c r="N46" s="10" t="s">
        <v>253</v>
      </c>
      <c r="O46" s="11" t="s">
        <v>56</v>
      </c>
      <c r="P46" s="11" t="s">
        <v>57</v>
      </c>
      <c r="Q46" s="12">
        <v>340</v>
      </c>
      <c r="R46" s="13">
        <v>45433</v>
      </c>
      <c r="S46" s="13">
        <v>45600</v>
      </c>
      <c r="T46">
        <v>84</v>
      </c>
      <c r="U46" s="11"/>
      <c r="V46" s="11">
        <v>756</v>
      </c>
      <c r="W46" s="11">
        <v>260</v>
      </c>
      <c r="X46" s="11">
        <v>189</v>
      </c>
      <c r="Y46" s="28"/>
      <c r="Z46">
        <v>3</v>
      </c>
    </row>
    <row r="47" spans="2:26" x14ac:dyDescent="0.25">
      <c r="B47" s="13">
        <v>44743</v>
      </c>
      <c r="C47" s="32">
        <v>421.04</v>
      </c>
      <c r="D47" s="32">
        <v>0</v>
      </c>
      <c r="E47" s="32">
        <v>421.04</v>
      </c>
      <c r="F47" s="32">
        <v>842.08</v>
      </c>
      <c r="G47" s="8" t="s">
        <v>254</v>
      </c>
      <c r="H47" s="8" t="s">
        <v>255</v>
      </c>
      <c r="I47" s="8" t="s">
        <v>256</v>
      </c>
      <c r="J47" s="8" t="s">
        <v>257</v>
      </c>
      <c r="K47" s="8">
        <v>43.980998999999997</v>
      </c>
      <c r="L47" s="8">
        <v>-96.686104999999998</v>
      </c>
      <c r="M47" s="8" t="s">
        <v>258</v>
      </c>
      <c r="N47" s="10" t="s">
        <v>259</v>
      </c>
      <c r="O47" s="11" t="s">
        <v>56</v>
      </c>
      <c r="P47" s="11" t="s">
        <v>57</v>
      </c>
      <c r="Q47" s="12">
        <v>340</v>
      </c>
      <c r="R47" s="13">
        <v>44713</v>
      </c>
      <c r="S47" s="13">
        <v>44858</v>
      </c>
      <c r="T47">
        <v>15</v>
      </c>
      <c r="U47" s="11"/>
      <c r="V47" s="11">
        <v>170</v>
      </c>
      <c r="W47" s="11">
        <v>54</v>
      </c>
      <c r="X47" s="11">
        <v>37</v>
      </c>
      <c r="Y47" s="28"/>
      <c r="Z47">
        <v>2</v>
      </c>
    </row>
    <row r="48" spans="2:26" x14ac:dyDescent="0.25">
      <c r="B48" s="13">
        <v>44814</v>
      </c>
      <c r="C48" s="32">
        <v>1700</v>
      </c>
      <c r="D48" s="32">
        <v>0</v>
      </c>
      <c r="E48" s="32">
        <v>2880</v>
      </c>
      <c r="F48" s="32">
        <v>4580</v>
      </c>
      <c r="G48" s="8" t="s">
        <v>260</v>
      </c>
      <c r="H48" s="8" t="s">
        <v>261</v>
      </c>
      <c r="I48" s="8" t="s">
        <v>262</v>
      </c>
      <c r="J48" s="8" t="s">
        <v>263</v>
      </c>
      <c r="K48" s="8">
        <v>44.042935</v>
      </c>
      <c r="L48" s="8">
        <v>-97.576173999999995</v>
      </c>
      <c r="M48" s="8" t="s">
        <v>189</v>
      </c>
      <c r="N48" s="10" t="s">
        <v>264</v>
      </c>
      <c r="O48" s="11" t="s">
        <v>56</v>
      </c>
      <c r="P48" s="11" t="s">
        <v>57</v>
      </c>
      <c r="Q48" s="12">
        <v>340</v>
      </c>
      <c r="R48" s="13">
        <v>44759</v>
      </c>
      <c r="S48" s="13">
        <v>44867</v>
      </c>
      <c r="T48" s="11">
        <v>160</v>
      </c>
      <c r="U48" s="11"/>
      <c r="V48" s="11">
        <v>524</v>
      </c>
      <c r="W48" s="11">
        <v>147</v>
      </c>
      <c r="X48" s="11">
        <v>85</v>
      </c>
      <c r="Y48" s="28"/>
      <c r="Z48">
        <v>2</v>
      </c>
    </row>
    <row r="49" spans="2:26" x14ac:dyDescent="0.25">
      <c r="B49" s="1">
        <v>44777</v>
      </c>
      <c r="C49" s="31">
        <v>3080</v>
      </c>
      <c r="D49" s="31">
        <v>0</v>
      </c>
      <c r="E49" s="31">
        <v>3080</v>
      </c>
      <c r="F49" s="31">
        <v>6160</v>
      </c>
      <c r="G49" s="6" t="s">
        <v>265</v>
      </c>
      <c r="H49" s="6" t="s">
        <v>266</v>
      </c>
      <c r="I49" s="6" t="s">
        <v>267</v>
      </c>
      <c r="J49" s="6" t="s">
        <v>268</v>
      </c>
      <c r="K49" s="6">
        <v>43.289501999999999</v>
      </c>
      <c r="L49" s="6">
        <v>-98.992805000000004</v>
      </c>
      <c r="M49" s="6" t="s">
        <v>269</v>
      </c>
      <c r="N49" s="4" t="s">
        <v>270</v>
      </c>
      <c r="O49" t="s">
        <v>56</v>
      </c>
      <c r="P49" t="s">
        <v>57</v>
      </c>
      <c r="Q49" s="5">
        <v>340</v>
      </c>
      <c r="R49" s="1">
        <v>44753</v>
      </c>
      <c r="S49" s="1">
        <v>44928</v>
      </c>
      <c r="T49">
        <v>160</v>
      </c>
      <c r="V49">
        <v>1270</v>
      </c>
      <c r="W49">
        <v>413</v>
      </c>
      <c r="X49">
        <v>287</v>
      </c>
      <c r="Y49" s="28"/>
      <c r="Z49">
        <v>2</v>
      </c>
    </row>
    <row r="50" spans="2:26" x14ac:dyDescent="0.25">
      <c r="B50" s="1">
        <v>44397</v>
      </c>
      <c r="C50" s="31">
        <v>0</v>
      </c>
      <c r="D50" s="31">
        <v>3060</v>
      </c>
      <c r="E50" s="31">
        <v>13132.12</v>
      </c>
      <c r="F50" s="31">
        <v>16192.12</v>
      </c>
      <c r="G50" s="6" t="s">
        <v>271</v>
      </c>
      <c r="H50" s="6" t="s">
        <v>272</v>
      </c>
      <c r="I50" s="6" t="s">
        <v>273</v>
      </c>
      <c r="J50" s="6" t="s">
        <v>274</v>
      </c>
      <c r="K50" s="6">
        <v>45.244373000000003</v>
      </c>
      <c r="L50" s="6">
        <v>-96.858258000000006</v>
      </c>
      <c r="M50" s="6" t="s">
        <v>275</v>
      </c>
      <c r="N50" s="4">
        <v>2021003</v>
      </c>
      <c r="O50" t="s">
        <v>56</v>
      </c>
      <c r="P50" t="s">
        <v>57</v>
      </c>
      <c r="Q50" s="5">
        <v>340</v>
      </c>
      <c r="R50" s="1">
        <v>44378</v>
      </c>
      <c r="S50" s="1">
        <v>44392</v>
      </c>
      <c r="T50">
        <v>255</v>
      </c>
      <c r="V50">
        <v>966</v>
      </c>
      <c r="W50">
        <v>282</v>
      </c>
      <c r="X50">
        <v>211</v>
      </c>
      <c r="Y50" s="28"/>
      <c r="Z50">
        <v>2</v>
      </c>
    </row>
    <row r="51" spans="2:26" x14ac:dyDescent="0.25">
      <c r="B51" s="13">
        <v>45689</v>
      </c>
      <c r="C51" s="32">
        <v>4800</v>
      </c>
      <c r="D51" s="32"/>
      <c r="E51" s="32">
        <v>10444.99</v>
      </c>
      <c r="F51" s="32">
        <v>15244.99</v>
      </c>
      <c r="G51" s="8" t="s">
        <v>271</v>
      </c>
      <c r="H51" s="8" t="s">
        <v>272</v>
      </c>
      <c r="I51" s="8" t="s">
        <v>273</v>
      </c>
      <c r="J51" s="8" t="s">
        <v>274</v>
      </c>
      <c r="K51" s="8">
        <v>45.242403000000003</v>
      </c>
      <c r="L51" s="8">
        <v>-96.899850999999998</v>
      </c>
      <c r="M51" s="8" t="s">
        <v>275</v>
      </c>
      <c r="N51" s="10">
        <v>202401</v>
      </c>
      <c r="O51" s="11" t="s">
        <v>56</v>
      </c>
      <c r="P51" s="11" t="s">
        <v>57</v>
      </c>
      <c r="Q51" s="12">
        <v>340</v>
      </c>
      <c r="R51" s="13">
        <v>45809</v>
      </c>
      <c r="S51" s="13">
        <v>45809</v>
      </c>
      <c r="T51" s="11">
        <v>160</v>
      </c>
      <c r="U51" s="66" t="s">
        <v>277</v>
      </c>
      <c r="V51" s="11" t="s">
        <v>145</v>
      </c>
      <c r="W51" s="11" t="s">
        <v>145</v>
      </c>
      <c r="X51" s="11" t="s">
        <v>145</v>
      </c>
      <c r="Y51" s="28"/>
      <c r="Z51">
        <v>3</v>
      </c>
    </row>
    <row r="52" spans="2:26" x14ac:dyDescent="0.25">
      <c r="B52" s="1">
        <v>44440</v>
      </c>
      <c r="C52" s="31">
        <v>2750</v>
      </c>
      <c r="D52" s="31">
        <v>0</v>
      </c>
      <c r="E52" s="31">
        <v>1980</v>
      </c>
      <c r="F52" s="31">
        <v>4730</v>
      </c>
      <c r="G52" s="6" t="s">
        <v>278</v>
      </c>
      <c r="H52" s="6" t="s">
        <v>279</v>
      </c>
      <c r="I52" s="6" t="s">
        <v>280</v>
      </c>
      <c r="J52" s="6" t="s">
        <v>80</v>
      </c>
      <c r="K52" s="6">
        <v>43.737093000000002</v>
      </c>
      <c r="L52" s="6">
        <v>-96.603538</v>
      </c>
      <c r="M52" s="6" t="s">
        <v>281</v>
      </c>
      <c r="N52" s="4" t="s">
        <v>282</v>
      </c>
      <c r="O52" t="s">
        <v>56</v>
      </c>
      <c r="P52" t="s">
        <v>57</v>
      </c>
      <c r="Q52" s="5">
        <v>340</v>
      </c>
      <c r="R52" s="1">
        <v>44291</v>
      </c>
      <c r="S52" s="1">
        <v>44493</v>
      </c>
      <c r="T52">
        <v>110</v>
      </c>
      <c r="V52">
        <v>813</v>
      </c>
      <c r="W52">
        <v>282</v>
      </c>
      <c r="X52">
        <v>209</v>
      </c>
      <c r="Y52" s="28"/>
      <c r="Z52">
        <v>2</v>
      </c>
    </row>
    <row r="53" spans="2:26" x14ac:dyDescent="0.25">
      <c r="B53" s="13">
        <v>44802</v>
      </c>
      <c r="C53" s="32">
        <v>0</v>
      </c>
      <c r="D53" s="32">
        <v>999.38</v>
      </c>
      <c r="E53" s="32">
        <v>999.38</v>
      </c>
      <c r="F53" s="32">
        <v>1998.76</v>
      </c>
      <c r="G53" s="8" t="s">
        <v>284</v>
      </c>
      <c r="H53" s="8" t="s">
        <v>285</v>
      </c>
      <c r="I53" s="8" t="s">
        <v>286</v>
      </c>
      <c r="J53" s="8" t="s">
        <v>69</v>
      </c>
      <c r="K53" s="8">
        <v>43.903872999999997</v>
      </c>
      <c r="L53" s="8">
        <v>-97.753050999999999</v>
      </c>
      <c r="M53" s="8" t="s">
        <v>189</v>
      </c>
      <c r="N53" s="10" t="s">
        <v>287</v>
      </c>
      <c r="O53" s="11" t="s">
        <v>56</v>
      </c>
      <c r="P53" s="11" t="s">
        <v>57</v>
      </c>
      <c r="Q53" s="12">
        <v>340</v>
      </c>
      <c r="R53" s="13">
        <v>44655</v>
      </c>
      <c r="S53" s="13">
        <v>44837</v>
      </c>
      <c r="T53" s="11">
        <v>80</v>
      </c>
      <c r="U53" s="11"/>
      <c r="V53" s="11">
        <v>258</v>
      </c>
      <c r="W53" s="11">
        <v>74</v>
      </c>
      <c r="X53" s="11">
        <v>43</v>
      </c>
      <c r="Y53" s="28"/>
      <c r="Z53">
        <v>2</v>
      </c>
    </row>
    <row r="54" spans="2:26" x14ac:dyDescent="0.25">
      <c r="B54" s="13">
        <v>45153</v>
      </c>
      <c r="C54" s="32">
        <v>368</v>
      </c>
      <c r="D54" s="32">
        <v>0</v>
      </c>
      <c r="E54" s="32">
        <v>368</v>
      </c>
      <c r="F54" s="32">
        <v>736</v>
      </c>
      <c r="G54" s="8" t="s">
        <v>288</v>
      </c>
      <c r="H54" s="8" t="s">
        <v>289</v>
      </c>
      <c r="I54" s="8" t="s">
        <v>290</v>
      </c>
      <c r="J54" s="8" t="s">
        <v>291</v>
      </c>
      <c r="K54" s="8">
        <v>44.593342</v>
      </c>
      <c r="L54" s="8">
        <v>-97.234306000000004</v>
      </c>
      <c r="M54" s="8" t="s">
        <v>128</v>
      </c>
      <c r="N54" s="10" t="s">
        <v>292</v>
      </c>
      <c r="O54" s="11" t="s">
        <v>56</v>
      </c>
      <c r="P54" s="11" t="s">
        <v>57</v>
      </c>
      <c r="Q54" s="12">
        <v>340</v>
      </c>
      <c r="R54" s="13">
        <v>45047</v>
      </c>
      <c r="S54" s="13">
        <v>45168</v>
      </c>
      <c r="T54" s="11">
        <v>14</v>
      </c>
      <c r="U54" s="11"/>
      <c r="V54" s="11">
        <v>65</v>
      </c>
      <c r="W54" s="11">
        <v>22</v>
      </c>
      <c r="X54" s="11">
        <v>16</v>
      </c>
      <c r="Y54" s="28"/>
      <c r="Z54">
        <v>2</v>
      </c>
    </row>
    <row r="55" spans="2:26" x14ac:dyDescent="0.25">
      <c r="B55" s="13">
        <v>44377</v>
      </c>
      <c r="C55" s="32">
        <v>0</v>
      </c>
      <c r="D55" s="32">
        <v>510.75</v>
      </c>
      <c r="E55" s="32">
        <v>512.58000000000004</v>
      </c>
      <c r="F55" s="32">
        <v>1023.33</v>
      </c>
      <c r="G55" s="8" t="s">
        <v>293</v>
      </c>
      <c r="H55" s="8" t="s">
        <v>294</v>
      </c>
      <c r="I55" s="8" t="s">
        <v>295</v>
      </c>
      <c r="J55" s="8" t="s">
        <v>222</v>
      </c>
      <c r="K55" s="8">
        <v>44.897343999999997</v>
      </c>
      <c r="L55" s="8">
        <v>-97.198954999999998</v>
      </c>
      <c r="M55" s="8" t="s">
        <v>223</v>
      </c>
      <c r="N55" s="10">
        <v>2021009</v>
      </c>
      <c r="O55" s="11" t="s">
        <v>56</v>
      </c>
      <c r="P55" s="11" t="s">
        <v>57</v>
      </c>
      <c r="Q55" s="12">
        <v>340</v>
      </c>
      <c r="R55" s="13">
        <v>44287</v>
      </c>
      <c r="S55" s="13">
        <v>44361</v>
      </c>
      <c r="T55" s="11">
        <v>24</v>
      </c>
      <c r="U55" s="11"/>
      <c r="V55" s="11">
        <v>129</v>
      </c>
      <c r="W55" s="11">
        <v>44</v>
      </c>
      <c r="X55" s="11">
        <v>32</v>
      </c>
      <c r="Y55" s="28"/>
      <c r="Z55">
        <v>2</v>
      </c>
    </row>
    <row r="56" spans="2:26" x14ac:dyDescent="0.25">
      <c r="B56" s="13">
        <v>44779</v>
      </c>
      <c r="C56" s="32">
        <v>800</v>
      </c>
      <c r="D56" s="32">
        <v>0</v>
      </c>
      <c r="E56" s="32">
        <v>1111.3599999999999</v>
      </c>
      <c r="F56" s="32">
        <v>1911.36</v>
      </c>
      <c r="G56" s="8" t="s">
        <v>296</v>
      </c>
      <c r="H56" s="8" t="s">
        <v>297</v>
      </c>
      <c r="I56" s="8" t="s">
        <v>298</v>
      </c>
      <c r="J56" s="8" t="s">
        <v>99</v>
      </c>
      <c r="K56" s="8">
        <v>43.287734999999998</v>
      </c>
      <c r="L56" s="8">
        <v>-97.55744</v>
      </c>
      <c r="M56" s="8" t="s">
        <v>64</v>
      </c>
      <c r="N56" s="10">
        <v>2006</v>
      </c>
      <c r="O56" s="11" t="s">
        <v>56</v>
      </c>
      <c r="P56" s="11" t="s">
        <v>57</v>
      </c>
      <c r="Q56" s="12">
        <v>340</v>
      </c>
      <c r="R56" s="13">
        <v>44761</v>
      </c>
      <c r="S56" s="13">
        <v>44761</v>
      </c>
      <c r="T56" s="11">
        <v>32</v>
      </c>
      <c r="U56" s="11"/>
      <c r="V56" s="11">
        <v>303</v>
      </c>
      <c r="W56" s="11">
        <v>105</v>
      </c>
      <c r="X56" s="11">
        <v>77</v>
      </c>
      <c r="Y56" s="28"/>
      <c r="Z56">
        <v>2</v>
      </c>
    </row>
    <row r="57" spans="2:26" x14ac:dyDescent="0.25">
      <c r="B57" s="1">
        <v>44770</v>
      </c>
      <c r="C57" s="31">
        <v>0</v>
      </c>
      <c r="D57" s="31">
        <v>1125</v>
      </c>
      <c r="E57" s="31">
        <v>1406.25</v>
      </c>
      <c r="F57" s="31">
        <v>2531.25</v>
      </c>
      <c r="G57" s="6" t="s">
        <v>299</v>
      </c>
      <c r="H57" s="6" t="s">
        <v>300</v>
      </c>
      <c r="I57" s="6" t="s">
        <v>301</v>
      </c>
      <c r="J57" s="6" t="s">
        <v>302</v>
      </c>
      <c r="K57" s="6">
        <v>45.381179000000003</v>
      </c>
      <c r="L57" s="6">
        <v>-96.785336999999998</v>
      </c>
      <c r="M57" s="6" t="s">
        <v>275</v>
      </c>
      <c r="N57" s="4">
        <v>202205</v>
      </c>
      <c r="O57" t="s">
        <v>56</v>
      </c>
      <c r="P57" t="s">
        <v>57</v>
      </c>
      <c r="Q57" s="5">
        <v>340</v>
      </c>
      <c r="R57" s="1">
        <v>44743</v>
      </c>
      <c r="S57" s="1">
        <v>45047</v>
      </c>
      <c r="T57">
        <v>45</v>
      </c>
      <c r="V57">
        <v>208</v>
      </c>
      <c r="W57">
        <v>70</v>
      </c>
      <c r="X57">
        <v>50</v>
      </c>
      <c r="Y57" s="28"/>
      <c r="Z57">
        <v>2</v>
      </c>
    </row>
    <row r="58" spans="2:26" x14ac:dyDescent="0.25">
      <c r="B58" s="1">
        <v>45264</v>
      </c>
      <c r="C58" s="31">
        <v>5642.3</v>
      </c>
      <c r="D58" s="31"/>
      <c r="E58" s="31">
        <v>5642.3</v>
      </c>
      <c r="F58" s="31">
        <v>11284.6</v>
      </c>
      <c r="G58" s="6" t="s">
        <v>299</v>
      </c>
      <c r="H58" s="6" t="s">
        <v>300</v>
      </c>
      <c r="I58" s="6" t="s">
        <v>303</v>
      </c>
      <c r="J58" s="6" t="s">
        <v>302</v>
      </c>
      <c r="K58" s="6">
        <v>45.379987999999997</v>
      </c>
      <c r="L58" s="6">
        <v>-96.794134999999997</v>
      </c>
      <c r="M58" s="6" t="s">
        <v>275</v>
      </c>
      <c r="N58" s="4" t="s">
        <v>240</v>
      </c>
      <c r="O58" t="s">
        <v>75</v>
      </c>
      <c r="P58" t="s">
        <v>304</v>
      </c>
      <c r="Q58" s="5">
        <v>516</v>
      </c>
      <c r="R58" s="1">
        <v>45214</v>
      </c>
      <c r="S58" s="1">
        <v>45255</v>
      </c>
      <c r="T58">
        <v>250</v>
      </c>
      <c r="V58">
        <v>407</v>
      </c>
      <c r="W58">
        <v>77</v>
      </c>
      <c r="X58">
        <v>41</v>
      </c>
      <c r="Y58" s="28"/>
      <c r="Z58">
        <v>3</v>
      </c>
    </row>
    <row r="59" spans="2:26" x14ac:dyDescent="0.25">
      <c r="B59" s="1">
        <v>45255</v>
      </c>
      <c r="C59" s="31">
        <v>5088.5200000000004</v>
      </c>
      <c r="D59" s="31"/>
      <c r="E59" s="31">
        <v>5088.53</v>
      </c>
      <c r="F59" s="31">
        <v>10177.049999999999</v>
      </c>
      <c r="G59" s="6" t="s">
        <v>299</v>
      </c>
      <c r="H59" s="6" t="s">
        <v>300</v>
      </c>
      <c r="I59" s="6" t="s">
        <v>303</v>
      </c>
      <c r="J59" s="6" t="s">
        <v>302</v>
      </c>
      <c r="K59" s="6">
        <v>45.379987999999997</v>
      </c>
      <c r="L59" s="6">
        <v>-96.794134999999997</v>
      </c>
      <c r="M59" s="6" t="s">
        <v>275</v>
      </c>
      <c r="N59" s="4" t="s">
        <v>240</v>
      </c>
      <c r="O59" t="s">
        <v>75</v>
      </c>
      <c r="P59" t="s">
        <v>305</v>
      </c>
      <c r="Q59" s="5">
        <v>382</v>
      </c>
      <c r="R59" s="1">
        <v>45214</v>
      </c>
      <c r="S59" s="1">
        <v>45255</v>
      </c>
      <c r="Y59" s="28"/>
      <c r="Z59">
        <v>3</v>
      </c>
    </row>
    <row r="60" spans="2:26" x14ac:dyDescent="0.25">
      <c r="B60" s="72">
        <v>45244</v>
      </c>
      <c r="C60" s="32">
        <v>833.6</v>
      </c>
      <c r="D60" s="32"/>
      <c r="E60" s="32">
        <v>0</v>
      </c>
      <c r="F60" s="32">
        <v>833.6</v>
      </c>
      <c r="G60" s="8" t="s">
        <v>299</v>
      </c>
      <c r="H60" s="8" t="s">
        <v>300</v>
      </c>
      <c r="I60" s="8" t="s">
        <v>303</v>
      </c>
      <c r="J60" s="8" t="s">
        <v>302</v>
      </c>
      <c r="K60" s="8">
        <v>45.379987999999997</v>
      </c>
      <c r="L60" s="8">
        <v>-96.794134999999997</v>
      </c>
      <c r="M60" s="8" t="s">
        <v>275</v>
      </c>
      <c r="N60" s="10" t="s">
        <v>240</v>
      </c>
      <c r="O60" s="11" t="s">
        <v>75</v>
      </c>
      <c r="P60" s="11" t="s">
        <v>307</v>
      </c>
      <c r="Q60" s="12">
        <v>614</v>
      </c>
      <c r="R60" s="13">
        <v>45214</v>
      </c>
      <c r="S60" s="13">
        <v>45255</v>
      </c>
      <c r="T60" s="11"/>
      <c r="U60" s="11"/>
      <c r="V60" s="11"/>
      <c r="W60" s="11"/>
      <c r="X60" s="11"/>
      <c r="Y60" s="28"/>
      <c r="Z60">
        <v>3</v>
      </c>
    </row>
    <row r="61" spans="2:26" x14ac:dyDescent="0.25">
      <c r="B61" s="13">
        <v>44697</v>
      </c>
      <c r="C61" s="32">
        <v>7758.36</v>
      </c>
      <c r="D61" s="32">
        <v>1692.27</v>
      </c>
      <c r="E61" s="32">
        <v>9450.6299999999992</v>
      </c>
      <c r="F61" s="32">
        <v>18901.259999999998</v>
      </c>
      <c r="G61" s="30" t="s">
        <v>308</v>
      </c>
      <c r="H61" s="30" t="s">
        <v>261</v>
      </c>
      <c r="I61" s="30" t="s">
        <v>309</v>
      </c>
      <c r="J61" s="30" t="s">
        <v>310</v>
      </c>
      <c r="K61" s="30">
        <v>44.665036999999998</v>
      </c>
      <c r="L61" s="30">
        <v>-103.573125</v>
      </c>
      <c r="M61" s="30" t="s">
        <v>311</v>
      </c>
      <c r="N61" s="25" t="s">
        <v>312</v>
      </c>
      <c r="O61" s="24" t="s">
        <v>75</v>
      </c>
      <c r="P61" s="24" t="s">
        <v>304</v>
      </c>
      <c r="Q61" s="26">
        <v>516</v>
      </c>
      <c r="R61" s="27">
        <v>44287</v>
      </c>
      <c r="S61" s="27">
        <v>45139</v>
      </c>
      <c r="T61" s="24">
        <v>310</v>
      </c>
      <c r="U61" s="24"/>
      <c r="V61" s="24">
        <v>306</v>
      </c>
      <c r="W61" s="24">
        <v>68</v>
      </c>
      <c r="X61" s="24">
        <v>42</v>
      </c>
      <c r="Y61" s="28"/>
      <c r="Z61">
        <v>2</v>
      </c>
    </row>
    <row r="62" spans="2:26" x14ac:dyDescent="0.25">
      <c r="B62" s="13">
        <v>45077</v>
      </c>
      <c r="C62" s="32">
        <v>0</v>
      </c>
      <c r="D62" s="32">
        <v>2740.5</v>
      </c>
      <c r="E62" s="32">
        <v>1827</v>
      </c>
      <c r="F62" s="32">
        <v>4567.5</v>
      </c>
      <c r="G62" s="8" t="s">
        <v>313</v>
      </c>
      <c r="H62" s="8" t="s">
        <v>314</v>
      </c>
      <c r="I62" s="8" t="s">
        <v>315</v>
      </c>
      <c r="J62" s="8" t="s">
        <v>316</v>
      </c>
      <c r="K62" s="8">
        <v>44.672642000000003</v>
      </c>
      <c r="L62" s="8">
        <v>-103.310658</v>
      </c>
      <c r="M62" s="8" t="s">
        <v>317</v>
      </c>
      <c r="N62" s="10" t="s">
        <v>318</v>
      </c>
      <c r="O62" s="11" t="s">
        <v>132</v>
      </c>
      <c r="P62" s="11" t="s">
        <v>133</v>
      </c>
      <c r="Q62" s="12"/>
      <c r="R62" s="13">
        <v>45078</v>
      </c>
      <c r="S62" s="13">
        <v>45107</v>
      </c>
      <c r="T62" s="11">
        <v>30</v>
      </c>
      <c r="U62" s="11"/>
      <c r="V62" s="11">
        <v>134</v>
      </c>
      <c r="W62" s="11">
        <v>45</v>
      </c>
      <c r="X62" s="11">
        <v>33</v>
      </c>
      <c r="Y62" s="28"/>
      <c r="Z62">
        <v>2</v>
      </c>
    </row>
    <row r="63" spans="2:26" x14ac:dyDescent="0.25">
      <c r="B63" s="13">
        <v>44819</v>
      </c>
      <c r="C63" s="32">
        <v>845.62</v>
      </c>
      <c r="D63" s="32">
        <v>0</v>
      </c>
      <c r="E63" s="32">
        <v>845.63</v>
      </c>
      <c r="F63" s="32">
        <v>1961.25</v>
      </c>
      <c r="G63" s="8" t="s">
        <v>319</v>
      </c>
      <c r="H63" s="8" t="s">
        <v>320</v>
      </c>
      <c r="I63" s="8" t="s">
        <v>321</v>
      </c>
      <c r="J63" s="8" t="s">
        <v>99</v>
      </c>
      <c r="K63" s="8">
        <v>43.312444999999997</v>
      </c>
      <c r="L63" s="8">
        <v>-97.384052999999994</v>
      </c>
      <c r="M63" s="8" t="s">
        <v>100</v>
      </c>
      <c r="N63" s="10">
        <v>2010</v>
      </c>
      <c r="O63" s="11" t="s">
        <v>56</v>
      </c>
      <c r="P63" s="11" t="s">
        <v>57</v>
      </c>
      <c r="Q63" s="12">
        <v>340</v>
      </c>
      <c r="R63" s="13">
        <v>44808</v>
      </c>
      <c r="S63" s="13">
        <v>44814</v>
      </c>
      <c r="T63" s="11">
        <v>60</v>
      </c>
      <c r="U63" s="11"/>
      <c r="V63" s="11">
        <v>571</v>
      </c>
      <c r="W63" s="11">
        <v>198</v>
      </c>
      <c r="X63" s="11">
        <v>145</v>
      </c>
      <c r="Y63" s="28"/>
      <c r="Z63">
        <v>2</v>
      </c>
    </row>
    <row r="64" spans="2:26" x14ac:dyDescent="0.25">
      <c r="B64" s="13">
        <v>44770</v>
      </c>
      <c r="C64" s="32">
        <v>0</v>
      </c>
      <c r="D64" s="32">
        <v>405</v>
      </c>
      <c r="E64" s="32">
        <v>405</v>
      </c>
      <c r="F64" s="32">
        <v>810</v>
      </c>
      <c r="G64" s="8" t="s">
        <v>322</v>
      </c>
      <c r="H64" s="8" t="s">
        <v>323</v>
      </c>
      <c r="I64" s="8" t="s">
        <v>324</v>
      </c>
      <c r="J64" s="8" t="s">
        <v>325</v>
      </c>
      <c r="K64" s="8">
        <v>45.397055000000002</v>
      </c>
      <c r="L64" s="8">
        <v>-97.127134999999996</v>
      </c>
      <c r="M64" s="8" t="s">
        <v>223</v>
      </c>
      <c r="N64" s="10">
        <v>202207</v>
      </c>
      <c r="O64" s="11" t="s">
        <v>56</v>
      </c>
      <c r="P64" s="11" t="s">
        <v>57</v>
      </c>
      <c r="Q64" s="12">
        <v>340</v>
      </c>
      <c r="R64" s="13">
        <v>44682</v>
      </c>
      <c r="S64" s="13">
        <v>45078</v>
      </c>
      <c r="T64" s="11">
        <v>18</v>
      </c>
      <c r="U64" s="11"/>
      <c r="V64" s="11">
        <v>100</v>
      </c>
      <c r="W64" s="11">
        <v>34</v>
      </c>
      <c r="X64" s="11">
        <v>25</v>
      </c>
      <c r="Y64" s="28"/>
      <c r="Z64">
        <v>2</v>
      </c>
    </row>
    <row r="65" spans="2:26" x14ac:dyDescent="0.25">
      <c r="B65" s="1">
        <v>44470</v>
      </c>
      <c r="C65" s="31">
        <v>4664</v>
      </c>
      <c r="D65" s="31">
        <v>0</v>
      </c>
      <c r="E65" s="31">
        <v>4884</v>
      </c>
      <c r="F65" s="31">
        <v>9548</v>
      </c>
      <c r="G65" s="6" t="s">
        <v>326</v>
      </c>
      <c r="H65" s="6" t="s">
        <v>327</v>
      </c>
      <c r="I65" s="6" t="s">
        <v>328</v>
      </c>
      <c r="J65" s="6" t="s">
        <v>178</v>
      </c>
      <c r="K65" s="6">
        <v>42.942016000000002</v>
      </c>
      <c r="L65" s="6">
        <v>-98.084417000000002</v>
      </c>
      <c r="M65" s="6" t="s">
        <v>113</v>
      </c>
      <c r="N65" s="4">
        <v>20211917</v>
      </c>
      <c r="O65" t="s">
        <v>56</v>
      </c>
      <c r="P65" t="s">
        <v>57</v>
      </c>
      <c r="Q65" s="5">
        <v>340</v>
      </c>
      <c r="R65" s="1">
        <v>44378</v>
      </c>
      <c r="S65" s="1">
        <v>44489</v>
      </c>
      <c r="T65">
        <v>222</v>
      </c>
      <c r="V65">
        <v>1205</v>
      </c>
      <c r="W65">
        <v>405</v>
      </c>
      <c r="X65">
        <v>291</v>
      </c>
      <c r="Y65" s="28"/>
      <c r="Z65">
        <v>2</v>
      </c>
    </row>
    <row r="66" spans="2:26" x14ac:dyDescent="0.25">
      <c r="B66" s="27">
        <v>44476</v>
      </c>
      <c r="C66" s="33">
        <v>2800</v>
      </c>
      <c r="D66" s="33">
        <v>0</v>
      </c>
      <c r="E66" s="33">
        <v>2016</v>
      </c>
      <c r="F66" s="33">
        <v>4816</v>
      </c>
      <c r="G66" s="30" t="s">
        <v>326</v>
      </c>
      <c r="H66" s="30" t="s">
        <v>329</v>
      </c>
      <c r="I66" s="30" t="s">
        <v>328</v>
      </c>
      <c r="J66" s="30" t="s">
        <v>178</v>
      </c>
      <c r="K66" s="30">
        <v>42.941783999999998</v>
      </c>
      <c r="L66" s="30">
        <v>-98.080903000000006</v>
      </c>
      <c r="M66" s="30" t="s">
        <v>113</v>
      </c>
      <c r="N66" s="25">
        <v>20211916</v>
      </c>
      <c r="O66" s="24" t="s">
        <v>56</v>
      </c>
      <c r="P66" s="24" t="s">
        <v>57</v>
      </c>
      <c r="Q66" s="26">
        <v>340</v>
      </c>
      <c r="R66" s="27">
        <v>44431</v>
      </c>
      <c r="S66" s="27">
        <v>44479</v>
      </c>
      <c r="T66" s="24">
        <v>112</v>
      </c>
      <c r="U66" s="24"/>
      <c r="V66" s="24">
        <v>829</v>
      </c>
      <c r="W66" s="24">
        <v>289</v>
      </c>
      <c r="X66" s="24">
        <v>216</v>
      </c>
      <c r="Y66" s="28"/>
      <c r="Z66">
        <v>2</v>
      </c>
    </row>
    <row r="67" spans="2:26" x14ac:dyDescent="0.25">
      <c r="B67" s="72">
        <v>44925</v>
      </c>
      <c r="C67" s="67">
        <v>4000</v>
      </c>
      <c r="D67" s="67">
        <v>0</v>
      </c>
      <c r="E67" s="67">
        <v>7806.87</v>
      </c>
      <c r="F67" s="67">
        <v>11806.87</v>
      </c>
      <c r="G67" s="68" t="s">
        <v>330</v>
      </c>
      <c r="H67" s="68" t="s">
        <v>331</v>
      </c>
      <c r="I67" s="68" t="s">
        <v>332</v>
      </c>
      <c r="J67" s="68" t="s">
        <v>333</v>
      </c>
      <c r="K67" s="68">
        <v>45.250387000000003</v>
      </c>
      <c r="L67" s="68">
        <v>-99.839172000000005</v>
      </c>
      <c r="M67" s="68" t="s">
        <v>334</v>
      </c>
      <c r="N67" s="70">
        <v>2011</v>
      </c>
      <c r="O67" s="66" t="s">
        <v>56</v>
      </c>
      <c r="P67" s="66" t="s">
        <v>57</v>
      </c>
      <c r="Q67" s="71">
        <v>340</v>
      </c>
      <c r="R67" s="72">
        <v>44774</v>
      </c>
      <c r="S67" s="72">
        <v>44798</v>
      </c>
      <c r="T67" s="66">
        <v>308</v>
      </c>
      <c r="U67" s="66"/>
      <c r="V67" s="66">
        <v>717.1</v>
      </c>
      <c r="W67" s="66">
        <v>242.7</v>
      </c>
      <c r="X67" s="66">
        <v>172.6</v>
      </c>
      <c r="Y67" s="28"/>
      <c r="Z67">
        <v>2</v>
      </c>
    </row>
    <row r="68" spans="2:26" x14ac:dyDescent="0.25">
      <c r="B68" s="13">
        <v>1575</v>
      </c>
      <c r="C68" s="32">
        <v>0</v>
      </c>
      <c r="D68" s="32">
        <v>3896.25</v>
      </c>
      <c r="E68" s="32">
        <v>5471.25</v>
      </c>
      <c r="F68" s="32"/>
      <c r="G68" s="8" t="s">
        <v>330</v>
      </c>
      <c r="H68" s="8" t="s">
        <v>335</v>
      </c>
      <c r="I68" s="8" t="s">
        <v>336</v>
      </c>
      <c r="J68" s="8" t="s">
        <v>333</v>
      </c>
      <c r="K68" s="8">
        <v>45.257340999999997</v>
      </c>
      <c r="L68" s="8">
        <v>-99.838065</v>
      </c>
      <c r="M68" s="8" t="s">
        <v>334</v>
      </c>
      <c r="N68" s="10" t="s">
        <v>337</v>
      </c>
      <c r="O68" s="11" t="s">
        <v>56</v>
      </c>
      <c r="P68" s="11" t="s">
        <v>57</v>
      </c>
      <c r="Q68" s="12">
        <v>340</v>
      </c>
      <c r="R68" s="13">
        <v>45131</v>
      </c>
      <c r="S68" s="13">
        <v>45133</v>
      </c>
      <c r="T68" s="11">
        <v>155</v>
      </c>
      <c r="U68" s="11"/>
      <c r="V68" s="11">
        <v>807</v>
      </c>
      <c r="W68" s="11">
        <v>273.5</v>
      </c>
      <c r="X68" s="11">
        <v>194.7</v>
      </c>
      <c r="Y68" s="28"/>
      <c r="Z68">
        <v>2</v>
      </c>
    </row>
    <row r="69" spans="2:26" x14ac:dyDescent="0.25">
      <c r="B69" s="13">
        <v>44852</v>
      </c>
      <c r="C69" s="32">
        <v>2205.2800000000002</v>
      </c>
      <c r="D69" s="32">
        <v>3850</v>
      </c>
      <c r="E69" s="32">
        <v>6055.28</v>
      </c>
      <c r="F69" s="32"/>
      <c r="G69" s="8" t="s">
        <v>338</v>
      </c>
      <c r="H69" s="8" t="s">
        <v>339</v>
      </c>
      <c r="I69" s="8" t="s">
        <v>340</v>
      </c>
      <c r="J69" s="8" t="s">
        <v>69</v>
      </c>
      <c r="K69" s="8">
        <v>43.474753</v>
      </c>
      <c r="L69" s="8">
        <v>-98.306946999999994</v>
      </c>
      <c r="M69" s="8" t="s">
        <v>113</v>
      </c>
      <c r="N69" s="10" t="s">
        <v>341</v>
      </c>
      <c r="O69" s="11" t="s">
        <v>56</v>
      </c>
      <c r="P69" s="11" t="s">
        <v>57</v>
      </c>
      <c r="Q69" s="12">
        <v>340</v>
      </c>
      <c r="R69" s="13">
        <v>44749</v>
      </c>
      <c r="S69" s="13">
        <v>44922</v>
      </c>
      <c r="T69" s="11">
        <v>154</v>
      </c>
      <c r="U69" s="11"/>
      <c r="V69" s="11">
        <v>622</v>
      </c>
      <c r="W69" s="11">
        <v>186</v>
      </c>
      <c r="X69" s="11">
        <v>112</v>
      </c>
      <c r="Y69" s="28"/>
      <c r="Z69">
        <v>2</v>
      </c>
    </row>
    <row r="70" spans="2:26" x14ac:dyDescent="0.25">
      <c r="B70" s="13">
        <v>44852</v>
      </c>
      <c r="C70" s="32">
        <v>1170</v>
      </c>
      <c r="D70" s="32">
        <v>0</v>
      </c>
      <c r="E70" s="32">
        <v>1950</v>
      </c>
      <c r="F70" s="32">
        <v>3120</v>
      </c>
      <c r="G70" s="8" t="s">
        <v>338</v>
      </c>
      <c r="H70" s="8" t="s">
        <v>342</v>
      </c>
      <c r="I70" s="8" t="s">
        <v>340</v>
      </c>
      <c r="J70" s="8" t="s">
        <v>69</v>
      </c>
      <c r="K70" s="8">
        <v>43.490566999999999</v>
      </c>
      <c r="L70" s="8">
        <v>-98.267360999999994</v>
      </c>
      <c r="M70" s="8" t="s">
        <v>113</v>
      </c>
      <c r="N70" s="10" t="s">
        <v>343</v>
      </c>
      <c r="O70" s="11" t="s">
        <v>56</v>
      </c>
      <c r="P70" s="11" t="s">
        <v>57</v>
      </c>
      <c r="Q70" s="12">
        <v>340</v>
      </c>
      <c r="R70" s="13">
        <v>44732</v>
      </c>
      <c r="S70" s="13">
        <v>44928</v>
      </c>
      <c r="T70" s="11">
        <v>78</v>
      </c>
      <c r="U70" s="11"/>
      <c r="V70" s="11">
        <v>176</v>
      </c>
      <c r="W70" s="11">
        <v>28</v>
      </c>
      <c r="X70" s="11">
        <v>16</v>
      </c>
      <c r="Y70" s="28"/>
      <c r="Z70">
        <v>2</v>
      </c>
    </row>
    <row r="71" spans="2:26" x14ac:dyDescent="0.25">
      <c r="B71" s="13">
        <v>45154</v>
      </c>
      <c r="C71" s="32">
        <v>1950.22</v>
      </c>
      <c r="D71" s="32">
        <v>0</v>
      </c>
      <c r="E71" s="32">
        <v>1950.28</v>
      </c>
      <c r="F71" s="32">
        <v>3900.5</v>
      </c>
      <c r="G71" s="8" t="s">
        <v>344</v>
      </c>
      <c r="H71" s="8" t="s">
        <v>345</v>
      </c>
      <c r="I71" s="8" t="s">
        <v>346</v>
      </c>
      <c r="J71" s="8" t="s">
        <v>347</v>
      </c>
      <c r="K71" s="8">
        <v>45.655549999999998</v>
      </c>
      <c r="L71" s="8">
        <v>-97.453809000000007</v>
      </c>
      <c r="M71" s="8" t="s">
        <v>169</v>
      </c>
      <c r="N71" s="10" t="s">
        <v>348</v>
      </c>
      <c r="O71" s="11" t="s">
        <v>56</v>
      </c>
      <c r="P71" s="11" t="s">
        <v>57</v>
      </c>
      <c r="Q71" s="12">
        <v>340</v>
      </c>
      <c r="R71" s="13">
        <v>45139</v>
      </c>
      <c r="S71" s="13">
        <v>45146</v>
      </c>
      <c r="T71" s="11">
        <v>77.42</v>
      </c>
      <c r="U71" s="11"/>
      <c r="V71" s="11">
        <v>438</v>
      </c>
      <c r="W71" s="11">
        <v>138.19999999999999</v>
      </c>
      <c r="X71" s="11">
        <v>94.7</v>
      </c>
      <c r="Y71" s="28"/>
      <c r="Z71">
        <v>2</v>
      </c>
    </row>
    <row r="72" spans="2:26" x14ac:dyDescent="0.25">
      <c r="B72" s="13">
        <v>45154</v>
      </c>
      <c r="C72" s="32">
        <v>2352.5</v>
      </c>
      <c r="D72" s="32">
        <v>0</v>
      </c>
      <c r="E72" s="32">
        <v>3500.52</v>
      </c>
      <c r="F72" s="32">
        <v>5853.02</v>
      </c>
      <c r="G72" s="8" t="s">
        <v>344</v>
      </c>
      <c r="H72" s="8" t="s">
        <v>349</v>
      </c>
      <c r="I72" s="8" t="s">
        <v>346</v>
      </c>
      <c r="J72" s="8" t="s">
        <v>347</v>
      </c>
      <c r="K72" s="8">
        <v>45.613238000000003</v>
      </c>
      <c r="L72" s="8">
        <v>-97.446682999999993</v>
      </c>
      <c r="M72" s="8" t="s">
        <v>169</v>
      </c>
      <c r="N72" s="10" t="s">
        <v>350</v>
      </c>
      <c r="O72" s="11" t="s">
        <v>56</v>
      </c>
      <c r="P72" s="11" t="s">
        <v>57</v>
      </c>
      <c r="Q72" s="12">
        <v>340</v>
      </c>
      <c r="R72" s="13">
        <v>45145</v>
      </c>
      <c r="S72" s="13">
        <v>45148</v>
      </c>
      <c r="T72" s="11">
        <v>94.1</v>
      </c>
      <c r="U72" s="11"/>
      <c r="V72" s="11">
        <v>456.4</v>
      </c>
      <c r="W72" s="11">
        <v>148.80000000000001</v>
      </c>
      <c r="X72" s="11">
        <v>101.1</v>
      </c>
      <c r="Y72" s="28"/>
      <c r="Z72">
        <v>2</v>
      </c>
    </row>
    <row r="73" spans="2:26" x14ac:dyDescent="0.25">
      <c r="B73" s="13">
        <v>44826</v>
      </c>
      <c r="C73" s="32">
        <v>0</v>
      </c>
      <c r="D73" s="32">
        <v>0</v>
      </c>
      <c r="E73" s="32">
        <v>8395.1299999999992</v>
      </c>
      <c r="F73" s="32">
        <v>8395.1299999999992</v>
      </c>
      <c r="G73" s="8" t="s">
        <v>344</v>
      </c>
      <c r="H73" s="8" t="s">
        <v>69</v>
      </c>
      <c r="I73" s="8" t="s">
        <v>351</v>
      </c>
      <c r="J73" s="8" t="s">
        <v>347</v>
      </c>
      <c r="K73" s="8">
        <v>45.601360999999997</v>
      </c>
      <c r="L73" s="8">
        <v>-97.399608000000001</v>
      </c>
      <c r="M73" s="8" t="s">
        <v>169</v>
      </c>
      <c r="N73" s="10">
        <v>2002</v>
      </c>
      <c r="O73" s="11" t="s">
        <v>56</v>
      </c>
      <c r="P73" s="11" t="s">
        <v>57</v>
      </c>
      <c r="Q73" s="12">
        <v>340</v>
      </c>
      <c r="R73" s="13">
        <v>44852</v>
      </c>
      <c r="S73" s="13">
        <v>45082</v>
      </c>
      <c r="T73" s="11">
        <v>151</v>
      </c>
      <c r="U73" s="11"/>
      <c r="V73" s="11">
        <v>702.6</v>
      </c>
      <c r="W73" s="11">
        <v>227.4</v>
      </c>
      <c r="X73" s="11">
        <v>153</v>
      </c>
      <c r="Y73" s="28"/>
      <c r="Z73">
        <v>2</v>
      </c>
    </row>
    <row r="74" spans="2:26" x14ac:dyDescent="0.25">
      <c r="B74" s="1">
        <v>44788</v>
      </c>
      <c r="C74" s="31">
        <v>722.61</v>
      </c>
      <c r="D74" s="31">
        <v>0</v>
      </c>
      <c r="E74" s="31">
        <v>722.61</v>
      </c>
      <c r="F74" s="31">
        <v>1445.23</v>
      </c>
      <c r="G74" s="6" t="s">
        <v>352</v>
      </c>
      <c r="H74" s="6" t="s">
        <v>353</v>
      </c>
      <c r="I74" s="6" t="s">
        <v>354</v>
      </c>
      <c r="J74" s="6" t="s">
        <v>355</v>
      </c>
      <c r="K74" s="6">
        <v>43.126795000000001</v>
      </c>
      <c r="L74" s="6">
        <v>-97.492557000000005</v>
      </c>
      <c r="M74" s="6" t="s">
        <v>137</v>
      </c>
      <c r="N74" s="4" t="s">
        <v>356</v>
      </c>
      <c r="O74" t="s">
        <v>56</v>
      </c>
      <c r="P74" t="s">
        <v>57</v>
      </c>
      <c r="Q74" s="5">
        <v>340</v>
      </c>
      <c r="R74" s="1">
        <v>44762</v>
      </c>
      <c r="S74" s="1">
        <v>44932</v>
      </c>
      <c r="T74">
        <v>20</v>
      </c>
      <c r="V74">
        <v>220</v>
      </c>
      <c r="W74">
        <v>75</v>
      </c>
      <c r="X74">
        <v>55</v>
      </c>
      <c r="Y74" s="28"/>
      <c r="Z74">
        <v>2</v>
      </c>
    </row>
    <row r="75" spans="2:26" x14ac:dyDescent="0.25">
      <c r="B75" s="13">
        <v>44778</v>
      </c>
      <c r="C75" s="32">
        <v>0</v>
      </c>
      <c r="D75" s="32">
        <v>1000</v>
      </c>
      <c r="E75" s="32">
        <v>18500</v>
      </c>
      <c r="F75" s="32">
        <v>22500</v>
      </c>
      <c r="G75" s="8" t="s">
        <v>357</v>
      </c>
      <c r="H75" s="8" t="s">
        <v>358</v>
      </c>
      <c r="I75" s="8" t="s">
        <v>359</v>
      </c>
      <c r="J75" s="8" t="s">
        <v>360</v>
      </c>
      <c r="K75" s="8">
        <v>45.700735000000002</v>
      </c>
      <c r="L75" s="8">
        <v>-97.865036000000003</v>
      </c>
      <c r="M75" s="8" t="s">
        <v>169</v>
      </c>
      <c r="N75" s="10">
        <v>2003</v>
      </c>
      <c r="O75" s="11" t="s">
        <v>56</v>
      </c>
      <c r="P75" s="11" t="s">
        <v>57</v>
      </c>
      <c r="Q75" s="12">
        <v>340</v>
      </c>
      <c r="R75" s="13">
        <v>44690</v>
      </c>
      <c r="S75" s="13">
        <v>44791</v>
      </c>
      <c r="T75" s="11">
        <v>1000</v>
      </c>
      <c r="U75" s="11"/>
      <c r="V75" s="11">
        <v>2206.1999999999998</v>
      </c>
      <c r="W75" s="11">
        <v>656.4</v>
      </c>
      <c r="X75" s="11">
        <v>391.5</v>
      </c>
      <c r="Y75" s="28"/>
      <c r="Z75">
        <v>2</v>
      </c>
    </row>
    <row r="76" spans="2:26" x14ac:dyDescent="0.25">
      <c r="B76" s="1">
        <v>45148</v>
      </c>
      <c r="C76" s="31">
        <v>1600</v>
      </c>
      <c r="D76" s="31">
        <v>0</v>
      </c>
      <c r="E76" s="31">
        <v>1770.43</v>
      </c>
      <c r="F76" s="31">
        <v>3370.43</v>
      </c>
      <c r="G76" s="6" t="s">
        <v>361</v>
      </c>
      <c r="H76" s="6" t="s">
        <v>122</v>
      </c>
      <c r="I76" s="6" t="s">
        <v>362</v>
      </c>
      <c r="J76" s="6" t="s">
        <v>222</v>
      </c>
      <c r="K76" s="6">
        <v>44.823754000000001</v>
      </c>
      <c r="L76" s="6">
        <v>-97.206113999999999</v>
      </c>
      <c r="M76" s="6" t="s">
        <v>363</v>
      </c>
      <c r="N76" s="4" t="s">
        <v>364</v>
      </c>
      <c r="O76" t="s">
        <v>56</v>
      </c>
      <c r="P76" t="s">
        <v>57</v>
      </c>
      <c r="Q76" s="5">
        <v>340</v>
      </c>
      <c r="R76" s="1">
        <v>45135</v>
      </c>
      <c r="S76" s="1">
        <v>45148</v>
      </c>
      <c r="T76">
        <v>64</v>
      </c>
      <c r="V76">
        <v>87</v>
      </c>
      <c r="W76">
        <v>26</v>
      </c>
      <c r="X76">
        <v>19</v>
      </c>
      <c r="Y76" s="28"/>
      <c r="Z76">
        <v>2</v>
      </c>
    </row>
    <row r="77" spans="2:26" ht="14.4" thickBot="1" x14ac:dyDescent="0.3">
      <c r="B77" s="91">
        <v>45736</v>
      </c>
      <c r="C77" s="93">
        <v>1350.5</v>
      </c>
      <c r="D77" s="93"/>
      <c r="E77" s="93">
        <v>1350.25</v>
      </c>
      <c r="F77" s="93">
        <v>2700.5</v>
      </c>
      <c r="G77" s="61" t="s">
        <v>361</v>
      </c>
      <c r="H77" s="61" t="s">
        <v>122</v>
      </c>
      <c r="I77" s="61" t="s">
        <v>362</v>
      </c>
      <c r="J77" s="61" t="s">
        <v>222</v>
      </c>
      <c r="K77" s="61">
        <v>44.821370000000002</v>
      </c>
      <c r="L77" s="61">
        <v>-97.202697000000001</v>
      </c>
      <c r="M77" s="61" t="s">
        <v>363</v>
      </c>
      <c r="N77" s="95" t="s">
        <v>365</v>
      </c>
      <c r="O77" s="92" t="s">
        <v>132</v>
      </c>
      <c r="P77" s="92" t="s">
        <v>133</v>
      </c>
      <c r="Q77" s="96"/>
      <c r="R77" s="91">
        <v>45721</v>
      </c>
      <c r="S77" s="91">
        <v>45743</v>
      </c>
      <c r="T77" s="92">
        <v>20</v>
      </c>
      <c r="U77" s="92"/>
      <c r="V77" s="92">
        <v>119</v>
      </c>
      <c r="W77" s="92">
        <v>39</v>
      </c>
      <c r="X77" s="92">
        <v>28</v>
      </c>
      <c r="Y77" s="28"/>
      <c r="Z77">
        <v>3</v>
      </c>
    </row>
    <row r="78" spans="2:26" x14ac:dyDescent="0.25">
      <c r="B78" s="13">
        <v>45153</v>
      </c>
      <c r="C78" s="32">
        <v>2256</v>
      </c>
      <c r="D78" s="32">
        <v>0</v>
      </c>
      <c r="E78" s="32">
        <v>3294</v>
      </c>
      <c r="F78" s="32">
        <v>5550</v>
      </c>
      <c r="G78" s="8" t="s">
        <v>369</v>
      </c>
      <c r="H78" s="8" t="s">
        <v>370</v>
      </c>
      <c r="I78" s="8" t="s">
        <v>371</v>
      </c>
      <c r="J78" s="8" t="s">
        <v>347</v>
      </c>
      <c r="K78" s="8">
        <v>45.585132000000002</v>
      </c>
      <c r="L78" s="8">
        <v>-97.370344000000003</v>
      </c>
      <c r="M78" s="8" t="s">
        <v>169</v>
      </c>
      <c r="N78" s="10" t="s">
        <v>372</v>
      </c>
      <c r="O78" s="11" t="s">
        <v>56</v>
      </c>
      <c r="P78" s="11" t="s">
        <v>57</v>
      </c>
      <c r="Q78" s="12">
        <v>340</v>
      </c>
      <c r="R78" s="13">
        <v>45112</v>
      </c>
      <c r="S78" s="13">
        <v>45126</v>
      </c>
      <c r="T78" s="11">
        <v>183</v>
      </c>
      <c r="U78" s="11"/>
      <c r="V78" s="11">
        <v>756.8</v>
      </c>
      <c r="W78" s="11">
        <v>255.4</v>
      </c>
      <c r="X78" s="11">
        <v>181</v>
      </c>
      <c r="Y78" s="28"/>
      <c r="Z78">
        <v>2</v>
      </c>
    </row>
    <row r="79" spans="2:26" x14ac:dyDescent="0.25">
      <c r="B79" s="1">
        <v>44440</v>
      </c>
      <c r="C79" s="31">
        <v>0</v>
      </c>
      <c r="D79" s="31">
        <v>1991.71</v>
      </c>
      <c r="E79" s="31">
        <v>2754</v>
      </c>
      <c r="F79" s="31">
        <v>4745.7</v>
      </c>
      <c r="G79" s="20" t="s">
        <v>379</v>
      </c>
      <c r="H79" s="20" t="s">
        <v>380</v>
      </c>
      <c r="I79" s="20" t="s">
        <v>381</v>
      </c>
      <c r="J79" s="20" t="s">
        <v>382</v>
      </c>
      <c r="K79" s="20">
        <v>43.604491000000003</v>
      </c>
      <c r="L79" s="20">
        <v>-98.774021000000005</v>
      </c>
      <c r="M79" s="20" t="s">
        <v>383</v>
      </c>
      <c r="N79" s="4">
        <v>20211012</v>
      </c>
      <c r="O79" t="s">
        <v>56</v>
      </c>
      <c r="P79" t="s">
        <v>57</v>
      </c>
      <c r="Q79" s="5">
        <v>340</v>
      </c>
      <c r="R79" s="1">
        <v>44317</v>
      </c>
      <c r="S79" s="1">
        <v>44502</v>
      </c>
      <c r="T79">
        <v>0</v>
      </c>
      <c r="U79" t="s">
        <v>145</v>
      </c>
      <c r="V79">
        <v>88</v>
      </c>
      <c r="W79">
        <v>27</v>
      </c>
      <c r="X79">
        <v>16</v>
      </c>
      <c r="Y79" s="28"/>
      <c r="Z79">
        <v>2</v>
      </c>
    </row>
    <row r="80" spans="2:26" x14ac:dyDescent="0.25">
      <c r="B80" s="13">
        <v>44767</v>
      </c>
      <c r="C80" s="32">
        <v>0</v>
      </c>
      <c r="D80" s="32">
        <v>8307.73</v>
      </c>
      <c r="E80" s="32">
        <v>8307.73</v>
      </c>
      <c r="F80" s="32">
        <v>16615.46</v>
      </c>
      <c r="G80" s="30" t="s">
        <v>379</v>
      </c>
      <c r="H80" s="30" t="s">
        <v>126</v>
      </c>
      <c r="I80" s="30" t="s">
        <v>381</v>
      </c>
      <c r="J80" s="30" t="s">
        <v>69</v>
      </c>
      <c r="K80" s="30">
        <v>43.748218999999999</v>
      </c>
      <c r="L80" s="30">
        <v>-97.990437</v>
      </c>
      <c r="M80" s="30" t="s">
        <v>189</v>
      </c>
      <c r="N80" s="25" t="s">
        <v>384</v>
      </c>
      <c r="O80" s="24" t="s">
        <v>75</v>
      </c>
      <c r="P80" s="24" t="s">
        <v>304</v>
      </c>
      <c r="Q80" s="26">
        <v>516</v>
      </c>
      <c r="R80" s="27">
        <v>44502</v>
      </c>
      <c r="S80" s="27">
        <v>44793</v>
      </c>
      <c r="T80" s="24">
        <v>301</v>
      </c>
      <c r="U80" s="24"/>
      <c r="V80" s="24">
        <v>483.3</v>
      </c>
      <c r="W80" s="24">
        <v>67.7</v>
      </c>
      <c r="X80" s="24">
        <v>23.4</v>
      </c>
      <c r="Y80" s="28" t="s">
        <v>385</v>
      </c>
      <c r="Z80">
        <v>2</v>
      </c>
    </row>
    <row r="81" spans="2:26" x14ac:dyDescent="0.25">
      <c r="B81" s="1">
        <v>44854</v>
      </c>
      <c r="C81" s="31">
        <v>2281</v>
      </c>
      <c r="D81" s="31">
        <v>0</v>
      </c>
      <c r="E81" s="31">
        <v>2930.2</v>
      </c>
      <c r="F81" s="31">
        <v>5211.2</v>
      </c>
      <c r="G81" s="6" t="s">
        <v>389</v>
      </c>
      <c r="H81" s="6" t="s">
        <v>390</v>
      </c>
      <c r="I81" s="6" t="s">
        <v>391</v>
      </c>
      <c r="J81" s="6" t="s">
        <v>257</v>
      </c>
      <c r="K81" s="6">
        <v>44.031689</v>
      </c>
      <c r="L81" s="6">
        <v>-96.724134000000006</v>
      </c>
      <c r="M81" s="6" t="s">
        <v>258</v>
      </c>
      <c r="N81" s="4" t="s">
        <v>392</v>
      </c>
      <c r="O81" t="s">
        <v>56</v>
      </c>
      <c r="P81" t="s">
        <v>57</v>
      </c>
      <c r="Q81" s="5">
        <v>340</v>
      </c>
      <c r="R81" s="1">
        <v>44743</v>
      </c>
      <c r="S81" s="1">
        <v>44887</v>
      </c>
      <c r="T81">
        <v>184</v>
      </c>
      <c r="V81">
        <v>900</v>
      </c>
      <c r="W81">
        <v>276</v>
      </c>
      <c r="X81">
        <v>180</v>
      </c>
      <c r="Y81" s="28"/>
      <c r="Z81">
        <v>2</v>
      </c>
    </row>
    <row r="82" spans="2:26" x14ac:dyDescent="0.25">
      <c r="B82" s="13">
        <v>44805</v>
      </c>
      <c r="C82" s="32">
        <v>4000</v>
      </c>
      <c r="D82" s="32">
        <v>0</v>
      </c>
      <c r="E82" s="32">
        <v>4109.88</v>
      </c>
      <c r="F82" s="32">
        <v>8106.88</v>
      </c>
      <c r="G82" s="8" t="s">
        <v>393</v>
      </c>
      <c r="H82" s="8" t="s">
        <v>195</v>
      </c>
      <c r="I82" s="8" t="s">
        <v>394</v>
      </c>
      <c r="J82" s="8" t="s">
        <v>395</v>
      </c>
      <c r="K82" s="8">
        <v>45.548445999999998</v>
      </c>
      <c r="L82" s="8">
        <v>-97.105709000000004</v>
      </c>
      <c r="M82" s="8" t="s">
        <v>396</v>
      </c>
      <c r="N82" s="10">
        <v>202210</v>
      </c>
      <c r="O82" s="11" t="s">
        <v>56</v>
      </c>
      <c r="P82" s="11" t="s">
        <v>57</v>
      </c>
      <c r="Q82" s="12">
        <v>340</v>
      </c>
      <c r="R82" s="13">
        <v>44652</v>
      </c>
      <c r="S82" s="13">
        <v>44823</v>
      </c>
      <c r="T82" s="11">
        <v>160</v>
      </c>
      <c r="U82" s="11"/>
      <c r="V82" s="11">
        <v>720</v>
      </c>
      <c r="W82" s="11">
        <v>242</v>
      </c>
      <c r="X82" s="11">
        <v>171</v>
      </c>
      <c r="Y82" s="28"/>
      <c r="Z82">
        <v>2</v>
      </c>
    </row>
    <row r="83" spans="2:26" x14ac:dyDescent="0.25">
      <c r="B83" s="13">
        <v>44865</v>
      </c>
      <c r="C83" s="32">
        <v>545.4</v>
      </c>
      <c r="D83" s="32">
        <v>0</v>
      </c>
      <c r="E83" s="32">
        <v>545.4</v>
      </c>
      <c r="F83" s="32">
        <v>1090.8</v>
      </c>
      <c r="G83" s="8" t="s">
        <v>397</v>
      </c>
      <c r="H83" s="8" t="s">
        <v>398</v>
      </c>
      <c r="I83" s="8" t="s">
        <v>399</v>
      </c>
      <c r="J83" s="8" t="s">
        <v>302</v>
      </c>
      <c r="K83" s="8">
        <v>45.206733</v>
      </c>
      <c r="L83" s="8">
        <v>-96.834397999999993</v>
      </c>
      <c r="M83" s="8" t="s">
        <v>400</v>
      </c>
      <c r="N83" s="10">
        <v>202205</v>
      </c>
      <c r="O83" s="11" t="s">
        <v>56</v>
      </c>
      <c r="P83" s="11" t="s">
        <v>57</v>
      </c>
      <c r="Q83" s="12">
        <v>340</v>
      </c>
      <c r="R83" s="13">
        <v>44718</v>
      </c>
      <c r="S83" s="13">
        <v>44885</v>
      </c>
      <c r="T83" s="11">
        <v>27</v>
      </c>
      <c r="U83" s="11"/>
      <c r="V83" s="11">
        <v>54</v>
      </c>
      <c r="W83" s="11">
        <v>12</v>
      </c>
      <c r="X83" s="11">
        <v>8</v>
      </c>
      <c r="Y83" s="28"/>
      <c r="Z83">
        <v>2</v>
      </c>
    </row>
    <row r="84" spans="2:26" x14ac:dyDescent="0.25">
      <c r="B84" s="1">
        <v>44508</v>
      </c>
      <c r="C84" s="31">
        <v>2041.21</v>
      </c>
      <c r="D84" s="31">
        <v>0</v>
      </c>
      <c r="E84" s="31">
        <v>1360.8</v>
      </c>
      <c r="F84" s="31">
        <v>3402.01</v>
      </c>
      <c r="G84" s="6" t="s">
        <v>397</v>
      </c>
      <c r="H84" s="6" t="s">
        <v>401</v>
      </c>
      <c r="I84" s="6" t="s">
        <v>402</v>
      </c>
      <c r="J84" s="6" t="s">
        <v>302</v>
      </c>
      <c r="K84" s="6">
        <v>45.210529999999999</v>
      </c>
      <c r="L84" s="6">
        <v>-96.831704000000002</v>
      </c>
      <c r="M84" s="6" t="s">
        <v>400</v>
      </c>
      <c r="N84" s="4">
        <v>2021200</v>
      </c>
      <c r="O84" t="s">
        <v>56</v>
      </c>
      <c r="P84" t="s">
        <v>57</v>
      </c>
      <c r="Q84" s="5">
        <v>340</v>
      </c>
      <c r="R84" s="1">
        <v>44470</v>
      </c>
      <c r="S84" s="1">
        <v>44487</v>
      </c>
      <c r="T84">
        <v>187</v>
      </c>
      <c r="V84">
        <v>592</v>
      </c>
      <c r="W84">
        <v>189</v>
      </c>
      <c r="X84">
        <v>125</v>
      </c>
      <c r="Y84" s="28"/>
      <c r="Z84">
        <v>2</v>
      </c>
    </row>
    <row r="85" spans="2:26" x14ac:dyDescent="0.25">
      <c r="B85" s="13">
        <v>44865</v>
      </c>
      <c r="C85" s="32">
        <v>1918.99</v>
      </c>
      <c r="D85" s="32">
        <v>0</v>
      </c>
      <c r="E85" s="32">
        <v>1918.99</v>
      </c>
      <c r="F85" s="32">
        <v>3837.98</v>
      </c>
      <c r="G85" s="8" t="s">
        <v>397</v>
      </c>
      <c r="H85" s="8" t="s">
        <v>401</v>
      </c>
      <c r="I85" s="8" t="s">
        <v>402</v>
      </c>
      <c r="J85" s="8" t="s">
        <v>302</v>
      </c>
      <c r="K85" s="8">
        <v>45.180712</v>
      </c>
      <c r="L85" s="8">
        <v>-96.826802000000001</v>
      </c>
      <c r="M85" s="8" t="s">
        <v>400</v>
      </c>
      <c r="N85" s="10">
        <v>202201</v>
      </c>
      <c r="O85" s="11" t="s">
        <v>56</v>
      </c>
      <c r="P85" s="11" t="s">
        <v>57</v>
      </c>
      <c r="Q85" s="12">
        <v>340</v>
      </c>
      <c r="R85" s="13">
        <v>44805</v>
      </c>
      <c r="S85" s="13">
        <v>45170</v>
      </c>
      <c r="T85" s="11">
        <v>187</v>
      </c>
      <c r="U85" s="11"/>
      <c r="V85" s="11">
        <v>461</v>
      </c>
      <c r="W85" s="11">
        <v>152</v>
      </c>
      <c r="X85" s="11">
        <v>27</v>
      </c>
      <c r="Y85" s="28"/>
      <c r="Z85">
        <v>2</v>
      </c>
    </row>
    <row r="86" spans="2:26" x14ac:dyDescent="0.25">
      <c r="B86" s="13">
        <v>44865</v>
      </c>
      <c r="C86" s="32">
        <v>2025.42</v>
      </c>
      <c r="D86" s="32">
        <v>0</v>
      </c>
      <c r="E86" s="32">
        <v>2025.44</v>
      </c>
      <c r="F86" s="32">
        <v>4050.86</v>
      </c>
      <c r="G86" s="8" t="s">
        <v>397</v>
      </c>
      <c r="H86" s="8" t="s">
        <v>403</v>
      </c>
      <c r="I86" s="8" t="s">
        <v>404</v>
      </c>
      <c r="J86" s="8" t="s">
        <v>274</v>
      </c>
      <c r="K86" s="8">
        <v>45.175505000000001</v>
      </c>
      <c r="L86" s="8">
        <v>-96.798634000000007</v>
      </c>
      <c r="M86" s="8" t="s">
        <v>400</v>
      </c>
      <c r="N86" s="10" t="s">
        <v>240</v>
      </c>
      <c r="O86" s="11" t="s">
        <v>56</v>
      </c>
      <c r="P86" s="11" t="s">
        <v>57</v>
      </c>
      <c r="Q86" s="12">
        <v>340</v>
      </c>
      <c r="R86" s="13">
        <v>44805</v>
      </c>
      <c r="S86" s="13">
        <v>45153</v>
      </c>
      <c r="T86" s="11">
        <v>101</v>
      </c>
      <c r="U86" s="11"/>
      <c r="V86" s="11"/>
      <c r="W86" s="11"/>
      <c r="X86" s="11"/>
      <c r="Y86" s="28"/>
      <c r="Z86">
        <v>2</v>
      </c>
    </row>
    <row r="87" spans="2:26" x14ac:dyDescent="0.25">
      <c r="B87" s="13">
        <v>44774</v>
      </c>
      <c r="C87" s="32">
        <v>0</v>
      </c>
      <c r="D87" s="32">
        <v>4000</v>
      </c>
      <c r="E87" s="32">
        <v>14422.03</v>
      </c>
      <c r="F87" s="32">
        <v>18422.03</v>
      </c>
      <c r="G87" s="8" t="s">
        <v>405</v>
      </c>
      <c r="H87" s="8" t="s">
        <v>406</v>
      </c>
      <c r="I87" s="8" t="s">
        <v>407</v>
      </c>
      <c r="J87" s="8" t="s">
        <v>408</v>
      </c>
      <c r="K87" s="8">
        <v>45.233482000000002</v>
      </c>
      <c r="L87" s="8">
        <v>-97.999503000000004</v>
      </c>
      <c r="M87" s="8" t="s">
        <v>409</v>
      </c>
      <c r="N87" s="10">
        <v>2022001</v>
      </c>
      <c r="O87" s="11" t="s">
        <v>56</v>
      </c>
      <c r="P87" s="11" t="s">
        <v>57</v>
      </c>
      <c r="Q87" s="12">
        <v>340</v>
      </c>
      <c r="R87" s="13">
        <v>44317</v>
      </c>
      <c r="S87" s="13">
        <v>44440</v>
      </c>
      <c r="T87" s="11">
        <v>440</v>
      </c>
      <c r="U87" s="11"/>
      <c r="V87" s="11">
        <v>1486</v>
      </c>
      <c r="W87" s="11">
        <v>484</v>
      </c>
      <c r="X87" s="11">
        <v>328</v>
      </c>
      <c r="Y87" s="28"/>
      <c r="Z87">
        <v>2</v>
      </c>
    </row>
    <row r="88" spans="2:26" x14ac:dyDescent="0.25">
      <c r="B88" s="1">
        <v>45141</v>
      </c>
      <c r="C88" s="31">
        <v>4000</v>
      </c>
      <c r="D88" s="31">
        <v>0</v>
      </c>
      <c r="E88" s="31">
        <v>5060.79</v>
      </c>
      <c r="F88" s="31">
        <v>9060.7900000000009</v>
      </c>
      <c r="G88" s="6" t="s">
        <v>410</v>
      </c>
      <c r="H88" s="6" t="s">
        <v>331</v>
      </c>
      <c r="I88" s="6" t="s">
        <v>411</v>
      </c>
      <c r="J88" s="6" t="s">
        <v>412</v>
      </c>
      <c r="K88" s="6">
        <v>45.764279000000002</v>
      </c>
      <c r="L88" s="6">
        <v>-98.088162999999994</v>
      </c>
      <c r="M88" s="6" t="s">
        <v>169</v>
      </c>
      <c r="N88" s="4" t="s">
        <v>103</v>
      </c>
      <c r="O88" t="s">
        <v>56</v>
      </c>
      <c r="P88" t="s">
        <v>57</v>
      </c>
      <c r="Q88" s="5">
        <v>340</v>
      </c>
      <c r="R88" s="1">
        <v>45051</v>
      </c>
      <c r="S88" s="1">
        <v>45141</v>
      </c>
      <c r="T88">
        <v>170</v>
      </c>
      <c r="V88">
        <v>431</v>
      </c>
      <c r="W88">
        <v>116</v>
      </c>
      <c r="X88">
        <v>63</v>
      </c>
      <c r="Y88" s="28"/>
      <c r="Z88">
        <v>2</v>
      </c>
    </row>
    <row r="89" spans="2:26" x14ac:dyDescent="0.25">
      <c r="B89" s="13">
        <v>45422</v>
      </c>
      <c r="C89" s="32">
        <v>7732.73</v>
      </c>
      <c r="D89" s="32"/>
      <c r="E89" s="32">
        <v>7732.73</v>
      </c>
      <c r="F89" s="32">
        <v>15465.46</v>
      </c>
      <c r="G89" s="8" t="s">
        <v>413</v>
      </c>
      <c r="H89" s="8" t="s">
        <v>272</v>
      </c>
      <c r="I89" s="8" t="s">
        <v>414</v>
      </c>
      <c r="J89" s="8" t="s">
        <v>415</v>
      </c>
      <c r="K89" s="8">
        <v>43.108694</v>
      </c>
      <c r="L89" s="8">
        <v>-96.640501999999998</v>
      </c>
      <c r="M89" s="8" t="s">
        <v>418</v>
      </c>
      <c r="N89" s="10" t="s">
        <v>419</v>
      </c>
      <c r="O89" s="11" t="s">
        <v>132</v>
      </c>
      <c r="P89" s="11" t="s">
        <v>133</v>
      </c>
      <c r="Q89" s="12"/>
      <c r="R89" s="13">
        <v>45413</v>
      </c>
      <c r="S89" s="13">
        <v>45422</v>
      </c>
      <c r="T89" s="11">
        <v>99.5</v>
      </c>
      <c r="U89" s="11"/>
      <c r="V89" s="11">
        <v>641</v>
      </c>
      <c r="W89" s="11">
        <v>207</v>
      </c>
      <c r="X89" s="11">
        <v>139</v>
      </c>
      <c r="Y89" s="28"/>
      <c r="Z89">
        <v>3</v>
      </c>
    </row>
    <row r="90" spans="2:26" x14ac:dyDescent="0.25">
      <c r="B90" s="1">
        <v>44493</v>
      </c>
      <c r="C90" s="31">
        <v>2179.8000000000002</v>
      </c>
      <c r="D90" s="31">
        <v>0</v>
      </c>
      <c r="E90" s="31">
        <v>3240</v>
      </c>
      <c r="F90" s="31">
        <v>5419.8</v>
      </c>
      <c r="G90" s="20" t="s">
        <v>424</v>
      </c>
      <c r="H90" s="20" t="s">
        <v>425</v>
      </c>
      <c r="I90" s="20" t="s">
        <v>426</v>
      </c>
      <c r="J90" s="20" t="s">
        <v>427</v>
      </c>
      <c r="K90" s="20">
        <v>43.821427999999997</v>
      </c>
      <c r="L90" s="20">
        <v>-97.156839000000005</v>
      </c>
      <c r="M90" s="20" t="s">
        <v>156</v>
      </c>
      <c r="N90" s="4" t="s">
        <v>428</v>
      </c>
      <c r="O90" t="s">
        <v>56</v>
      </c>
      <c r="P90" t="s">
        <v>57</v>
      </c>
      <c r="Q90" s="5">
        <v>340</v>
      </c>
      <c r="R90" s="1">
        <v>44409</v>
      </c>
      <c r="S90" s="1">
        <v>44528</v>
      </c>
      <c r="T90">
        <v>0</v>
      </c>
      <c r="U90" t="s">
        <v>145</v>
      </c>
      <c r="V90">
        <v>861</v>
      </c>
      <c r="W90">
        <v>267</v>
      </c>
      <c r="X90">
        <v>169</v>
      </c>
      <c r="Y90" s="28"/>
      <c r="Z90">
        <v>2</v>
      </c>
    </row>
    <row r="91" spans="2:26" x14ac:dyDescent="0.25">
      <c r="B91" s="1">
        <v>44751</v>
      </c>
      <c r="C91" s="31">
        <v>2416</v>
      </c>
      <c r="D91" s="31">
        <v>0</v>
      </c>
      <c r="E91" s="31">
        <v>3939.2</v>
      </c>
      <c r="F91" s="31">
        <v>6355.2</v>
      </c>
      <c r="G91" s="6" t="s">
        <v>424</v>
      </c>
      <c r="H91" s="6" t="s">
        <v>425</v>
      </c>
      <c r="I91" s="6" t="s">
        <v>426</v>
      </c>
      <c r="J91" s="6" t="s">
        <v>427</v>
      </c>
      <c r="K91" s="6">
        <v>43.772395000000003</v>
      </c>
      <c r="L91" s="6">
        <v>-97.474423000000002</v>
      </c>
      <c r="M91" s="6" t="s">
        <v>192</v>
      </c>
      <c r="N91" s="4" t="s">
        <v>429</v>
      </c>
      <c r="O91" t="s">
        <v>56</v>
      </c>
      <c r="P91" t="s">
        <v>57</v>
      </c>
      <c r="Q91" s="5">
        <v>340</v>
      </c>
      <c r="R91" s="1">
        <v>44713</v>
      </c>
      <c r="S91" s="1">
        <v>44896</v>
      </c>
      <c r="T91">
        <v>192</v>
      </c>
      <c r="U91" t="s">
        <v>145</v>
      </c>
      <c r="V91">
        <v>913</v>
      </c>
      <c r="W91">
        <v>283</v>
      </c>
      <c r="X91">
        <v>180</v>
      </c>
      <c r="Y91" s="28"/>
      <c r="Z91">
        <v>2</v>
      </c>
    </row>
    <row r="92" spans="2:26" x14ac:dyDescent="0.25">
      <c r="B92" s="1">
        <v>45135</v>
      </c>
      <c r="C92" s="31">
        <v>4745.6000000000004</v>
      </c>
      <c r="D92" s="31">
        <v>0</v>
      </c>
      <c r="E92" s="31">
        <v>7768.72</v>
      </c>
      <c r="F92" s="31">
        <v>12514.32</v>
      </c>
      <c r="G92" s="6" t="s">
        <v>424</v>
      </c>
      <c r="H92" s="6" t="s">
        <v>430</v>
      </c>
      <c r="I92" s="6" t="s">
        <v>431</v>
      </c>
      <c r="J92" s="6" t="s">
        <v>432</v>
      </c>
      <c r="K92" s="6">
        <v>42.896971000000001</v>
      </c>
      <c r="L92" s="6">
        <v>-97.708185</v>
      </c>
      <c r="M92" s="6" t="s">
        <v>433</v>
      </c>
      <c r="N92" s="4" t="s">
        <v>434</v>
      </c>
      <c r="O92" t="s">
        <v>56</v>
      </c>
      <c r="P92" t="s">
        <v>57</v>
      </c>
      <c r="Q92" s="5">
        <v>340</v>
      </c>
      <c r="R92" s="1">
        <v>45117</v>
      </c>
      <c r="S92" s="1">
        <v>45135</v>
      </c>
      <c r="T92">
        <v>252</v>
      </c>
      <c r="V92">
        <v>1482</v>
      </c>
      <c r="W92">
        <v>473</v>
      </c>
      <c r="X92">
        <v>323</v>
      </c>
      <c r="Y92" s="28"/>
      <c r="Z92">
        <v>2</v>
      </c>
    </row>
    <row r="93" spans="2:26" x14ac:dyDescent="0.25">
      <c r="B93" s="1">
        <v>45063</v>
      </c>
      <c r="C93" s="31">
        <v>13473.49</v>
      </c>
      <c r="D93" s="31">
        <v>2125.5</v>
      </c>
      <c r="E93" s="31">
        <v>32809.01</v>
      </c>
      <c r="F93" s="31">
        <v>48408</v>
      </c>
      <c r="G93" s="6" t="s">
        <v>424</v>
      </c>
      <c r="H93" s="6" t="s">
        <v>430</v>
      </c>
      <c r="I93" s="6" t="s">
        <v>431</v>
      </c>
      <c r="J93" s="6" t="s">
        <v>432</v>
      </c>
      <c r="K93" s="6">
        <v>42.896971000000001</v>
      </c>
      <c r="L93" s="6">
        <v>-97.708185</v>
      </c>
      <c r="M93" s="6" t="s">
        <v>433</v>
      </c>
      <c r="N93" s="4" t="s">
        <v>434</v>
      </c>
      <c r="O93" t="s">
        <v>132</v>
      </c>
      <c r="P93" t="s">
        <v>133</v>
      </c>
      <c r="Q93" s="5"/>
      <c r="R93" s="1">
        <v>45017</v>
      </c>
      <c r="S93" s="1">
        <v>45138</v>
      </c>
      <c r="T93">
        <v>252</v>
      </c>
      <c r="V93">
        <v>1320</v>
      </c>
      <c r="W93">
        <v>451</v>
      </c>
      <c r="X93">
        <v>324</v>
      </c>
      <c r="Y93" s="28"/>
      <c r="Z93">
        <v>2</v>
      </c>
    </row>
    <row r="94" spans="2:26" x14ac:dyDescent="0.25">
      <c r="B94" s="13">
        <v>45543</v>
      </c>
      <c r="C94" s="32">
        <v>0</v>
      </c>
      <c r="D94" s="32"/>
      <c r="E94" s="32">
        <v>7160</v>
      </c>
      <c r="F94" s="32">
        <v>7160</v>
      </c>
      <c r="G94" s="8" t="s">
        <v>424</v>
      </c>
      <c r="H94" s="8" t="s">
        <v>430</v>
      </c>
      <c r="I94" s="8" t="s">
        <v>431</v>
      </c>
      <c r="J94" s="8" t="s">
        <v>432</v>
      </c>
      <c r="K94" s="8">
        <v>42.886735999999999</v>
      </c>
      <c r="L94" s="8">
        <v>-97.712297000000007</v>
      </c>
      <c r="M94" s="8" t="s">
        <v>433</v>
      </c>
      <c r="N94" s="10" t="s">
        <v>435</v>
      </c>
      <c r="O94" s="11" t="s">
        <v>56</v>
      </c>
      <c r="P94" s="11" t="s">
        <v>57</v>
      </c>
      <c r="Q94" s="12">
        <v>340</v>
      </c>
      <c r="R94" s="13">
        <v>45488</v>
      </c>
      <c r="S94" s="13">
        <v>45543</v>
      </c>
      <c r="T94" s="11">
        <v>180</v>
      </c>
      <c r="U94" s="11"/>
      <c r="V94" s="11">
        <v>1502</v>
      </c>
      <c r="W94" s="11">
        <v>514</v>
      </c>
      <c r="X94" s="11">
        <v>368</v>
      </c>
      <c r="Y94" s="28"/>
      <c r="Z94">
        <v>3</v>
      </c>
    </row>
    <row r="95" spans="2:26" x14ac:dyDescent="0.25">
      <c r="B95" s="13">
        <v>44802</v>
      </c>
      <c r="C95" s="32">
        <v>0</v>
      </c>
      <c r="D95" s="32">
        <v>959.4</v>
      </c>
      <c r="E95" s="32">
        <v>959.4</v>
      </c>
      <c r="F95" s="32">
        <v>1918.8</v>
      </c>
      <c r="G95" s="8" t="s">
        <v>436</v>
      </c>
      <c r="H95" s="8" t="s">
        <v>437</v>
      </c>
      <c r="I95" s="8" t="s">
        <v>438</v>
      </c>
      <c r="J95" s="8" t="s">
        <v>263</v>
      </c>
      <c r="K95" s="8">
        <v>43.925998</v>
      </c>
      <c r="L95" s="8">
        <v>-97.758298999999994</v>
      </c>
      <c r="M95" s="8" t="s">
        <v>189</v>
      </c>
      <c r="N95" s="10" t="s">
        <v>439</v>
      </c>
      <c r="O95" s="11" t="s">
        <v>56</v>
      </c>
      <c r="P95" s="11" t="s">
        <v>57</v>
      </c>
      <c r="Q95" s="12">
        <v>340</v>
      </c>
      <c r="R95" s="13">
        <v>44662</v>
      </c>
      <c r="S95" s="13">
        <v>44798</v>
      </c>
      <c r="T95" s="11">
        <v>72</v>
      </c>
      <c r="U95" s="11"/>
      <c r="V95" s="11">
        <v>256</v>
      </c>
      <c r="W95" s="11">
        <v>72</v>
      </c>
      <c r="X95" s="11">
        <v>41</v>
      </c>
      <c r="Y95" s="28"/>
      <c r="Z95">
        <v>2</v>
      </c>
    </row>
    <row r="96" spans="2:26" x14ac:dyDescent="0.25">
      <c r="B96" s="13">
        <v>44820</v>
      </c>
      <c r="C96" s="32">
        <v>4459.2</v>
      </c>
      <c r="D96" s="32">
        <v>0</v>
      </c>
      <c r="E96" s="32">
        <v>2793.6</v>
      </c>
      <c r="F96" s="32">
        <v>7252.8</v>
      </c>
      <c r="G96" s="8" t="s">
        <v>440</v>
      </c>
      <c r="H96" s="8" t="s">
        <v>441</v>
      </c>
      <c r="I96" s="8" t="s">
        <v>442</v>
      </c>
      <c r="J96" s="8" t="s">
        <v>200</v>
      </c>
      <c r="K96" s="8">
        <v>43.311976999999999</v>
      </c>
      <c r="L96" s="8">
        <v>-97.235207000000003</v>
      </c>
      <c r="M96" s="8" t="s">
        <v>100</v>
      </c>
      <c r="N96" s="10" t="s">
        <v>240</v>
      </c>
      <c r="O96" s="11" t="s">
        <v>56</v>
      </c>
      <c r="P96" s="11" t="s">
        <v>57</v>
      </c>
      <c r="Q96" s="12">
        <v>340</v>
      </c>
      <c r="R96" s="13">
        <v>45047</v>
      </c>
      <c r="S96" s="13">
        <v>45158</v>
      </c>
      <c r="T96" s="11">
        <v>160</v>
      </c>
      <c r="U96" s="11"/>
      <c r="V96" s="11">
        <v>688</v>
      </c>
      <c r="W96" s="11">
        <v>203</v>
      </c>
      <c r="X96" s="11">
        <v>126</v>
      </c>
      <c r="Y96" s="28"/>
      <c r="Z96">
        <v>2</v>
      </c>
    </row>
    <row r="97" spans="2:26" x14ac:dyDescent="0.25">
      <c r="B97" s="1">
        <v>44795</v>
      </c>
      <c r="C97" s="31">
        <v>5910.4</v>
      </c>
      <c r="D97" s="31">
        <v>0</v>
      </c>
      <c r="E97" s="31">
        <v>5910.4</v>
      </c>
      <c r="F97" s="31">
        <v>11820.8</v>
      </c>
      <c r="G97" s="20" t="s">
        <v>446</v>
      </c>
      <c r="H97" s="20" t="s">
        <v>329</v>
      </c>
      <c r="I97" s="20" t="s">
        <v>447</v>
      </c>
      <c r="J97" s="20" t="s">
        <v>239</v>
      </c>
      <c r="K97" s="20">
        <v>43.583599</v>
      </c>
      <c r="L97" s="20">
        <v>-97.941361999999998</v>
      </c>
      <c r="M97" s="20" t="s">
        <v>64</v>
      </c>
      <c r="N97" s="4" t="s">
        <v>448</v>
      </c>
      <c r="O97" t="s">
        <v>75</v>
      </c>
      <c r="P97" t="s">
        <v>304</v>
      </c>
      <c r="Q97" s="5">
        <v>516</v>
      </c>
      <c r="R97" s="1">
        <v>44417</v>
      </c>
      <c r="S97" s="1">
        <v>44805</v>
      </c>
      <c r="T97">
        <v>79</v>
      </c>
      <c r="Y97" s="28"/>
      <c r="Z97">
        <v>2</v>
      </c>
    </row>
    <row r="98" spans="2:26" x14ac:dyDescent="0.25">
      <c r="B98" s="1">
        <v>44894</v>
      </c>
      <c r="C98" s="31">
        <v>1692.18</v>
      </c>
      <c r="D98" s="31">
        <v>0</v>
      </c>
      <c r="E98" s="31">
        <v>1692.18</v>
      </c>
      <c r="F98" s="31">
        <v>3384.36</v>
      </c>
      <c r="G98" s="6" t="s">
        <v>446</v>
      </c>
      <c r="H98" s="6" t="s">
        <v>329</v>
      </c>
      <c r="I98" s="6" t="s">
        <v>447</v>
      </c>
      <c r="J98" s="6" t="s">
        <v>239</v>
      </c>
      <c r="K98" s="6">
        <v>43.583599</v>
      </c>
      <c r="L98" s="6">
        <v>-97.941361999999998</v>
      </c>
      <c r="M98" s="6" t="s">
        <v>64</v>
      </c>
      <c r="N98" s="4" t="s">
        <v>448</v>
      </c>
      <c r="O98" t="s">
        <v>75</v>
      </c>
      <c r="P98" t="s">
        <v>305</v>
      </c>
      <c r="Q98" s="5">
        <v>382</v>
      </c>
      <c r="R98" s="1">
        <v>44389</v>
      </c>
      <c r="S98" s="1">
        <v>44887</v>
      </c>
      <c r="T98">
        <v>79</v>
      </c>
      <c r="Y98" s="28"/>
      <c r="Z98">
        <v>2</v>
      </c>
    </row>
    <row r="99" spans="2:26" x14ac:dyDescent="0.25">
      <c r="B99" s="13">
        <v>44866</v>
      </c>
      <c r="C99" s="32">
        <v>188.75</v>
      </c>
      <c r="D99" s="32">
        <v>0</v>
      </c>
      <c r="E99" s="32">
        <v>188.75</v>
      </c>
      <c r="F99" s="32">
        <v>377.5</v>
      </c>
      <c r="G99" s="8" t="s">
        <v>446</v>
      </c>
      <c r="H99" s="8" t="s">
        <v>329</v>
      </c>
      <c r="I99" s="8" t="s">
        <v>447</v>
      </c>
      <c r="J99" s="8" t="s">
        <v>239</v>
      </c>
      <c r="K99" s="8">
        <v>43.583599</v>
      </c>
      <c r="L99" s="8">
        <v>-97.941361999999998</v>
      </c>
      <c r="M99" s="8" t="s">
        <v>64</v>
      </c>
      <c r="N99" s="10" t="s">
        <v>448</v>
      </c>
      <c r="O99" s="11" t="s">
        <v>132</v>
      </c>
      <c r="P99" s="11" t="s">
        <v>133</v>
      </c>
      <c r="Q99" s="12"/>
      <c r="R99" s="13">
        <v>44395</v>
      </c>
      <c r="S99" s="13">
        <v>44823</v>
      </c>
      <c r="T99" s="11">
        <v>79</v>
      </c>
      <c r="U99" s="11"/>
      <c r="V99" s="11">
        <v>214</v>
      </c>
      <c r="W99" s="11">
        <v>38</v>
      </c>
      <c r="X99" s="11">
        <v>18</v>
      </c>
      <c r="Y99" s="28"/>
      <c r="Z99">
        <v>2</v>
      </c>
    </row>
    <row r="100" spans="2:26" x14ac:dyDescent="0.25">
      <c r="B100" s="13" t="s">
        <v>464</v>
      </c>
      <c r="C100" s="32">
        <v>0</v>
      </c>
      <c r="D100" s="32">
        <v>3530.1</v>
      </c>
      <c r="E100" s="32">
        <v>3530.1</v>
      </c>
      <c r="F100" s="32">
        <v>7060.2</v>
      </c>
      <c r="G100" s="8" t="s">
        <v>460</v>
      </c>
      <c r="H100" s="8" t="s">
        <v>461</v>
      </c>
      <c r="I100" s="8" t="s">
        <v>462</v>
      </c>
      <c r="J100" s="8" t="s">
        <v>463</v>
      </c>
      <c r="K100" s="8">
        <v>45.424764000000003</v>
      </c>
      <c r="L100" s="8">
        <v>-98.181145999999998</v>
      </c>
      <c r="M100" s="8" t="s">
        <v>233</v>
      </c>
      <c r="N100" s="10">
        <v>2004</v>
      </c>
      <c r="O100" s="11" t="s">
        <v>56</v>
      </c>
      <c r="P100" s="11" t="s">
        <v>57</v>
      </c>
      <c r="Q100" s="12">
        <v>340</v>
      </c>
      <c r="R100" s="13">
        <v>44747</v>
      </c>
      <c r="S100" s="13">
        <v>44832</v>
      </c>
      <c r="T100" s="11">
        <v>141</v>
      </c>
      <c r="U100" s="11"/>
      <c r="V100" s="11">
        <v>382.1</v>
      </c>
      <c r="W100" s="11">
        <v>108.3</v>
      </c>
      <c r="X100" s="11">
        <v>59.5</v>
      </c>
      <c r="Y100" s="28"/>
      <c r="Z100">
        <v>2</v>
      </c>
    </row>
    <row r="101" spans="2:26" x14ac:dyDescent="0.25">
      <c r="B101" s="1">
        <v>45558</v>
      </c>
      <c r="C101" s="31">
        <v>4480</v>
      </c>
      <c r="D101" s="31"/>
      <c r="E101" s="31">
        <v>8256</v>
      </c>
      <c r="F101" s="31">
        <v>12736</v>
      </c>
      <c r="G101" s="20" t="s">
        <v>465</v>
      </c>
      <c r="H101" s="20" t="s">
        <v>466</v>
      </c>
      <c r="I101" s="20" t="s">
        <v>467</v>
      </c>
      <c r="J101" s="20" t="s">
        <v>468</v>
      </c>
      <c r="K101" s="20">
        <v>45.367956999999997</v>
      </c>
      <c r="L101" s="20">
        <v>-96.877460999999997</v>
      </c>
      <c r="M101" s="20" t="s">
        <v>275</v>
      </c>
      <c r="N101" s="4">
        <v>202402</v>
      </c>
      <c r="O101" t="s">
        <v>56</v>
      </c>
      <c r="P101" t="s">
        <v>57</v>
      </c>
      <c r="Q101" s="5">
        <v>340</v>
      </c>
      <c r="R101" s="1">
        <v>45413</v>
      </c>
      <c r="S101" s="1">
        <v>45413</v>
      </c>
      <c r="T101">
        <v>154</v>
      </c>
      <c r="V101">
        <v>492</v>
      </c>
      <c r="W101">
        <v>157</v>
      </c>
      <c r="X101">
        <v>107</v>
      </c>
      <c r="Y101" s="28"/>
      <c r="Z101">
        <v>3</v>
      </c>
    </row>
    <row r="102" spans="2:26" x14ac:dyDescent="0.25">
      <c r="B102" s="13">
        <v>45558</v>
      </c>
      <c r="C102" s="32">
        <v>1000</v>
      </c>
      <c r="D102" s="32"/>
      <c r="E102" s="32">
        <v>3125</v>
      </c>
      <c r="F102" s="32">
        <v>4125</v>
      </c>
      <c r="G102" s="8" t="s">
        <v>465</v>
      </c>
      <c r="H102" s="8" t="s">
        <v>466</v>
      </c>
      <c r="I102" s="8" t="s">
        <v>467</v>
      </c>
      <c r="J102" s="8" t="s">
        <v>468</v>
      </c>
      <c r="K102" s="8">
        <v>45.367956999999997</v>
      </c>
      <c r="L102" s="8">
        <v>-96.877460999999997</v>
      </c>
      <c r="M102" s="8" t="s">
        <v>275</v>
      </c>
      <c r="N102" s="10">
        <v>202402</v>
      </c>
      <c r="O102" s="11" t="s">
        <v>132</v>
      </c>
      <c r="P102" s="11" t="s">
        <v>133</v>
      </c>
      <c r="Q102" s="12"/>
      <c r="R102" s="13">
        <v>45474</v>
      </c>
      <c r="S102" s="13">
        <v>45474</v>
      </c>
      <c r="T102" s="11">
        <v>154</v>
      </c>
      <c r="U102" s="11"/>
      <c r="V102" s="11">
        <v>117</v>
      </c>
      <c r="W102" s="11">
        <v>36</v>
      </c>
      <c r="X102" s="11">
        <v>25</v>
      </c>
      <c r="Y102" s="28"/>
      <c r="Z102">
        <v>3</v>
      </c>
    </row>
    <row r="103" spans="2:26" x14ac:dyDescent="0.25">
      <c r="B103" s="1">
        <v>45370</v>
      </c>
      <c r="C103" s="31">
        <v>32161.97</v>
      </c>
      <c r="D103" s="31"/>
      <c r="E103" s="31">
        <v>41620.97</v>
      </c>
      <c r="F103" s="31">
        <v>73782.94</v>
      </c>
      <c r="G103" s="20" t="s">
        <v>469</v>
      </c>
      <c r="H103" s="20" t="s">
        <v>470</v>
      </c>
      <c r="I103" s="20" t="s">
        <v>471</v>
      </c>
      <c r="J103" s="20" t="s">
        <v>472</v>
      </c>
      <c r="K103" s="20">
        <v>43.321773999999998</v>
      </c>
      <c r="L103" s="20">
        <v>-100.44682299999999</v>
      </c>
      <c r="M103" s="20" t="s">
        <v>473</v>
      </c>
      <c r="N103" s="4" t="s">
        <v>474</v>
      </c>
      <c r="O103" t="s">
        <v>75</v>
      </c>
      <c r="P103" t="s">
        <v>475</v>
      </c>
      <c r="Q103" s="5">
        <v>914</v>
      </c>
      <c r="R103" s="1">
        <v>45069</v>
      </c>
      <c r="S103" s="1">
        <v>45369</v>
      </c>
      <c r="T103">
        <v>268.45999999999998</v>
      </c>
      <c r="Y103" s="28"/>
      <c r="Z103">
        <v>2</v>
      </c>
    </row>
    <row r="104" spans="2:26" x14ac:dyDescent="0.25">
      <c r="B104" s="1">
        <v>45550</v>
      </c>
      <c r="C104" s="31">
        <v>478.66</v>
      </c>
      <c r="D104" s="31"/>
      <c r="E104" s="31">
        <v>478.66</v>
      </c>
      <c r="F104" s="31">
        <v>957.32</v>
      </c>
      <c r="G104" s="6" t="s">
        <v>476</v>
      </c>
      <c r="H104" s="6" t="s">
        <v>201</v>
      </c>
      <c r="I104" s="6" t="s">
        <v>477</v>
      </c>
      <c r="J104" s="6" t="s">
        <v>478</v>
      </c>
      <c r="K104" s="6">
        <v>43.062289</v>
      </c>
      <c r="L104" s="6">
        <v>-97.649383999999998</v>
      </c>
      <c r="M104" s="6" t="s">
        <v>137</v>
      </c>
      <c r="N104" s="4" t="s">
        <v>479</v>
      </c>
      <c r="O104" t="s">
        <v>56</v>
      </c>
      <c r="P104" t="s">
        <v>57</v>
      </c>
      <c r="Q104" s="5">
        <v>340</v>
      </c>
      <c r="R104" s="1">
        <v>45526</v>
      </c>
      <c r="S104" s="1">
        <v>45550</v>
      </c>
      <c r="T104">
        <v>30</v>
      </c>
      <c r="V104">
        <v>272</v>
      </c>
      <c r="W104">
        <v>93</v>
      </c>
      <c r="X104">
        <v>68</v>
      </c>
      <c r="Y104" s="28"/>
      <c r="Z104">
        <v>3</v>
      </c>
    </row>
    <row r="105" spans="2:26" x14ac:dyDescent="0.25">
      <c r="B105" s="13">
        <v>45405</v>
      </c>
      <c r="C105" s="32">
        <v>4424</v>
      </c>
      <c r="D105" s="32"/>
      <c r="E105" s="32">
        <v>5090.17</v>
      </c>
      <c r="F105" s="32">
        <v>9514.17</v>
      </c>
      <c r="G105" s="8" t="s">
        <v>480</v>
      </c>
      <c r="H105" s="8" t="s">
        <v>481</v>
      </c>
      <c r="I105" s="8" t="s">
        <v>482</v>
      </c>
      <c r="J105" s="8" t="s">
        <v>483</v>
      </c>
      <c r="K105" s="8">
        <v>44.651564</v>
      </c>
      <c r="L105" s="8">
        <v>-101.342377</v>
      </c>
      <c r="M105" s="8" t="s">
        <v>484</v>
      </c>
      <c r="N105" s="10" t="s">
        <v>485</v>
      </c>
      <c r="O105" s="11" t="s">
        <v>56</v>
      </c>
      <c r="P105" s="11" t="s">
        <v>57</v>
      </c>
      <c r="Q105" s="12">
        <v>340</v>
      </c>
      <c r="R105" s="13">
        <v>45383</v>
      </c>
      <c r="S105" s="13">
        <v>45401</v>
      </c>
      <c r="T105" s="11">
        <v>158</v>
      </c>
      <c r="U105" s="11"/>
      <c r="V105" s="11">
        <v>1735</v>
      </c>
      <c r="W105" s="11">
        <v>633</v>
      </c>
      <c r="X105" s="11">
        <v>489</v>
      </c>
      <c r="Y105" s="28"/>
      <c r="Z105">
        <v>3</v>
      </c>
    </row>
    <row r="106" spans="2:26" x14ac:dyDescent="0.25">
      <c r="B106" s="13">
        <v>45444</v>
      </c>
      <c r="C106" s="32">
        <v>4000</v>
      </c>
      <c r="D106" s="32"/>
      <c r="E106" s="32">
        <v>11809</v>
      </c>
      <c r="F106" s="32">
        <v>15809</v>
      </c>
      <c r="G106" s="8" t="s">
        <v>480</v>
      </c>
      <c r="H106" s="8" t="s">
        <v>255</v>
      </c>
      <c r="I106" s="8" t="s">
        <v>482</v>
      </c>
      <c r="J106" s="8" t="s">
        <v>483</v>
      </c>
      <c r="K106" s="8">
        <v>44.556004999999999</v>
      </c>
      <c r="L106" s="8">
        <v>-101.320891</v>
      </c>
      <c r="M106" s="8" t="s">
        <v>484</v>
      </c>
      <c r="N106" s="10" t="s">
        <v>486</v>
      </c>
      <c r="O106" s="11" t="s">
        <v>56</v>
      </c>
      <c r="P106" s="11" t="s">
        <v>57</v>
      </c>
      <c r="Q106" s="12">
        <v>340</v>
      </c>
      <c r="R106" s="13">
        <v>45413</v>
      </c>
      <c r="S106" s="13">
        <v>45424</v>
      </c>
      <c r="T106" s="11">
        <v>171</v>
      </c>
      <c r="U106" s="11"/>
      <c r="V106" s="11">
        <v>1291</v>
      </c>
      <c r="W106" s="11">
        <v>753</v>
      </c>
      <c r="X106" s="11">
        <v>582</v>
      </c>
      <c r="Y106" s="28"/>
      <c r="Z106">
        <v>3</v>
      </c>
    </row>
    <row r="107" spans="2:26" x14ac:dyDescent="0.25">
      <c r="B107" s="13">
        <v>45544</v>
      </c>
      <c r="C107" s="32">
        <v>2600</v>
      </c>
      <c r="D107" s="32"/>
      <c r="E107" s="32">
        <v>2674.5</v>
      </c>
      <c r="F107" s="32">
        <v>5274.5</v>
      </c>
      <c r="G107" s="8" t="s">
        <v>487</v>
      </c>
      <c r="H107" s="8" t="s">
        <v>97</v>
      </c>
      <c r="I107" s="8" t="s">
        <v>488</v>
      </c>
      <c r="J107" s="8" t="s">
        <v>227</v>
      </c>
      <c r="K107" s="8">
        <v>43.807540000000003</v>
      </c>
      <c r="L107" s="8">
        <v>-96.816321000000002</v>
      </c>
      <c r="M107" s="8" t="s">
        <v>156</v>
      </c>
      <c r="N107" s="10" t="s">
        <v>489</v>
      </c>
      <c r="O107" s="11" t="s">
        <v>56</v>
      </c>
      <c r="P107" s="11" t="s">
        <v>57</v>
      </c>
      <c r="Q107" s="12">
        <v>340</v>
      </c>
      <c r="R107" s="13">
        <v>45544</v>
      </c>
      <c r="S107" s="13">
        <v>45554</v>
      </c>
      <c r="T107" s="11">
        <v>104</v>
      </c>
      <c r="U107" s="11"/>
      <c r="V107" s="11">
        <v>831</v>
      </c>
      <c r="W107" s="11">
        <v>274</v>
      </c>
      <c r="X107" s="11">
        <v>196</v>
      </c>
      <c r="Y107" s="28"/>
      <c r="Z107">
        <v>3</v>
      </c>
    </row>
    <row r="108" spans="2:26" x14ac:dyDescent="0.25">
      <c r="B108" s="13">
        <v>45518</v>
      </c>
      <c r="C108" s="32">
        <v>3610.4</v>
      </c>
      <c r="D108" s="32"/>
      <c r="E108" s="32">
        <v>3610.4</v>
      </c>
      <c r="F108" s="32">
        <v>7220.8</v>
      </c>
      <c r="G108" s="8" t="s">
        <v>490</v>
      </c>
      <c r="H108" s="8" t="s">
        <v>261</v>
      </c>
      <c r="I108" s="8" t="s">
        <v>491</v>
      </c>
      <c r="J108" s="8" t="s">
        <v>492</v>
      </c>
      <c r="K108" s="8">
        <v>42.988413999999999</v>
      </c>
      <c r="L108" s="8">
        <v>-97.539907999999997</v>
      </c>
      <c r="M108" s="8" t="s">
        <v>137</v>
      </c>
      <c r="N108" s="10" t="s">
        <v>493</v>
      </c>
      <c r="O108" s="11" t="s">
        <v>56</v>
      </c>
      <c r="P108" s="11" t="s">
        <v>57</v>
      </c>
      <c r="Q108" s="12">
        <v>340</v>
      </c>
      <c r="R108" s="13">
        <v>45463</v>
      </c>
      <c r="S108" s="13">
        <v>45534</v>
      </c>
      <c r="T108" s="11">
        <v>160</v>
      </c>
      <c r="U108" s="11"/>
      <c r="V108" s="11">
        <v>1177</v>
      </c>
      <c r="W108" s="11">
        <v>391</v>
      </c>
      <c r="X108" s="11">
        <v>278</v>
      </c>
      <c r="Y108" s="28"/>
      <c r="Z108">
        <v>3</v>
      </c>
    </row>
    <row r="109" spans="2:26" x14ac:dyDescent="0.25">
      <c r="B109" s="13">
        <v>45628</v>
      </c>
      <c r="C109" s="32">
        <v>1625</v>
      </c>
      <c r="D109" s="32"/>
      <c r="E109" s="32">
        <v>2177.96</v>
      </c>
      <c r="F109" s="32">
        <v>3802.96</v>
      </c>
      <c r="G109" s="8" t="s">
        <v>494</v>
      </c>
      <c r="H109" s="8" t="s">
        <v>50</v>
      </c>
      <c r="I109" s="8" t="s">
        <v>495</v>
      </c>
      <c r="J109" s="8" t="s">
        <v>52</v>
      </c>
      <c r="K109" s="8">
        <v>44.076729</v>
      </c>
      <c r="L109" s="8">
        <v>-97.964685000000003</v>
      </c>
      <c r="M109" s="8" t="s">
        <v>53</v>
      </c>
      <c r="N109" s="10" t="s">
        <v>496</v>
      </c>
      <c r="O109" s="11" t="s">
        <v>56</v>
      </c>
      <c r="P109" s="11" t="s">
        <v>57</v>
      </c>
      <c r="Q109" s="12">
        <v>340</v>
      </c>
      <c r="R109" s="13">
        <v>45474</v>
      </c>
      <c r="S109" s="13">
        <v>45566</v>
      </c>
      <c r="T109" s="11">
        <v>65</v>
      </c>
      <c r="U109" s="11"/>
      <c r="V109" s="11">
        <v>274</v>
      </c>
      <c r="W109" s="11">
        <v>85</v>
      </c>
      <c r="X109" s="11">
        <v>54</v>
      </c>
      <c r="Y109" s="28"/>
      <c r="Z109">
        <v>3</v>
      </c>
    </row>
    <row r="110" spans="2:26" x14ac:dyDescent="0.25">
      <c r="B110" s="13">
        <v>45513</v>
      </c>
      <c r="C110" s="32">
        <v>5534.65</v>
      </c>
      <c r="D110" s="32"/>
      <c r="E110" s="32">
        <v>5534.65</v>
      </c>
      <c r="F110" s="32">
        <v>11069.3</v>
      </c>
      <c r="G110" s="30" t="s">
        <v>497</v>
      </c>
      <c r="H110" s="30" t="s">
        <v>67</v>
      </c>
      <c r="I110" s="30" t="s">
        <v>498</v>
      </c>
      <c r="J110" s="30" t="s">
        <v>499</v>
      </c>
      <c r="K110" s="30">
        <v>43.541685000000001</v>
      </c>
      <c r="L110" s="30">
        <v>-97.554135000000002</v>
      </c>
      <c r="M110" s="30" t="s">
        <v>192</v>
      </c>
      <c r="N110" s="25" t="s">
        <v>500</v>
      </c>
      <c r="O110" s="24" t="s">
        <v>75</v>
      </c>
      <c r="P110" s="24" t="s">
        <v>475</v>
      </c>
      <c r="Q110" s="26">
        <v>914</v>
      </c>
      <c r="R110" s="27">
        <v>45446</v>
      </c>
      <c r="S110" s="27">
        <v>45509</v>
      </c>
      <c r="T110" s="24">
        <v>295</v>
      </c>
      <c r="U110" s="24"/>
      <c r="V110" s="24">
        <v>601</v>
      </c>
      <c r="W110" s="24">
        <v>52</v>
      </c>
      <c r="X110" s="24">
        <v>29</v>
      </c>
      <c r="Y110" s="28"/>
      <c r="Z110">
        <v>3</v>
      </c>
    </row>
    <row r="111" spans="2:26" x14ac:dyDescent="0.25">
      <c r="B111" s="13">
        <v>45628</v>
      </c>
      <c r="C111" s="32">
        <v>646.25</v>
      </c>
      <c r="D111" s="32"/>
      <c r="E111" s="32">
        <v>646.25</v>
      </c>
      <c r="F111" s="32">
        <v>1292.5</v>
      </c>
      <c r="G111" s="8" t="s">
        <v>501</v>
      </c>
      <c r="H111" s="8" t="s">
        <v>182</v>
      </c>
      <c r="I111" s="8" t="s">
        <v>502</v>
      </c>
      <c r="J111" s="8" t="s">
        <v>503</v>
      </c>
      <c r="K111" s="8">
        <v>45.400315999999997</v>
      </c>
      <c r="L111" s="8">
        <v>-97.255847000000003</v>
      </c>
      <c r="M111" s="8" t="s">
        <v>223</v>
      </c>
      <c r="N111" s="10">
        <v>2024</v>
      </c>
      <c r="O111" s="11" t="s">
        <v>56</v>
      </c>
      <c r="P111" s="11" t="s">
        <v>57</v>
      </c>
      <c r="Q111" s="12">
        <v>340</v>
      </c>
      <c r="R111" s="13">
        <v>45505</v>
      </c>
      <c r="S111" s="13">
        <v>45870</v>
      </c>
      <c r="T111" s="11">
        <v>22</v>
      </c>
      <c r="U111" s="11"/>
      <c r="V111" s="11">
        <v>129</v>
      </c>
      <c r="W111" s="11">
        <v>45</v>
      </c>
      <c r="X111" s="11">
        <v>34</v>
      </c>
      <c r="Y111" s="28"/>
      <c r="Z111">
        <v>3</v>
      </c>
    </row>
    <row r="112" spans="2:26" x14ac:dyDescent="0.25">
      <c r="B112" s="13">
        <v>45562</v>
      </c>
      <c r="C112" s="32">
        <v>1162.5</v>
      </c>
      <c r="D112" s="32"/>
      <c r="E112" s="32">
        <v>1313.75</v>
      </c>
      <c r="F112" s="32">
        <v>2476.25</v>
      </c>
      <c r="G112" s="8" t="s">
        <v>504</v>
      </c>
      <c r="H112" s="8" t="s">
        <v>166</v>
      </c>
      <c r="I112" s="8" t="s">
        <v>505</v>
      </c>
      <c r="J112" s="8" t="s">
        <v>506</v>
      </c>
      <c r="K112" s="8">
        <v>43.873634000000003</v>
      </c>
      <c r="L112" s="8">
        <v>-97.582305000000005</v>
      </c>
      <c r="M112" s="8" t="s">
        <v>192</v>
      </c>
      <c r="N112" s="10" t="s">
        <v>507</v>
      </c>
      <c r="O112" s="11" t="s">
        <v>56</v>
      </c>
      <c r="P112" s="11" t="s">
        <v>57</v>
      </c>
      <c r="Q112" s="12">
        <v>340</v>
      </c>
      <c r="R112" s="13">
        <v>45524</v>
      </c>
      <c r="S112" s="13">
        <v>45562</v>
      </c>
      <c r="T112" s="11">
        <v>42</v>
      </c>
      <c r="U112" s="11"/>
      <c r="V112" s="11">
        <v>162</v>
      </c>
      <c r="W112" s="11">
        <v>49</v>
      </c>
      <c r="X112" s="11">
        <v>30</v>
      </c>
      <c r="Y112" s="28"/>
      <c r="Z112">
        <v>3</v>
      </c>
    </row>
    <row r="113" spans="2:26" x14ac:dyDescent="0.25">
      <c r="B113" s="13">
        <v>45565</v>
      </c>
      <c r="C113" s="32">
        <v>1752.45</v>
      </c>
      <c r="D113" s="32"/>
      <c r="E113" s="32">
        <v>1752.45</v>
      </c>
      <c r="F113" s="32">
        <v>3504.9</v>
      </c>
      <c r="G113" s="8" t="s">
        <v>508</v>
      </c>
      <c r="H113" s="8" t="s">
        <v>509</v>
      </c>
      <c r="I113" s="8" t="s">
        <v>510</v>
      </c>
      <c r="J113" s="8" t="s">
        <v>511</v>
      </c>
      <c r="K113" s="8">
        <v>44.114697999999997</v>
      </c>
      <c r="L113" s="8">
        <v>-97.293636000000006</v>
      </c>
      <c r="M113" s="8" t="s">
        <v>130</v>
      </c>
      <c r="N113" s="10" t="s">
        <v>512</v>
      </c>
      <c r="O113" s="11" t="s">
        <v>56</v>
      </c>
      <c r="P113" s="11" t="s">
        <v>57</v>
      </c>
      <c r="Q113" s="12">
        <v>340</v>
      </c>
      <c r="R113" s="13">
        <v>45597</v>
      </c>
      <c r="S113" s="13">
        <v>45597</v>
      </c>
      <c r="T113" s="11">
        <v>105</v>
      </c>
      <c r="U113" s="11"/>
      <c r="V113" s="11">
        <v>678.4</v>
      </c>
      <c r="W113" s="11">
        <v>225.3</v>
      </c>
      <c r="X113" s="11">
        <v>156.80000000000001</v>
      </c>
      <c r="Y113" s="28"/>
      <c r="Z113">
        <v>3</v>
      </c>
    </row>
    <row r="114" spans="2:26" ht="14.4" thickBot="1" x14ac:dyDescent="0.3">
      <c r="B114" s="91">
        <v>45565</v>
      </c>
      <c r="C114" s="97">
        <v>2420.0500000000002</v>
      </c>
      <c r="D114" s="97"/>
      <c r="E114" s="93">
        <v>2420.0500000000002</v>
      </c>
      <c r="F114" s="93">
        <v>4840.1000000000004</v>
      </c>
      <c r="G114" s="61" t="s">
        <v>508</v>
      </c>
      <c r="H114" s="61" t="s">
        <v>513</v>
      </c>
      <c r="I114" s="61" t="s">
        <v>510</v>
      </c>
      <c r="J114" s="61" t="s">
        <v>511</v>
      </c>
      <c r="K114" s="61">
        <v>43.982478</v>
      </c>
      <c r="L114" s="61">
        <v>-97.225204000000005</v>
      </c>
      <c r="M114" s="61" t="s">
        <v>130</v>
      </c>
      <c r="N114" s="95" t="s">
        <v>514</v>
      </c>
      <c r="O114" s="92" t="s">
        <v>56</v>
      </c>
      <c r="P114" s="92" t="s">
        <v>57</v>
      </c>
      <c r="Q114" s="96">
        <v>340</v>
      </c>
      <c r="R114" s="91">
        <v>45962</v>
      </c>
      <c r="S114" s="91">
        <v>45962</v>
      </c>
      <c r="T114" s="92">
        <v>145</v>
      </c>
      <c r="U114" s="92"/>
      <c r="V114" s="92">
        <v>909.4</v>
      </c>
      <c r="W114" s="92">
        <v>300.60000000000002</v>
      </c>
      <c r="X114" s="92">
        <v>207.8</v>
      </c>
      <c r="Y114" s="28"/>
      <c r="Z114">
        <v>3</v>
      </c>
    </row>
    <row r="115" spans="2:26" x14ac:dyDescent="0.25">
      <c r="B115" s="13">
        <v>45523</v>
      </c>
      <c r="C115" s="32">
        <v>3221.07</v>
      </c>
      <c r="D115" s="32"/>
      <c r="E115" s="32">
        <v>3221.08</v>
      </c>
      <c r="F115" s="32">
        <v>6442.15</v>
      </c>
      <c r="G115" s="8" t="s">
        <v>515</v>
      </c>
      <c r="H115" s="8" t="s">
        <v>516</v>
      </c>
      <c r="I115" s="8" t="s">
        <v>517</v>
      </c>
      <c r="J115" s="8" t="s">
        <v>518</v>
      </c>
      <c r="K115" s="8">
        <v>43.116155999999997</v>
      </c>
      <c r="L115" s="8">
        <v>-96.990053000000003</v>
      </c>
      <c r="M115" s="8" t="s">
        <v>100</v>
      </c>
      <c r="N115" s="10" t="s">
        <v>519</v>
      </c>
      <c r="O115" s="11" t="s">
        <v>56</v>
      </c>
      <c r="P115" s="11" t="s">
        <v>57</v>
      </c>
      <c r="Q115" s="12">
        <v>340</v>
      </c>
      <c r="R115" s="13">
        <v>45467</v>
      </c>
      <c r="S115" s="13">
        <v>45523</v>
      </c>
      <c r="T115" s="11">
        <v>143</v>
      </c>
      <c r="U115" s="11"/>
      <c r="V115" s="11">
        <v>669</v>
      </c>
      <c r="W115" s="11">
        <v>205</v>
      </c>
      <c r="X115" s="11">
        <v>135</v>
      </c>
      <c r="Y115" s="28"/>
      <c r="Z115">
        <v>3</v>
      </c>
    </row>
    <row r="116" spans="2:26" x14ac:dyDescent="0.25">
      <c r="B116" s="13">
        <v>45523</v>
      </c>
      <c r="C116" s="32">
        <v>2883</v>
      </c>
      <c r="D116" s="32"/>
      <c r="E116" s="32">
        <v>2883</v>
      </c>
      <c r="F116" s="32">
        <v>5799</v>
      </c>
      <c r="G116" s="8" t="s">
        <v>515</v>
      </c>
      <c r="H116" s="8" t="s">
        <v>255</v>
      </c>
      <c r="I116" s="8" t="s">
        <v>517</v>
      </c>
      <c r="J116" s="8" t="s">
        <v>518</v>
      </c>
      <c r="K116" s="8">
        <v>43.106862999999997</v>
      </c>
      <c r="L116" s="8">
        <v>-96.971483000000006</v>
      </c>
      <c r="M116" s="8" t="s">
        <v>100</v>
      </c>
      <c r="N116" s="10" t="s">
        <v>520</v>
      </c>
      <c r="O116" s="11" t="s">
        <v>56</v>
      </c>
      <c r="P116" s="11" t="s">
        <v>57</v>
      </c>
      <c r="Q116" s="12">
        <v>340</v>
      </c>
      <c r="R116" s="13">
        <v>45453</v>
      </c>
      <c r="S116" s="13">
        <v>45523</v>
      </c>
      <c r="T116" s="11">
        <v>120</v>
      </c>
      <c r="U116" s="11"/>
      <c r="V116" s="11">
        <v>569</v>
      </c>
      <c r="W116" s="11">
        <v>175</v>
      </c>
      <c r="X116" s="11">
        <v>109</v>
      </c>
      <c r="Y116" s="28"/>
      <c r="Z116">
        <v>3</v>
      </c>
    </row>
    <row r="117" spans="2:26" x14ac:dyDescent="0.25">
      <c r="B117" s="13">
        <v>45512</v>
      </c>
      <c r="C117" s="32">
        <v>3649.05</v>
      </c>
      <c r="D117" s="32"/>
      <c r="E117" s="32">
        <v>3649.05</v>
      </c>
      <c r="F117" s="32" t="s">
        <v>523</v>
      </c>
      <c r="G117" s="8" t="s">
        <v>515</v>
      </c>
      <c r="H117" s="8" t="s">
        <v>126</v>
      </c>
      <c r="I117" s="8" t="s">
        <v>517</v>
      </c>
      <c r="J117" s="8" t="s">
        <v>518</v>
      </c>
      <c r="K117" s="8">
        <v>43.093499000000001</v>
      </c>
      <c r="L117" s="8">
        <v>-96.959620000000001</v>
      </c>
      <c r="M117" s="8" t="s">
        <v>100</v>
      </c>
      <c r="N117" s="10" t="s">
        <v>522</v>
      </c>
      <c r="O117" s="11" t="s">
        <v>56</v>
      </c>
      <c r="P117" s="11" t="s">
        <v>57</v>
      </c>
      <c r="Q117" s="12">
        <v>340</v>
      </c>
      <c r="R117" s="13">
        <v>45453</v>
      </c>
      <c r="S117" s="13">
        <v>45518</v>
      </c>
      <c r="T117" s="11">
        <v>162</v>
      </c>
      <c r="U117" s="11"/>
      <c r="V117" s="11">
        <v>751</v>
      </c>
      <c r="W117" s="11">
        <v>229</v>
      </c>
      <c r="X117" s="11">
        <v>142</v>
      </c>
      <c r="Y117" s="28"/>
      <c r="Z117">
        <v>3</v>
      </c>
    </row>
    <row r="118" spans="2:26" x14ac:dyDescent="0.25">
      <c r="B118" s="13">
        <v>45184</v>
      </c>
      <c r="C118" s="32">
        <v>1551.19</v>
      </c>
      <c r="D118" s="32"/>
      <c r="E118" s="32">
        <v>1551.19</v>
      </c>
      <c r="F118" s="32">
        <v>3102.38</v>
      </c>
      <c r="G118" s="8" t="s">
        <v>524</v>
      </c>
      <c r="H118" s="8" t="s">
        <v>525</v>
      </c>
      <c r="I118" s="8" t="s">
        <v>526</v>
      </c>
      <c r="J118" s="8" t="s">
        <v>527</v>
      </c>
      <c r="K118" s="8">
        <v>43.531500000000001</v>
      </c>
      <c r="L118" s="8">
        <v>-97.830169999999995</v>
      </c>
      <c r="M118" s="8" t="s">
        <v>64</v>
      </c>
      <c r="N118" s="10" t="s">
        <v>528</v>
      </c>
      <c r="O118" s="11" t="s">
        <v>132</v>
      </c>
      <c r="P118" s="11" t="s">
        <v>529</v>
      </c>
      <c r="Q118" s="12"/>
      <c r="R118" s="13">
        <v>45054</v>
      </c>
      <c r="S118" s="13">
        <v>45155</v>
      </c>
      <c r="T118" s="11">
        <v>19</v>
      </c>
      <c r="U118" s="11"/>
      <c r="V118" s="11" t="s">
        <v>145</v>
      </c>
      <c r="W118" s="11" t="s">
        <v>145</v>
      </c>
      <c r="X118" s="11" t="s">
        <v>145</v>
      </c>
      <c r="Y118" s="28"/>
      <c r="Z118">
        <v>2</v>
      </c>
    </row>
    <row r="119" spans="2:26" x14ac:dyDescent="0.25">
      <c r="B119" s="13">
        <v>45558</v>
      </c>
      <c r="C119" s="32">
        <v>4480</v>
      </c>
      <c r="D119" s="32"/>
      <c r="E119" s="32">
        <v>19328.95</v>
      </c>
      <c r="F119" s="32">
        <v>23808.95</v>
      </c>
      <c r="G119" s="8" t="s">
        <v>425</v>
      </c>
      <c r="H119" s="8" t="s">
        <v>530</v>
      </c>
      <c r="I119" s="8" t="s">
        <v>531</v>
      </c>
      <c r="J119" s="8" t="s">
        <v>532</v>
      </c>
      <c r="K119" s="8">
        <v>45.160854</v>
      </c>
      <c r="L119" s="8">
        <v>-97.736018000000001</v>
      </c>
      <c r="M119" s="8" t="s">
        <v>233</v>
      </c>
      <c r="N119" s="10">
        <v>202401</v>
      </c>
      <c r="O119" s="11" t="s">
        <v>56</v>
      </c>
      <c r="P119" s="11" t="s">
        <v>57</v>
      </c>
      <c r="Q119" s="12">
        <v>340</v>
      </c>
      <c r="R119" s="13">
        <v>45778</v>
      </c>
      <c r="S119" s="13">
        <v>45778</v>
      </c>
      <c r="T119" s="11">
        <v>450</v>
      </c>
      <c r="U119" s="11"/>
      <c r="V119" s="11">
        <v>1515</v>
      </c>
      <c r="W119" s="11">
        <v>493</v>
      </c>
      <c r="X119" s="11">
        <v>334</v>
      </c>
      <c r="Y119" s="28"/>
      <c r="Z119">
        <v>3</v>
      </c>
    </row>
    <row r="120" spans="2:26" x14ac:dyDescent="0.25">
      <c r="B120" s="13">
        <v>45553</v>
      </c>
      <c r="C120" s="32">
        <v>2583.63</v>
      </c>
      <c r="D120" s="32"/>
      <c r="E120" s="32">
        <v>2583.63</v>
      </c>
      <c r="F120" s="32">
        <v>5167.26</v>
      </c>
      <c r="G120" s="8" t="s">
        <v>533</v>
      </c>
      <c r="H120" s="8" t="s">
        <v>534</v>
      </c>
      <c r="I120" s="8" t="s">
        <v>535</v>
      </c>
      <c r="J120" s="8" t="s">
        <v>536</v>
      </c>
      <c r="K120" s="8">
        <v>43.135117000000001</v>
      </c>
      <c r="L120" s="8">
        <v>-96.605461000000005</v>
      </c>
      <c r="M120" s="8" t="s">
        <v>418</v>
      </c>
      <c r="N120" s="10" t="s">
        <v>537</v>
      </c>
      <c r="O120" s="11" t="s">
        <v>56</v>
      </c>
      <c r="P120" s="11" t="s">
        <v>57</v>
      </c>
      <c r="Q120" s="12">
        <v>340</v>
      </c>
      <c r="R120" s="13">
        <v>45505</v>
      </c>
      <c r="S120" s="13">
        <v>45576</v>
      </c>
      <c r="T120" s="11">
        <v>148</v>
      </c>
      <c r="U120" s="11"/>
      <c r="V120" s="11">
        <v>719</v>
      </c>
      <c r="W120" s="11">
        <v>295</v>
      </c>
      <c r="X120" s="11">
        <v>169</v>
      </c>
      <c r="Y120" s="28"/>
      <c r="Z120">
        <v>3</v>
      </c>
    </row>
    <row r="121" spans="2:26" x14ac:dyDescent="0.25">
      <c r="B121" s="13">
        <v>45444</v>
      </c>
      <c r="C121" s="32">
        <v>4000</v>
      </c>
      <c r="D121" s="32"/>
      <c r="E121" s="32">
        <v>9596.15</v>
      </c>
      <c r="F121" s="32">
        <v>13596.15</v>
      </c>
      <c r="G121" s="8" t="s">
        <v>538</v>
      </c>
      <c r="H121" s="8" t="s">
        <v>539</v>
      </c>
      <c r="I121" s="8" t="s">
        <v>540</v>
      </c>
      <c r="J121" s="8" t="s">
        <v>483</v>
      </c>
      <c r="K121" s="8">
        <v>44.649090999999999</v>
      </c>
      <c r="L121" s="8">
        <v>-101.3486</v>
      </c>
      <c r="M121" s="8" t="s">
        <v>484</v>
      </c>
      <c r="N121" s="10" t="s">
        <v>512</v>
      </c>
      <c r="O121" s="11" t="s">
        <v>56</v>
      </c>
      <c r="P121" s="11" t="s">
        <v>57</v>
      </c>
      <c r="Q121" s="12">
        <v>340</v>
      </c>
      <c r="R121" s="13">
        <v>45422</v>
      </c>
      <c r="S121" s="13">
        <v>45422</v>
      </c>
      <c r="T121" s="11">
        <v>169</v>
      </c>
      <c r="U121" s="11"/>
      <c r="V121" s="11">
        <v>1842</v>
      </c>
      <c r="W121" s="11">
        <v>672</v>
      </c>
      <c r="X121" s="11">
        <v>518</v>
      </c>
      <c r="Y121" s="28"/>
      <c r="Z121">
        <v>3</v>
      </c>
    </row>
    <row r="122" spans="2:26" x14ac:dyDescent="0.25">
      <c r="B122" s="13">
        <v>45426</v>
      </c>
      <c r="C122" s="32">
        <v>3650</v>
      </c>
      <c r="D122" s="32"/>
      <c r="E122" s="32">
        <v>13366.66</v>
      </c>
      <c r="F122" s="32">
        <v>17016.66</v>
      </c>
      <c r="G122" s="8" t="s">
        <v>538</v>
      </c>
      <c r="H122" s="8" t="s">
        <v>541</v>
      </c>
      <c r="I122" s="8" t="s">
        <v>542</v>
      </c>
      <c r="J122" s="8" t="s">
        <v>483</v>
      </c>
      <c r="K122" s="8">
        <v>44.614719000000001</v>
      </c>
      <c r="L122" s="8">
        <v>-101.300434</v>
      </c>
      <c r="M122" s="8" t="s">
        <v>484</v>
      </c>
      <c r="N122" s="10" t="s">
        <v>543</v>
      </c>
      <c r="O122" s="11" t="s">
        <v>56</v>
      </c>
      <c r="P122" s="11" t="s">
        <v>57</v>
      </c>
      <c r="Q122" s="12">
        <v>340</v>
      </c>
      <c r="R122" s="13">
        <v>45425</v>
      </c>
      <c r="S122" s="13">
        <v>45446</v>
      </c>
      <c r="T122" s="11">
        <v>146</v>
      </c>
      <c r="U122" s="11"/>
      <c r="V122" s="11">
        <v>1618</v>
      </c>
      <c r="W122" s="11">
        <v>591</v>
      </c>
      <c r="X122" s="11">
        <v>456</v>
      </c>
      <c r="Y122" s="28"/>
      <c r="Z122">
        <v>3</v>
      </c>
    </row>
    <row r="123" spans="2:26" x14ac:dyDescent="0.25">
      <c r="B123" s="1">
        <v>45512</v>
      </c>
      <c r="C123" s="31">
        <v>1950</v>
      </c>
      <c r="D123" s="31"/>
      <c r="E123" s="31">
        <v>2021.94</v>
      </c>
      <c r="F123" s="31">
        <v>3971.94</v>
      </c>
      <c r="G123" s="6" t="s">
        <v>544</v>
      </c>
      <c r="H123" s="6" t="s">
        <v>342</v>
      </c>
      <c r="I123" s="6" t="s">
        <v>545</v>
      </c>
      <c r="J123" s="6" t="s">
        <v>546</v>
      </c>
      <c r="K123" s="6">
        <v>44.800829999999998</v>
      </c>
      <c r="L123" s="6">
        <v>-97.176148999999995</v>
      </c>
      <c r="M123" s="6" t="s">
        <v>363</v>
      </c>
      <c r="N123" s="4" t="s">
        <v>547</v>
      </c>
      <c r="O123" t="s">
        <v>56</v>
      </c>
      <c r="P123" t="s">
        <v>57</v>
      </c>
      <c r="Q123" s="5">
        <v>340</v>
      </c>
      <c r="R123" s="1">
        <v>45432</v>
      </c>
      <c r="S123" s="1">
        <v>45555</v>
      </c>
      <c r="T123">
        <v>78</v>
      </c>
      <c r="V123">
        <v>342</v>
      </c>
      <c r="W123">
        <v>104</v>
      </c>
      <c r="X123">
        <v>67</v>
      </c>
      <c r="Y123" s="28"/>
      <c r="Z123">
        <v>3</v>
      </c>
    </row>
    <row r="124" spans="2:26" x14ac:dyDescent="0.25">
      <c r="B124" s="13">
        <v>45588</v>
      </c>
      <c r="C124" s="32">
        <v>960</v>
      </c>
      <c r="D124" s="32"/>
      <c r="E124" s="32">
        <v>960</v>
      </c>
      <c r="F124" s="32">
        <v>1920</v>
      </c>
      <c r="G124" s="8" t="s">
        <v>548</v>
      </c>
      <c r="H124" s="8" t="s">
        <v>126</v>
      </c>
      <c r="I124" s="8" t="s">
        <v>549</v>
      </c>
      <c r="J124" s="8" t="s">
        <v>478</v>
      </c>
      <c r="K124" s="8">
        <v>43.087975999999998</v>
      </c>
      <c r="L124" s="8">
        <v>-97.820886999999999</v>
      </c>
      <c r="M124" s="8" t="s">
        <v>137</v>
      </c>
      <c r="N124" s="10" t="s">
        <v>550</v>
      </c>
      <c r="O124" s="11" t="s">
        <v>56</v>
      </c>
      <c r="P124" s="11" t="s">
        <v>57</v>
      </c>
      <c r="Q124" s="12">
        <v>340</v>
      </c>
      <c r="R124" s="13">
        <v>45505</v>
      </c>
      <c r="S124" s="13">
        <v>45566</v>
      </c>
      <c r="T124" s="11">
        <v>66</v>
      </c>
      <c r="U124" s="11"/>
      <c r="V124" s="11">
        <v>608</v>
      </c>
      <c r="W124" s="11">
        <v>210</v>
      </c>
      <c r="X124" s="11">
        <v>153</v>
      </c>
      <c r="Y124" s="28"/>
      <c r="Z124">
        <v>3</v>
      </c>
    </row>
    <row r="125" spans="2:26" x14ac:dyDescent="0.25">
      <c r="B125" s="13">
        <v>45512</v>
      </c>
      <c r="C125" s="32">
        <v>2900</v>
      </c>
      <c r="D125" s="32"/>
      <c r="E125" s="32">
        <v>3059.34</v>
      </c>
      <c r="F125" s="32">
        <v>5959.34</v>
      </c>
      <c r="G125" s="8" t="s">
        <v>551</v>
      </c>
      <c r="H125" s="8" t="s">
        <v>552</v>
      </c>
      <c r="I125" s="8" t="s">
        <v>553</v>
      </c>
      <c r="J125" s="8" t="s">
        <v>554</v>
      </c>
      <c r="K125" s="8">
        <v>42.92248</v>
      </c>
      <c r="L125" s="8">
        <v>-96.900861000000006</v>
      </c>
      <c r="M125" s="8" t="s">
        <v>100</v>
      </c>
      <c r="N125" s="10" t="s">
        <v>555</v>
      </c>
      <c r="O125" s="11" t="s">
        <v>56</v>
      </c>
      <c r="P125" s="11" t="s">
        <v>57</v>
      </c>
      <c r="Q125" s="12">
        <v>340</v>
      </c>
      <c r="R125" s="13">
        <v>45498</v>
      </c>
      <c r="S125" s="13">
        <v>45553</v>
      </c>
      <c r="T125" s="11">
        <v>116</v>
      </c>
      <c r="U125" s="11"/>
      <c r="V125" s="11">
        <v>555</v>
      </c>
      <c r="W125" s="11">
        <v>164</v>
      </c>
      <c r="X125" s="11">
        <v>102</v>
      </c>
      <c r="Y125" s="28"/>
      <c r="Z125">
        <v>3</v>
      </c>
    </row>
    <row r="126" spans="2:26" x14ac:dyDescent="0.25">
      <c r="B126" s="13">
        <v>45559</v>
      </c>
      <c r="C126" s="32">
        <v>3301.75</v>
      </c>
      <c r="D126" s="32"/>
      <c r="E126" s="32">
        <v>3301.75</v>
      </c>
      <c r="F126" s="32">
        <v>6603.5</v>
      </c>
      <c r="G126" s="8" t="s">
        <v>556</v>
      </c>
      <c r="H126" s="8" t="s">
        <v>329</v>
      </c>
      <c r="I126" s="8" t="s">
        <v>557</v>
      </c>
      <c r="J126" s="8" t="s">
        <v>468</v>
      </c>
      <c r="K126" s="8">
        <v>45.376576</v>
      </c>
      <c r="L126" s="8">
        <v>-96.939476999999997</v>
      </c>
      <c r="M126" s="8" t="s">
        <v>275</v>
      </c>
      <c r="N126" s="10">
        <v>202403</v>
      </c>
      <c r="O126" s="11" t="s">
        <v>56</v>
      </c>
      <c r="P126" s="11" t="s">
        <v>57</v>
      </c>
      <c r="Q126" s="12">
        <v>340</v>
      </c>
      <c r="R126" s="13">
        <v>45474</v>
      </c>
      <c r="S126" s="13">
        <v>45778</v>
      </c>
      <c r="T126" s="11">
        <v>0</v>
      </c>
      <c r="U126" s="11" t="s">
        <v>145</v>
      </c>
      <c r="V126" s="11">
        <v>525</v>
      </c>
      <c r="W126" s="11">
        <v>178</v>
      </c>
      <c r="X126" s="11">
        <v>126</v>
      </c>
      <c r="Y126" s="28"/>
      <c r="Z126">
        <v>3</v>
      </c>
    </row>
    <row r="127" spans="2:26" x14ac:dyDescent="0.25">
      <c r="B127" s="13">
        <v>45628</v>
      </c>
      <c r="C127" s="32">
        <v>624.29999999999995</v>
      </c>
      <c r="D127" s="32"/>
      <c r="E127" s="32">
        <v>624.29999999999995</v>
      </c>
      <c r="F127" s="32">
        <v>1248.5999999999999</v>
      </c>
      <c r="G127" s="8" t="s">
        <v>558</v>
      </c>
      <c r="H127" s="8" t="s">
        <v>559</v>
      </c>
      <c r="I127" s="8" t="s">
        <v>560</v>
      </c>
      <c r="J127" s="8" t="s">
        <v>263</v>
      </c>
      <c r="K127" s="8">
        <v>43.936072000000003</v>
      </c>
      <c r="L127" s="8">
        <v>-97.745228999999995</v>
      </c>
      <c r="M127" s="8" t="s">
        <v>189</v>
      </c>
      <c r="N127" s="10">
        <v>20241</v>
      </c>
      <c r="O127" s="11" t="s">
        <v>56</v>
      </c>
      <c r="P127" s="11" t="s">
        <v>57</v>
      </c>
      <c r="Q127" s="12">
        <v>340</v>
      </c>
      <c r="R127" s="13">
        <v>45444</v>
      </c>
      <c r="S127" s="13">
        <v>45809</v>
      </c>
      <c r="T127" s="11">
        <v>30</v>
      </c>
      <c r="U127" s="11"/>
      <c r="V127" s="11">
        <v>95</v>
      </c>
      <c r="W127" s="11">
        <v>30</v>
      </c>
      <c r="X127" s="11">
        <v>20</v>
      </c>
      <c r="Y127" s="28"/>
      <c r="Z127">
        <v>3</v>
      </c>
    </row>
    <row r="128" spans="2:26" x14ac:dyDescent="0.25">
      <c r="B128" s="13">
        <v>45548</v>
      </c>
      <c r="C128" s="32">
        <v>3299.52</v>
      </c>
      <c r="D128" s="32"/>
      <c r="E128" s="32">
        <v>22914.68</v>
      </c>
      <c r="F128" s="32">
        <v>26214.29</v>
      </c>
      <c r="G128" s="8" t="s">
        <v>561</v>
      </c>
      <c r="H128" s="8" t="s">
        <v>534</v>
      </c>
      <c r="I128" s="8" t="s">
        <v>562</v>
      </c>
      <c r="J128" s="8" t="s">
        <v>563</v>
      </c>
      <c r="K128" s="8">
        <v>44.415987000000001</v>
      </c>
      <c r="L128" s="8">
        <v>-100.242985</v>
      </c>
      <c r="M128" s="8" t="s">
        <v>564</v>
      </c>
      <c r="N128" s="10" t="s">
        <v>565</v>
      </c>
      <c r="O128" s="11" t="s">
        <v>56</v>
      </c>
      <c r="P128" s="11" t="s">
        <v>57</v>
      </c>
      <c r="Q128" s="12">
        <v>340</v>
      </c>
      <c r="R128" s="13">
        <v>45505</v>
      </c>
      <c r="S128" s="13">
        <v>45548</v>
      </c>
      <c r="T128" s="11">
        <v>168</v>
      </c>
      <c r="U128" s="11"/>
      <c r="V128" s="11">
        <v>776</v>
      </c>
      <c r="W128" s="11">
        <v>258</v>
      </c>
      <c r="X128" s="11">
        <v>180</v>
      </c>
      <c r="Y128" s="28"/>
      <c r="Z128">
        <v>3</v>
      </c>
    </row>
    <row r="129" spans="2:26" x14ac:dyDescent="0.25">
      <c r="B129" s="13">
        <v>45522</v>
      </c>
      <c r="C129" s="32">
        <v>2850</v>
      </c>
      <c r="D129" s="32"/>
      <c r="E129" s="32">
        <v>2850</v>
      </c>
      <c r="F129" s="32">
        <v>5700</v>
      </c>
      <c r="G129" s="8" t="s">
        <v>566</v>
      </c>
      <c r="H129" s="8" t="s">
        <v>567</v>
      </c>
      <c r="I129" s="8" t="s">
        <v>568</v>
      </c>
      <c r="J129" s="8" t="s">
        <v>478</v>
      </c>
      <c r="K129" s="8">
        <v>43.100960000000001</v>
      </c>
      <c r="L129" s="8">
        <v>-97.572306999999995</v>
      </c>
      <c r="M129" s="8"/>
      <c r="N129" s="10" t="s">
        <v>569</v>
      </c>
      <c r="O129" s="11" t="s">
        <v>56</v>
      </c>
      <c r="P129" s="11" t="s">
        <v>57</v>
      </c>
      <c r="Q129" s="12">
        <v>340</v>
      </c>
      <c r="R129" s="13">
        <v>45519</v>
      </c>
      <c r="S129" s="13">
        <v>45580</v>
      </c>
      <c r="T129" s="11">
        <v>156</v>
      </c>
      <c r="U129" s="11"/>
      <c r="V129" s="11">
        <v>1262</v>
      </c>
      <c r="W129" s="11">
        <v>429</v>
      </c>
      <c r="X129" s="11">
        <v>306</v>
      </c>
      <c r="Y129" s="28"/>
      <c r="Z129">
        <v>3</v>
      </c>
    </row>
    <row r="130" spans="2:26" x14ac:dyDescent="0.25">
      <c r="B130" s="1">
        <v>45170</v>
      </c>
      <c r="C130" s="31">
        <v>3529.6</v>
      </c>
      <c r="D130" s="31"/>
      <c r="E130" s="31">
        <v>5139.9799999999996</v>
      </c>
      <c r="F130" s="31">
        <v>8669.58</v>
      </c>
      <c r="G130" s="6" t="s">
        <v>570</v>
      </c>
      <c r="H130" s="6" t="s">
        <v>67</v>
      </c>
      <c r="I130" s="6" t="s">
        <v>571</v>
      </c>
      <c r="J130" s="6" t="s">
        <v>572</v>
      </c>
      <c r="K130" s="6">
        <v>43.034579999999998</v>
      </c>
      <c r="L130" s="6">
        <v>-97.631472000000002</v>
      </c>
      <c r="M130" s="6" t="s">
        <v>137</v>
      </c>
      <c r="N130" s="4" t="s">
        <v>103</v>
      </c>
      <c r="O130" t="s">
        <v>56</v>
      </c>
      <c r="P130" t="s">
        <v>57</v>
      </c>
      <c r="Q130" s="5">
        <v>340</v>
      </c>
      <c r="R130" s="1">
        <v>45097</v>
      </c>
      <c r="S130" s="1">
        <v>45170</v>
      </c>
      <c r="T130">
        <v>160</v>
      </c>
      <c r="V130">
        <v>1449</v>
      </c>
      <c r="W130">
        <v>472</v>
      </c>
      <c r="X130">
        <v>321</v>
      </c>
      <c r="Y130" s="28"/>
      <c r="Z130">
        <v>2</v>
      </c>
    </row>
    <row r="131" spans="2:26" x14ac:dyDescent="0.25">
      <c r="B131" s="13">
        <v>45444</v>
      </c>
      <c r="C131" s="32">
        <v>3725</v>
      </c>
      <c r="D131" s="32"/>
      <c r="E131" s="32">
        <v>3725</v>
      </c>
      <c r="F131" s="32">
        <v>7450</v>
      </c>
      <c r="G131" s="8" t="s">
        <v>570</v>
      </c>
      <c r="H131" s="8" t="s">
        <v>67</v>
      </c>
      <c r="I131" s="8" t="s">
        <v>571</v>
      </c>
      <c r="J131" s="8" t="s">
        <v>572</v>
      </c>
      <c r="K131" s="8">
        <v>43.034579999999998</v>
      </c>
      <c r="L131" s="8">
        <v>-97.631472000000002</v>
      </c>
      <c r="M131" s="8" t="s">
        <v>137</v>
      </c>
      <c r="N131" s="10" t="s">
        <v>103</v>
      </c>
      <c r="O131" s="11" t="s">
        <v>132</v>
      </c>
      <c r="P131" s="11" t="s">
        <v>133</v>
      </c>
      <c r="Q131" s="12"/>
      <c r="R131" s="13">
        <v>45447</v>
      </c>
      <c r="S131" s="13">
        <v>45575</v>
      </c>
      <c r="T131" s="11">
        <v>59</v>
      </c>
      <c r="U131" s="11"/>
      <c r="V131" s="11" t="s">
        <v>145</v>
      </c>
      <c r="W131" s="11" t="s">
        <v>145</v>
      </c>
      <c r="X131" s="11" t="s">
        <v>145</v>
      </c>
      <c r="Y131" s="28"/>
      <c r="Z131">
        <v>3</v>
      </c>
    </row>
    <row r="132" spans="2:26" x14ac:dyDescent="0.25">
      <c r="B132" s="13">
        <v>45553</v>
      </c>
      <c r="C132" s="32">
        <v>6657.5</v>
      </c>
      <c r="D132" s="32"/>
      <c r="E132" s="32">
        <v>6657.5</v>
      </c>
      <c r="F132" s="32">
        <v>13315</v>
      </c>
      <c r="G132" s="8" t="s">
        <v>574</v>
      </c>
      <c r="H132" s="8" t="s">
        <v>182</v>
      </c>
      <c r="I132" s="8" t="s">
        <v>575</v>
      </c>
      <c r="J132" s="8" t="s">
        <v>576</v>
      </c>
      <c r="K132" s="8">
        <v>43.211111000000002</v>
      </c>
      <c r="L132" s="8">
        <v>-96.964170999999993</v>
      </c>
      <c r="M132" s="8" t="s">
        <v>100</v>
      </c>
      <c r="N132" s="10" t="s">
        <v>577</v>
      </c>
      <c r="O132" s="11" t="s">
        <v>132</v>
      </c>
      <c r="P132" s="11" t="s">
        <v>133</v>
      </c>
      <c r="Q132" s="12"/>
      <c r="R132" s="13">
        <v>45541</v>
      </c>
      <c r="S132" s="13">
        <v>45554</v>
      </c>
      <c r="T132" s="11">
        <v>76.5</v>
      </c>
      <c r="U132" s="11"/>
      <c r="V132" s="11">
        <v>350</v>
      </c>
      <c r="W132" s="11">
        <v>105</v>
      </c>
      <c r="X132" s="11">
        <v>66</v>
      </c>
      <c r="Y132" s="28"/>
      <c r="Z132">
        <v>3</v>
      </c>
    </row>
    <row r="133" spans="2:26" x14ac:dyDescent="0.25">
      <c r="B133" s="1">
        <v>45204</v>
      </c>
      <c r="C133" s="31">
        <v>1750</v>
      </c>
      <c r="D133" s="31"/>
      <c r="E133" s="31">
        <v>4050.2</v>
      </c>
      <c r="F133" s="31">
        <v>5800.2</v>
      </c>
      <c r="G133" s="6" t="s">
        <v>578</v>
      </c>
      <c r="H133" s="6" t="s">
        <v>579</v>
      </c>
      <c r="I133" s="6" t="s">
        <v>580</v>
      </c>
      <c r="J133" s="6" t="s">
        <v>581</v>
      </c>
      <c r="K133" s="6">
        <v>43.451000000000001</v>
      </c>
      <c r="L133" s="6">
        <v>-97.636788999999993</v>
      </c>
      <c r="M133" s="6" t="s">
        <v>192</v>
      </c>
      <c r="N133" s="4" t="s">
        <v>163</v>
      </c>
      <c r="O133" t="s">
        <v>56</v>
      </c>
      <c r="P133" t="s">
        <v>57</v>
      </c>
      <c r="Q133" s="5">
        <v>340</v>
      </c>
      <c r="R133" s="1">
        <v>45204</v>
      </c>
      <c r="S133" s="1">
        <v>45204</v>
      </c>
      <c r="T133">
        <v>70</v>
      </c>
      <c r="V133">
        <v>167</v>
      </c>
      <c r="W133">
        <v>31</v>
      </c>
      <c r="X133">
        <v>19</v>
      </c>
      <c r="Y133" s="28"/>
      <c r="Z133">
        <v>3</v>
      </c>
    </row>
    <row r="134" spans="2:26" x14ac:dyDescent="0.25">
      <c r="B134" s="13">
        <v>45580</v>
      </c>
      <c r="C134" s="32">
        <v>4480</v>
      </c>
      <c r="D134" s="32"/>
      <c r="E134" s="32">
        <v>3935.1</v>
      </c>
      <c r="F134" s="32">
        <v>8415.1</v>
      </c>
      <c r="G134" s="8" t="s">
        <v>582</v>
      </c>
      <c r="H134" s="8" t="s">
        <v>583</v>
      </c>
      <c r="I134" s="8" t="s">
        <v>584</v>
      </c>
      <c r="J134" s="8" t="s">
        <v>585</v>
      </c>
      <c r="K134" s="8">
        <v>43.041584</v>
      </c>
      <c r="L134" s="8">
        <v>-98.323269999999994</v>
      </c>
      <c r="M134" s="8" t="s">
        <v>113</v>
      </c>
      <c r="N134" s="10" t="s">
        <v>586</v>
      </c>
      <c r="O134" s="11" t="s">
        <v>56</v>
      </c>
      <c r="P134" s="11" t="s">
        <v>57</v>
      </c>
      <c r="Q134" s="12">
        <v>340</v>
      </c>
      <c r="R134" s="13">
        <v>45574</v>
      </c>
      <c r="S134" s="13">
        <v>45580</v>
      </c>
      <c r="T134" s="11">
        <v>167</v>
      </c>
      <c r="U134" s="11"/>
      <c r="V134" s="11">
        <v>1080</v>
      </c>
      <c r="W134" s="11">
        <v>351</v>
      </c>
      <c r="X134" s="11">
        <v>245</v>
      </c>
      <c r="Y134" s="28"/>
      <c r="Z134">
        <v>3</v>
      </c>
    </row>
    <row r="135" spans="2:26" x14ac:dyDescent="0.25">
      <c r="B135" s="13">
        <v>45580</v>
      </c>
      <c r="C135" s="32">
        <v>4000</v>
      </c>
      <c r="D135" s="32"/>
      <c r="E135" s="32">
        <v>4001.6</v>
      </c>
      <c r="F135" s="32">
        <v>8001.6</v>
      </c>
      <c r="G135" s="8" t="s">
        <v>582</v>
      </c>
      <c r="H135" s="8" t="s">
        <v>587</v>
      </c>
      <c r="I135" s="8" t="s">
        <v>588</v>
      </c>
      <c r="J135" s="8" t="s">
        <v>585</v>
      </c>
      <c r="K135" s="8">
        <v>43.073557000000001</v>
      </c>
      <c r="L135" s="8">
        <v>-98.103380000000001</v>
      </c>
      <c r="M135" s="8" t="s">
        <v>113</v>
      </c>
      <c r="N135" s="10" t="s">
        <v>589</v>
      </c>
      <c r="O135" s="11" t="s">
        <v>56</v>
      </c>
      <c r="P135" s="11" t="s">
        <v>57</v>
      </c>
      <c r="Q135" s="12">
        <v>340</v>
      </c>
      <c r="R135" s="13">
        <v>45573</v>
      </c>
      <c r="S135" s="13">
        <v>45580</v>
      </c>
      <c r="T135" s="11">
        <v>160</v>
      </c>
      <c r="U135" s="11"/>
      <c r="V135" s="11">
        <v>1279</v>
      </c>
      <c r="W135" s="11">
        <v>427</v>
      </c>
      <c r="X135" s="11">
        <v>206</v>
      </c>
      <c r="Y135" s="28"/>
      <c r="Z135">
        <v>3</v>
      </c>
    </row>
    <row r="136" spans="2:26" x14ac:dyDescent="0.25">
      <c r="B136" s="13">
        <v>45580</v>
      </c>
      <c r="C136" s="32">
        <v>4000</v>
      </c>
      <c r="D136" s="32"/>
      <c r="E136" s="32">
        <v>4001.6</v>
      </c>
      <c r="F136" s="32">
        <v>8001.6</v>
      </c>
      <c r="G136" s="8" t="s">
        <v>582</v>
      </c>
      <c r="H136" s="8" t="s">
        <v>590</v>
      </c>
      <c r="I136" s="8" t="s">
        <v>584</v>
      </c>
      <c r="J136" s="8" t="s">
        <v>585</v>
      </c>
      <c r="K136" s="8">
        <v>43.122312999999998</v>
      </c>
      <c r="L136" s="8">
        <v>-98.439615000000003</v>
      </c>
      <c r="M136" s="8" t="s">
        <v>113</v>
      </c>
      <c r="N136" s="10" t="s">
        <v>591</v>
      </c>
      <c r="O136" s="11" t="s">
        <v>56</v>
      </c>
      <c r="P136" s="11" t="s">
        <v>57</v>
      </c>
      <c r="Q136" s="12">
        <v>340</v>
      </c>
      <c r="R136" s="13">
        <v>45567</v>
      </c>
      <c r="S136" s="13">
        <v>45580</v>
      </c>
      <c r="T136" s="11">
        <v>167</v>
      </c>
      <c r="U136" s="11"/>
      <c r="V136" s="11">
        <v>1279</v>
      </c>
      <c r="W136" s="11">
        <v>427</v>
      </c>
      <c r="X136" s="11">
        <v>306</v>
      </c>
      <c r="Y136" s="28"/>
      <c r="Z136">
        <v>3</v>
      </c>
    </row>
    <row r="137" spans="2:26" x14ac:dyDescent="0.25">
      <c r="B137" s="13">
        <v>45580</v>
      </c>
      <c r="C137" s="32">
        <v>4000</v>
      </c>
      <c r="D137" s="32"/>
      <c r="E137" s="32">
        <v>4350.32</v>
      </c>
      <c r="F137" s="32">
        <v>8350.32</v>
      </c>
      <c r="G137" s="8" t="s">
        <v>582</v>
      </c>
      <c r="H137" s="8" t="s">
        <v>592</v>
      </c>
      <c r="I137" s="8" t="s">
        <v>593</v>
      </c>
      <c r="J137" s="8" t="s">
        <v>585</v>
      </c>
      <c r="K137" s="8">
        <v>43.050083000000001</v>
      </c>
      <c r="L137" s="8">
        <v>-98.086907999999994</v>
      </c>
      <c r="M137" s="8" t="s">
        <v>113</v>
      </c>
      <c r="N137" s="10" t="s">
        <v>594</v>
      </c>
      <c r="O137" s="11" t="s">
        <v>56</v>
      </c>
      <c r="P137" s="11" t="s">
        <v>57</v>
      </c>
      <c r="Q137" s="12">
        <v>340</v>
      </c>
      <c r="R137" s="13">
        <v>45566</v>
      </c>
      <c r="S137" s="13">
        <v>45580</v>
      </c>
      <c r="T137" s="11">
        <v>137</v>
      </c>
      <c r="U137" s="11"/>
      <c r="V137" s="11">
        <v>1069</v>
      </c>
      <c r="W137" s="11">
        <v>359</v>
      </c>
      <c r="X137" s="11">
        <v>258</v>
      </c>
      <c r="Y137" s="28"/>
      <c r="Z137">
        <v>3</v>
      </c>
    </row>
    <row r="138" spans="2:26" x14ac:dyDescent="0.25">
      <c r="B138" s="13">
        <v>45580</v>
      </c>
      <c r="C138" s="32">
        <v>3415.75</v>
      </c>
      <c r="D138" s="32"/>
      <c r="E138" s="32">
        <v>3437.16</v>
      </c>
      <c r="F138" s="32">
        <v>6852.91</v>
      </c>
      <c r="G138" s="8" t="s">
        <v>582</v>
      </c>
      <c r="H138" s="8" t="s">
        <v>595</v>
      </c>
      <c r="I138" s="8" t="s">
        <v>584</v>
      </c>
      <c r="J138" s="8" t="s">
        <v>585</v>
      </c>
      <c r="K138" s="8">
        <v>43.591461000000002</v>
      </c>
      <c r="L138" s="8">
        <v>-96.778142000000003</v>
      </c>
      <c r="M138" s="8" t="s">
        <v>156</v>
      </c>
      <c r="N138" s="10" t="s">
        <v>596</v>
      </c>
      <c r="O138" s="11" t="s">
        <v>56</v>
      </c>
      <c r="P138" s="11" t="s">
        <v>57</v>
      </c>
      <c r="Q138" s="12">
        <v>340</v>
      </c>
      <c r="R138" s="13">
        <v>45569</v>
      </c>
      <c r="S138" s="13">
        <v>45580</v>
      </c>
      <c r="T138" s="11">
        <v>160</v>
      </c>
      <c r="U138" s="11"/>
      <c r="V138" s="11">
        <v>1220</v>
      </c>
      <c r="W138" s="11">
        <v>405</v>
      </c>
      <c r="X138" s="11">
        <v>287</v>
      </c>
      <c r="Y138" s="28"/>
      <c r="Z138">
        <v>3</v>
      </c>
    </row>
    <row r="139" spans="2:26" x14ac:dyDescent="0.25">
      <c r="B139" s="13">
        <v>45575</v>
      </c>
      <c r="C139" s="32">
        <v>1607.13</v>
      </c>
      <c r="D139" s="32"/>
      <c r="E139" s="32">
        <v>1607.13</v>
      </c>
      <c r="F139" s="32">
        <v>3214.26</v>
      </c>
      <c r="G139" s="8" t="s">
        <v>597</v>
      </c>
      <c r="H139" s="8" t="s">
        <v>261</v>
      </c>
      <c r="I139" s="8" t="s">
        <v>598</v>
      </c>
      <c r="J139" s="8" t="s">
        <v>427</v>
      </c>
      <c r="K139" s="8">
        <v>43.709344999999999</v>
      </c>
      <c r="L139" s="8">
        <v>-97.133640999999997</v>
      </c>
      <c r="M139" s="8" t="s">
        <v>599</v>
      </c>
      <c r="N139" s="10" t="s">
        <v>600</v>
      </c>
      <c r="O139" s="11" t="s">
        <v>56</v>
      </c>
      <c r="P139" s="11" t="s">
        <v>57</v>
      </c>
      <c r="Q139" s="12">
        <v>340</v>
      </c>
      <c r="R139" s="13">
        <v>45488</v>
      </c>
      <c r="S139" s="13">
        <v>45560</v>
      </c>
      <c r="T139" s="11">
        <v>65</v>
      </c>
      <c r="U139" s="11"/>
      <c r="V139" s="11">
        <v>312</v>
      </c>
      <c r="W139" s="11">
        <v>96</v>
      </c>
      <c r="X139" s="11">
        <v>62</v>
      </c>
      <c r="Y139" s="28"/>
      <c r="Z139">
        <v>3</v>
      </c>
    </row>
    <row r="140" spans="2:26" x14ac:dyDescent="0.25">
      <c r="B140" s="13">
        <v>45623</v>
      </c>
      <c r="C140" s="32">
        <v>3902.91</v>
      </c>
      <c r="D140" s="32"/>
      <c r="E140" s="32">
        <v>3902.91</v>
      </c>
      <c r="F140" s="32">
        <v>7805.83</v>
      </c>
      <c r="G140" s="8" t="s">
        <v>597</v>
      </c>
      <c r="H140" s="8" t="s">
        <v>601</v>
      </c>
      <c r="I140" s="8" t="s">
        <v>602</v>
      </c>
      <c r="J140" s="8" t="s">
        <v>427</v>
      </c>
      <c r="K140" s="8">
        <v>43.724487000000003</v>
      </c>
      <c r="L140" s="8">
        <v>-97.181922999999998</v>
      </c>
      <c r="M140" s="8" t="s">
        <v>130</v>
      </c>
      <c r="N140" s="10" t="s">
        <v>603</v>
      </c>
      <c r="O140" s="11" t="s">
        <v>132</v>
      </c>
      <c r="P140" s="11" t="s">
        <v>133</v>
      </c>
      <c r="Q140" s="12"/>
      <c r="R140" s="13">
        <v>45505</v>
      </c>
      <c r="S140" s="13">
        <v>45566</v>
      </c>
      <c r="T140" s="11">
        <v>63.2</v>
      </c>
      <c r="U140" s="11"/>
      <c r="V140" s="11">
        <v>328</v>
      </c>
      <c r="W140" s="11">
        <v>104</v>
      </c>
      <c r="X140" s="11">
        <v>68</v>
      </c>
      <c r="Y140" s="28"/>
      <c r="Z140">
        <v>3</v>
      </c>
    </row>
    <row r="141" spans="2:26" x14ac:dyDescent="0.25">
      <c r="B141" s="13">
        <v>45387</v>
      </c>
      <c r="C141" s="32">
        <v>15200</v>
      </c>
      <c r="D141" s="36"/>
      <c r="E141" s="32">
        <v>25241.119999999999</v>
      </c>
      <c r="F141" s="32">
        <v>40441.120000000003</v>
      </c>
      <c r="G141" s="8" t="s">
        <v>597</v>
      </c>
      <c r="H141" s="8" t="s">
        <v>444</v>
      </c>
      <c r="I141" s="8" t="s">
        <v>604</v>
      </c>
      <c r="J141" s="8" t="s">
        <v>291</v>
      </c>
      <c r="K141" s="8">
        <v>44.517601999999997</v>
      </c>
      <c r="L141" s="8">
        <v>-97.294883999999996</v>
      </c>
      <c r="M141" s="8" t="s">
        <v>128</v>
      </c>
      <c r="N141" s="10" t="s">
        <v>365</v>
      </c>
      <c r="O141" s="11" t="s">
        <v>132</v>
      </c>
      <c r="P141" s="11" t="s">
        <v>133</v>
      </c>
      <c r="Q141" s="12"/>
      <c r="R141" s="13">
        <v>45355</v>
      </c>
      <c r="S141" s="13">
        <v>45397</v>
      </c>
      <c r="T141" s="11">
        <v>152</v>
      </c>
      <c r="U141" s="11"/>
      <c r="V141" s="11">
        <v>350</v>
      </c>
      <c r="W141" s="11">
        <v>59</v>
      </c>
      <c r="X141" s="11">
        <v>35</v>
      </c>
      <c r="Y141" s="28"/>
      <c r="Z141">
        <v>3</v>
      </c>
    </row>
    <row r="142" spans="2:26" x14ac:dyDescent="0.25">
      <c r="B142" s="13">
        <v>45387</v>
      </c>
      <c r="C142" s="32">
        <v>9500</v>
      </c>
      <c r="D142" s="37"/>
      <c r="E142" s="32">
        <v>12958.4</v>
      </c>
      <c r="F142" s="32">
        <v>22458.400000000001</v>
      </c>
      <c r="G142" s="8" t="s">
        <v>597</v>
      </c>
      <c r="H142" s="8" t="s">
        <v>567</v>
      </c>
      <c r="I142" s="8" t="s">
        <v>598</v>
      </c>
      <c r="J142" s="8" t="s">
        <v>291</v>
      </c>
      <c r="K142" s="8">
        <v>44.584667000000003</v>
      </c>
      <c r="L142" s="8">
        <v>-97.306381999999999</v>
      </c>
      <c r="M142" s="8" t="s">
        <v>128</v>
      </c>
      <c r="N142" s="10" t="s">
        <v>605</v>
      </c>
      <c r="O142" s="11" t="s">
        <v>132</v>
      </c>
      <c r="P142" s="11" t="s">
        <v>133</v>
      </c>
      <c r="Q142" s="12"/>
      <c r="R142" s="13">
        <v>45356</v>
      </c>
      <c r="S142" s="13">
        <v>45397</v>
      </c>
      <c r="T142" s="11">
        <v>95</v>
      </c>
      <c r="U142" s="11"/>
      <c r="V142" s="11">
        <v>205</v>
      </c>
      <c r="W142" s="11">
        <v>33</v>
      </c>
      <c r="X142" s="11">
        <v>19</v>
      </c>
      <c r="Y142" s="28"/>
      <c r="Z142">
        <v>3</v>
      </c>
    </row>
    <row r="143" spans="2:26" x14ac:dyDescent="0.25">
      <c r="B143" s="1">
        <v>45512</v>
      </c>
      <c r="C143" s="31">
        <v>1975</v>
      </c>
      <c r="D143" s="28"/>
      <c r="E143" s="31">
        <v>3298</v>
      </c>
      <c r="F143" s="31">
        <v>5273</v>
      </c>
      <c r="G143" s="6" t="s">
        <v>606</v>
      </c>
      <c r="H143" s="6" t="s">
        <v>607</v>
      </c>
      <c r="I143" s="6" t="s">
        <v>608</v>
      </c>
      <c r="J143" s="6" t="s">
        <v>572</v>
      </c>
      <c r="K143" s="6">
        <v>43.130637</v>
      </c>
      <c r="L143" s="6">
        <v>-97.609910999999997</v>
      </c>
      <c r="M143" s="6" t="s">
        <v>137</v>
      </c>
      <c r="N143" s="4" t="s">
        <v>609</v>
      </c>
      <c r="O143" t="s">
        <v>56</v>
      </c>
      <c r="P143" t="s">
        <v>57</v>
      </c>
      <c r="Q143" s="5">
        <v>340</v>
      </c>
      <c r="R143" s="1">
        <v>45498</v>
      </c>
      <c r="S143" s="1">
        <v>45512</v>
      </c>
      <c r="T143">
        <v>79</v>
      </c>
      <c r="V143">
        <v>691</v>
      </c>
      <c r="W143">
        <v>237</v>
      </c>
      <c r="X143">
        <v>171</v>
      </c>
      <c r="Y143" s="28"/>
      <c r="Z143">
        <v>3</v>
      </c>
    </row>
    <row r="144" spans="2:26" x14ac:dyDescent="0.25">
      <c r="B144" s="13">
        <v>45565</v>
      </c>
      <c r="C144" s="32">
        <v>3890.6</v>
      </c>
      <c r="D144" s="32"/>
      <c r="E144" s="32">
        <v>3890.6</v>
      </c>
      <c r="F144" s="32">
        <v>7781.2</v>
      </c>
      <c r="G144" s="8" t="s">
        <v>357</v>
      </c>
      <c r="H144" s="8" t="s">
        <v>610</v>
      </c>
      <c r="I144" s="8" t="s">
        <v>611</v>
      </c>
      <c r="J144" s="8" t="s">
        <v>268</v>
      </c>
      <c r="K144" s="8">
        <v>43.478054999999998</v>
      </c>
      <c r="L144" s="8">
        <v>-99.115500999999995</v>
      </c>
      <c r="M144" s="8" t="s">
        <v>269</v>
      </c>
      <c r="N144" s="10" t="s">
        <v>612</v>
      </c>
      <c r="O144" s="11" t="s">
        <v>56</v>
      </c>
      <c r="P144" s="11" t="s">
        <v>57</v>
      </c>
      <c r="Q144" s="12">
        <v>340</v>
      </c>
      <c r="R144" s="13">
        <v>45505</v>
      </c>
      <c r="S144" s="13">
        <v>45545</v>
      </c>
      <c r="T144" s="11">
        <v>191</v>
      </c>
      <c r="U144" s="11"/>
      <c r="V144" s="11">
        <v>1332</v>
      </c>
      <c r="W144" s="11">
        <v>443</v>
      </c>
      <c r="X144" s="11">
        <v>309</v>
      </c>
      <c r="Y144" s="28"/>
      <c r="Z144">
        <v>3</v>
      </c>
    </row>
    <row r="145" spans="2:26" x14ac:dyDescent="0.25">
      <c r="B145" s="13">
        <v>45565</v>
      </c>
      <c r="C145" s="32">
        <v>4480</v>
      </c>
      <c r="D145" s="32"/>
      <c r="E145" s="32">
        <v>3935.1</v>
      </c>
      <c r="F145" s="32">
        <v>8415.1</v>
      </c>
      <c r="G145" s="8" t="s">
        <v>357</v>
      </c>
      <c r="H145" s="8" t="s">
        <v>272</v>
      </c>
      <c r="I145" s="8" t="s">
        <v>613</v>
      </c>
      <c r="J145" s="8" t="s">
        <v>268</v>
      </c>
      <c r="K145" s="8">
        <v>43.373806000000002</v>
      </c>
      <c r="L145" s="8">
        <v>-99.006247999999999</v>
      </c>
      <c r="M145" s="8" t="s">
        <v>269</v>
      </c>
      <c r="N145" s="10" t="s">
        <v>614</v>
      </c>
      <c r="O145" s="11" t="s">
        <v>56</v>
      </c>
      <c r="P145" s="11" t="s">
        <v>57</v>
      </c>
      <c r="Q145" s="12">
        <v>340</v>
      </c>
      <c r="R145" s="13">
        <v>45505</v>
      </c>
      <c r="S145" s="13">
        <v>45545</v>
      </c>
      <c r="T145" s="11">
        <v>206</v>
      </c>
      <c r="U145" s="11"/>
      <c r="V145" s="11">
        <v>1154</v>
      </c>
      <c r="W145" s="11">
        <v>370</v>
      </c>
      <c r="X145" s="11">
        <v>246</v>
      </c>
      <c r="Y145" s="28"/>
      <c r="Z145">
        <v>3</v>
      </c>
    </row>
    <row r="146" spans="2:26" x14ac:dyDescent="0.25">
      <c r="B146" s="1">
        <v>45534</v>
      </c>
      <c r="C146" s="31">
        <v>2669.25</v>
      </c>
      <c r="D146" s="31"/>
      <c r="E146" s="31">
        <v>4965.41</v>
      </c>
      <c r="F146" s="31">
        <v>7634.66</v>
      </c>
      <c r="G146" s="6" t="s">
        <v>615</v>
      </c>
      <c r="H146" s="6" t="s">
        <v>616</v>
      </c>
      <c r="I146" s="6" t="s">
        <v>617</v>
      </c>
      <c r="J146" s="6" t="s">
        <v>518</v>
      </c>
      <c r="K146" s="6">
        <v>43.080862000000003</v>
      </c>
      <c r="L146" s="6">
        <v>-96.954374000000001</v>
      </c>
      <c r="M146" s="6" t="s">
        <v>100</v>
      </c>
      <c r="N146" s="4" t="s">
        <v>618</v>
      </c>
      <c r="O146" t="s">
        <v>56</v>
      </c>
      <c r="P146" t="s">
        <v>57</v>
      </c>
      <c r="Q146" s="5">
        <v>340</v>
      </c>
      <c r="R146" s="1">
        <v>45448</v>
      </c>
      <c r="S146" s="1">
        <v>45534</v>
      </c>
      <c r="T146">
        <v>107</v>
      </c>
      <c r="V146">
        <v>515</v>
      </c>
      <c r="W146">
        <v>153</v>
      </c>
      <c r="X146">
        <v>95</v>
      </c>
      <c r="Y146" s="28"/>
      <c r="Z146">
        <v>3</v>
      </c>
    </row>
    <row r="147" spans="2:26" x14ac:dyDescent="0.25">
      <c r="B147" s="13">
        <v>45501</v>
      </c>
      <c r="C147" s="32">
        <v>1800</v>
      </c>
      <c r="D147" s="32"/>
      <c r="E147" s="32">
        <v>3948</v>
      </c>
      <c r="F147" s="32">
        <v>5748</v>
      </c>
      <c r="G147" s="8" t="s">
        <v>619</v>
      </c>
      <c r="H147" s="8" t="s">
        <v>456</v>
      </c>
      <c r="I147" s="8" t="s">
        <v>620</v>
      </c>
      <c r="J147" s="8" t="s">
        <v>200</v>
      </c>
      <c r="K147" s="8">
        <v>43.370832</v>
      </c>
      <c r="L147" s="8">
        <v>-97.155732999999998</v>
      </c>
      <c r="M147" s="8" t="s">
        <v>100</v>
      </c>
      <c r="N147" s="10" t="s">
        <v>621</v>
      </c>
      <c r="O147" s="11" t="s">
        <v>56</v>
      </c>
      <c r="P147" s="11" t="s">
        <v>57</v>
      </c>
      <c r="Q147" s="12">
        <v>340</v>
      </c>
      <c r="R147" s="13">
        <v>45488</v>
      </c>
      <c r="S147" s="13">
        <v>45503</v>
      </c>
      <c r="T147" s="11">
        <v>72</v>
      </c>
      <c r="U147" s="11"/>
      <c r="V147" s="11">
        <v>329</v>
      </c>
      <c r="W147" s="11">
        <v>99</v>
      </c>
      <c r="X147" s="11">
        <v>62</v>
      </c>
      <c r="Y147" s="28"/>
      <c r="Z147">
        <v>3</v>
      </c>
    </row>
    <row r="148" spans="2:26" x14ac:dyDescent="0.25">
      <c r="B148" s="1">
        <v>45545</v>
      </c>
      <c r="C148" s="31">
        <v>7259.83</v>
      </c>
      <c r="D148" s="31"/>
      <c r="E148" s="31">
        <v>14519.66</v>
      </c>
      <c r="F148" s="31">
        <v>21779.49</v>
      </c>
      <c r="G148" s="20" t="s">
        <v>622</v>
      </c>
      <c r="H148" s="20" t="s">
        <v>335</v>
      </c>
      <c r="I148" s="20" t="s">
        <v>622</v>
      </c>
      <c r="J148" s="20" t="s">
        <v>316</v>
      </c>
      <c r="K148" s="20">
        <v>44.694017000000002</v>
      </c>
      <c r="L148" s="20">
        <v>-103.356981</v>
      </c>
      <c r="M148" s="20" t="s">
        <v>623</v>
      </c>
      <c r="N148" s="4" t="s">
        <v>624</v>
      </c>
      <c r="O148" t="s">
        <v>75</v>
      </c>
      <c r="P148" t="s">
        <v>305</v>
      </c>
      <c r="Q148" s="5">
        <v>382</v>
      </c>
      <c r="R148" s="1">
        <v>45527</v>
      </c>
      <c r="S148" s="1">
        <v>45575</v>
      </c>
      <c r="T148">
        <v>70</v>
      </c>
      <c r="Y148" s="28"/>
      <c r="Z148">
        <v>3</v>
      </c>
    </row>
    <row r="149" spans="2:26" x14ac:dyDescent="0.25">
      <c r="B149" s="1">
        <v>45552</v>
      </c>
      <c r="C149" s="31">
        <v>3000</v>
      </c>
      <c r="D149" s="28"/>
      <c r="E149" s="31">
        <v>12409.47</v>
      </c>
      <c r="F149" s="31">
        <v>15409.47</v>
      </c>
      <c r="G149" s="6" t="s">
        <v>622</v>
      </c>
      <c r="H149" s="6" t="s">
        <v>335</v>
      </c>
      <c r="I149" s="6" t="s">
        <v>622</v>
      </c>
      <c r="J149" s="6" t="s">
        <v>316</v>
      </c>
      <c r="K149" s="6">
        <v>44.694017000000002</v>
      </c>
      <c r="L149" s="6">
        <v>-103.356981</v>
      </c>
      <c r="M149" s="6" t="s">
        <v>623</v>
      </c>
      <c r="N149" s="4" t="s">
        <v>624</v>
      </c>
      <c r="O149" t="s">
        <v>75</v>
      </c>
      <c r="P149" t="s">
        <v>304</v>
      </c>
      <c r="Q149" s="5">
        <v>516</v>
      </c>
      <c r="R149" s="1">
        <v>45530</v>
      </c>
      <c r="S149" s="1">
        <v>45575</v>
      </c>
      <c r="T149">
        <v>70</v>
      </c>
      <c r="Y149" s="28"/>
      <c r="Z149">
        <v>3</v>
      </c>
    </row>
    <row r="150" spans="2:26" x14ac:dyDescent="0.25">
      <c r="B150" s="13">
        <v>45575</v>
      </c>
      <c r="C150" s="32">
        <v>1370.17</v>
      </c>
      <c r="D150" s="32"/>
      <c r="E150" s="32">
        <v>1322.96</v>
      </c>
      <c r="F150" s="32">
        <v>2693.13</v>
      </c>
      <c r="G150" s="8" t="s">
        <v>622</v>
      </c>
      <c r="H150" s="8" t="s">
        <v>335</v>
      </c>
      <c r="I150" s="8" t="s">
        <v>622</v>
      </c>
      <c r="J150" s="8" t="s">
        <v>316</v>
      </c>
      <c r="K150" s="8">
        <v>44.694017000000002</v>
      </c>
      <c r="L150" s="8">
        <v>-103.356981</v>
      </c>
      <c r="M150" s="8" t="s">
        <v>623</v>
      </c>
      <c r="N150" s="10" t="s">
        <v>624</v>
      </c>
      <c r="O150" s="11" t="s">
        <v>75</v>
      </c>
      <c r="P150" s="11" t="s">
        <v>307</v>
      </c>
      <c r="Q150" s="12">
        <v>614</v>
      </c>
      <c r="R150" s="13">
        <v>45530</v>
      </c>
      <c r="S150" s="13">
        <v>45575</v>
      </c>
      <c r="T150" s="11">
        <v>70</v>
      </c>
      <c r="U150" s="11"/>
      <c r="V150" s="11"/>
      <c r="W150" s="11"/>
      <c r="X150" s="11"/>
      <c r="Y150" s="28"/>
      <c r="Z150">
        <v>3</v>
      </c>
    </row>
    <row r="151" spans="2:26" x14ac:dyDescent="0.25">
      <c r="B151" s="13">
        <v>45512</v>
      </c>
      <c r="C151" s="32">
        <v>1797.5</v>
      </c>
      <c r="D151" s="32"/>
      <c r="E151" s="32">
        <v>2352.6999999999998</v>
      </c>
      <c r="F151" s="32">
        <v>4150.2</v>
      </c>
      <c r="G151" s="8" t="s">
        <v>625</v>
      </c>
      <c r="H151" s="8" t="s">
        <v>626</v>
      </c>
      <c r="I151" s="8" t="s">
        <v>627</v>
      </c>
      <c r="J151" s="8" t="s">
        <v>628</v>
      </c>
      <c r="K151" s="8">
        <v>42.842393000000001</v>
      </c>
      <c r="L151" s="8">
        <v>-96.563044000000005</v>
      </c>
      <c r="M151" s="8" t="s">
        <v>629</v>
      </c>
      <c r="N151" s="10" t="s">
        <v>630</v>
      </c>
      <c r="O151" s="11" t="s">
        <v>56</v>
      </c>
      <c r="P151" s="11" t="s">
        <v>57</v>
      </c>
      <c r="Q151" s="12">
        <v>340</v>
      </c>
      <c r="R151" s="13">
        <v>45496</v>
      </c>
      <c r="S151" s="13">
        <v>45553</v>
      </c>
      <c r="T151" s="11">
        <v>71.900000000000006</v>
      </c>
      <c r="U151" s="11"/>
      <c r="V151" s="11">
        <v>777</v>
      </c>
      <c r="W151" s="11">
        <v>268</v>
      </c>
      <c r="X151" s="11">
        <v>168</v>
      </c>
      <c r="Y151" s="28"/>
      <c r="Z151">
        <v>3</v>
      </c>
    </row>
    <row r="152" spans="2:26" x14ac:dyDescent="0.25">
      <c r="B152" s="13">
        <v>45575</v>
      </c>
      <c r="C152" s="32">
        <v>3177.25</v>
      </c>
      <c r="D152" s="32"/>
      <c r="E152" s="32">
        <v>3177.25</v>
      </c>
      <c r="F152" s="32">
        <v>6354.5</v>
      </c>
      <c r="G152" s="8" t="s">
        <v>631</v>
      </c>
      <c r="H152" s="8" t="s">
        <v>329</v>
      </c>
      <c r="I152" s="8" t="s">
        <v>632</v>
      </c>
      <c r="J152" s="8" t="s">
        <v>427</v>
      </c>
      <c r="K152" s="8">
        <v>43.699703999999997</v>
      </c>
      <c r="L152" s="8">
        <v>-97.144850000000005</v>
      </c>
      <c r="M152" s="8" t="s">
        <v>599</v>
      </c>
      <c r="N152" s="10" t="s">
        <v>633</v>
      </c>
      <c r="O152" s="11" t="s">
        <v>56</v>
      </c>
      <c r="P152" s="11" t="s">
        <v>57</v>
      </c>
      <c r="Q152" s="12">
        <v>340</v>
      </c>
      <c r="R152" s="13">
        <v>45534</v>
      </c>
      <c r="S152" s="13">
        <v>45575</v>
      </c>
      <c r="T152" s="11">
        <v>160</v>
      </c>
      <c r="U152" s="11"/>
      <c r="V152" s="11">
        <v>715</v>
      </c>
      <c r="W152" s="11">
        <v>215</v>
      </c>
      <c r="X152" s="11">
        <v>136</v>
      </c>
      <c r="Y152" s="28"/>
      <c r="Z152">
        <v>3</v>
      </c>
    </row>
    <row r="153" spans="2:26" x14ac:dyDescent="0.25">
      <c r="B153" s="1">
        <v>43304</v>
      </c>
      <c r="C153" s="31">
        <v>0</v>
      </c>
      <c r="D153" s="31">
        <v>0</v>
      </c>
      <c r="E153" s="31">
        <v>84513.74</v>
      </c>
      <c r="F153" s="31">
        <v>84513.74</v>
      </c>
      <c r="G153" s="18" t="s">
        <v>634</v>
      </c>
      <c r="H153" s="18" t="s">
        <v>635</v>
      </c>
      <c r="I153" s="18" t="s">
        <v>636</v>
      </c>
      <c r="J153" s="18" t="s">
        <v>637</v>
      </c>
      <c r="K153" s="18">
        <v>45.805222000000001</v>
      </c>
      <c r="L153" s="18">
        <v>-100.805126</v>
      </c>
      <c r="M153" s="18" t="s">
        <v>638</v>
      </c>
      <c r="N153" s="16">
        <v>2</v>
      </c>
      <c r="O153" s="14" t="s">
        <v>54</v>
      </c>
      <c r="P153" s="14" t="s">
        <v>57</v>
      </c>
      <c r="Q153" s="17">
        <v>340</v>
      </c>
      <c r="R153" s="15">
        <v>43313</v>
      </c>
      <c r="S153" s="15">
        <v>43507</v>
      </c>
      <c r="T153" s="14">
        <v>556</v>
      </c>
      <c r="U153" s="14"/>
      <c r="V153" s="14" t="s">
        <v>145</v>
      </c>
      <c r="W153" s="14" t="s">
        <v>145</v>
      </c>
      <c r="X153" s="14" t="s">
        <v>145</v>
      </c>
      <c r="Y153" s="28"/>
      <c r="Z153">
        <v>1</v>
      </c>
    </row>
    <row r="154" spans="2:26" x14ac:dyDescent="0.25">
      <c r="B154" s="15">
        <v>43673</v>
      </c>
      <c r="C154" s="40">
        <v>0</v>
      </c>
      <c r="D154" s="40">
        <v>0</v>
      </c>
      <c r="E154" s="40">
        <v>0</v>
      </c>
      <c r="F154" s="40">
        <v>5848.84</v>
      </c>
      <c r="G154" s="18" t="s">
        <v>639</v>
      </c>
      <c r="H154" s="18" t="s">
        <v>640</v>
      </c>
      <c r="I154" s="18" t="s">
        <v>639</v>
      </c>
      <c r="J154" s="18" t="s">
        <v>503</v>
      </c>
      <c r="K154" s="18">
        <v>45.490411000000002</v>
      </c>
      <c r="L154" s="18">
        <v>-97.291543000000004</v>
      </c>
      <c r="M154" s="18" t="s">
        <v>223</v>
      </c>
      <c r="N154" s="16">
        <v>11</v>
      </c>
      <c r="O154" s="14" t="s">
        <v>54</v>
      </c>
      <c r="P154" s="14" t="s">
        <v>57</v>
      </c>
      <c r="Q154" s="17">
        <v>340</v>
      </c>
      <c r="R154" s="15">
        <v>43308</v>
      </c>
      <c r="S154" s="15">
        <v>43752</v>
      </c>
      <c r="T154" s="14">
        <v>500</v>
      </c>
      <c r="U154" s="14" t="s">
        <v>145</v>
      </c>
      <c r="V154" s="14" t="s">
        <v>145</v>
      </c>
      <c r="W154" s="14" t="s">
        <v>145</v>
      </c>
      <c r="X154" s="14" t="s">
        <v>145</v>
      </c>
      <c r="Y154" s="28"/>
      <c r="Z154">
        <v>1</v>
      </c>
    </row>
    <row r="155" spans="2:26" x14ac:dyDescent="0.25">
      <c r="B155" s="1">
        <v>43468</v>
      </c>
      <c r="C155" s="31">
        <v>0</v>
      </c>
      <c r="D155" s="31">
        <v>0</v>
      </c>
      <c r="E155" s="31">
        <v>0</v>
      </c>
      <c r="F155" s="31">
        <v>10673.52</v>
      </c>
      <c r="G155" s="6" t="s">
        <v>639</v>
      </c>
      <c r="H155" s="6" t="s">
        <v>640</v>
      </c>
      <c r="I155" s="6" t="s">
        <v>639</v>
      </c>
      <c r="J155" s="6" t="s">
        <v>503</v>
      </c>
      <c r="K155" s="6">
        <v>45.490411000000002</v>
      </c>
      <c r="L155" s="6">
        <v>-97.291543000000004</v>
      </c>
      <c r="M155" s="6" t="s">
        <v>223</v>
      </c>
      <c r="N155" s="4">
        <v>11</v>
      </c>
      <c r="O155" t="s">
        <v>75</v>
      </c>
      <c r="P155" t="s">
        <v>305</v>
      </c>
      <c r="Q155" s="5">
        <v>382</v>
      </c>
      <c r="R155" s="1">
        <v>43385</v>
      </c>
      <c r="S155" s="1">
        <v>43468</v>
      </c>
      <c r="T155">
        <v>616</v>
      </c>
      <c r="Y155" s="28"/>
      <c r="Z155">
        <v>1</v>
      </c>
    </row>
    <row r="156" spans="2:26" x14ac:dyDescent="0.25">
      <c r="B156" s="1">
        <v>43676</v>
      </c>
      <c r="C156" s="31">
        <v>0</v>
      </c>
      <c r="D156" s="31">
        <v>0</v>
      </c>
      <c r="E156" s="31">
        <v>0</v>
      </c>
      <c r="F156" s="31">
        <v>24545.67</v>
      </c>
      <c r="G156" s="6" t="s">
        <v>639</v>
      </c>
      <c r="H156" s="6" t="s">
        <v>640</v>
      </c>
      <c r="I156" s="6" t="s">
        <v>639</v>
      </c>
      <c r="J156" s="6" t="s">
        <v>503</v>
      </c>
      <c r="K156" s="6">
        <v>45.490411000000002</v>
      </c>
      <c r="L156" s="6">
        <v>-97.291543000000004</v>
      </c>
      <c r="M156" s="6" t="s">
        <v>223</v>
      </c>
      <c r="N156" s="4">
        <v>11</v>
      </c>
      <c r="O156" t="s">
        <v>75</v>
      </c>
      <c r="P156" t="s">
        <v>304</v>
      </c>
      <c r="Q156" s="5">
        <v>516</v>
      </c>
      <c r="R156" s="1">
        <v>43387</v>
      </c>
      <c r="S156" s="1">
        <v>43752</v>
      </c>
      <c r="T156">
        <v>616</v>
      </c>
      <c r="Y156" s="28"/>
      <c r="Z156">
        <v>1</v>
      </c>
    </row>
    <row r="157" spans="2:26" ht="14.4" thickBot="1" x14ac:dyDescent="0.3">
      <c r="B157" s="91">
        <v>45776</v>
      </c>
      <c r="C157" s="93">
        <v>2651.5</v>
      </c>
      <c r="D157" s="93"/>
      <c r="E157" s="93">
        <v>2651.5</v>
      </c>
      <c r="F157" s="93">
        <v>5303</v>
      </c>
      <c r="G157" s="61" t="s">
        <v>641</v>
      </c>
      <c r="H157" s="61" t="s">
        <v>642</v>
      </c>
      <c r="I157" s="61" t="s">
        <v>643</v>
      </c>
      <c r="J157" s="61" t="s">
        <v>139</v>
      </c>
      <c r="K157" s="61">
        <v>43.070583999999997</v>
      </c>
      <c r="L157" s="61">
        <v>-97.341564000000005</v>
      </c>
      <c r="M157" s="61" t="s">
        <v>137</v>
      </c>
      <c r="N157" s="95" t="s">
        <v>644</v>
      </c>
      <c r="O157" s="11" t="s">
        <v>132</v>
      </c>
      <c r="P157" s="92" t="s">
        <v>133</v>
      </c>
      <c r="Q157" s="96"/>
      <c r="R157" s="91">
        <v>45749</v>
      </c>
      <c r="S157" s="91">
        <v>45777</v>
      </c>
      <c r="T157" s="92">
        <v>36</v>
      </c>
      <c r="U157" s="92"/>
      <c r="V157" s="92">
        <v>306</v>
      </c>
      <c r="W157" s="92">
        <v>104</v>
      </c>
      <c r="X157" s="92">
        <v>75</v>
      </c>
      <c r="Y157" s="28"/>
      <c r="Z157">
        <v>3</v>
      </c>
    </row>
    <row r="158" spans="2:26" x14ac:dyDescent="0.25">
      <c r="B158" s="13">
        <v>45741</v>
      </c>
      <c r="C158" s="32">
        <v>9610</v>
      </c>
      <c r="D158" s="32"/>
      <c r="E158" s="32">
        <v>14415</v>
      </c>
      <c r="F158" s="32">
        <v>24025</v>
      </c>
      <c r="G158" s="8" t="s">
        <v>645</v>
      </c>
      <c r="H158" s="8" t="s">
        <v>646</v>
      </c>
      <c r="I158" s="8" t="s">
        <v>647</v>
      </c>
      <c r="J158" s="8" t="s">
        <v>648</v>
      </c>
      <c r="K158" s="8">
        <v>44.648105999999999</v>
      </c>
      <c r="L158" s="8">
        <v>-97.316018</v>
      </c>
      <c r="M158" s="8" t="s">
        <v>128</v>
      </c>
      <c r="N158" s="10" t="s">
        <v>649</v>
      </c>
      <c r="O158" s="11" t="s">
        <v>132</v>
      </c>
      <c r="P158" s="11" t="s">
        <v>133</v>
      </c>
      <c r="Q158" s="12"/>
      <c r="R158" s="13">
        <v>45749</v>
      </c>
      <c r="S158" s="13">
        <v>45791</v>
      </c>
      <c r="T158" s="11">
        <v>100</v>
      </c>
      <c r="U158" s="11"/>
      <c r="V158" s="11" t="s">
        <v>145</v>
      </c>
      <c r="W158" s="11" t="s">
        <v>145</v>
      </c>
      <c r="X158" s="11" t="s">
        <v>145</v>
      </c>
      <c r="Y158" s="28"/>
      <c r="Z158">
        <v>3</v>
      </c>
    </row>
    <row r="159" spans="2:26" x14ac:dyDescent="0.25">
      <c r="B159" s="42">
        <v>43641</v>
      </c>
      <c r="C159" s="43">
        <v>0</v>
      </c>
      <c r="D159" s="43">
        <v>0</v>
      </c>
      <c r="E159" s="43">
        <v>10800</v>
      </c>
      <c r="F159" s="43">
        <v>10800</v>
      </c>
      <c r="G159" s="44" t="s">
        <v>650</v>
      </c>
      <c r="H159" s="44" t="s">
        <v>651</v>
      </c>
      <c r="I159" s="45" t="s">
        <v>652</v>
      </c>
      <c r="J159" s="45" t="s">
        <v>653</v>
      </c>
      <c r="K159" s="45"/>
      <c r="L159" s="45"/>
      <c r="M159" s="45"/>
      <c r="N159" s="25">
        <v>201846</v>
      </c>
      <c r="O159" s="24" t="s">
        <v>54</v>
      </c>
      <c r="P159" s="24" t="s">
        <v>57</v>
      </c>
      <c r="Q159" s="26">
        <v>340</v>
      </c>
      <c r="R159" s="27">
        <v>43556</v>
      </c>
      <c r="S159" s="27">
        <v>43801</v>
      </c>
      <c r="T159" s="24"/>
      <c r="U159" s="24" t="s">
        <v>145</v>
      </c>
      <c r="V159" s="24" t="s">
        <v>145</v>
      </c>
      <c r="W159" s="24" t="s">
        <v>145</v>
      </c>
      <c r="X159" s="24" t="s">
        <v>145</v>
      </c>
      <c r="Y159" s="28"/>
      <c r="Z159">
        <v>1</v>
      </c>
    </row>
    <row r="160" spans="2:26" x14ac:dyDescent="0.25">
      <c r="B160" s="15">
        <v>43751</v>
      </c>
      <c r="C160" s="40">
        <v>0</v>
      </c>
      <c r="D160" s="40">
        <v>0</v>
      </c>
      <c r="E160" s="40">
        <v>31623.200000000001</v>
      </c>
      <c r="F160" s="40">
        <v>31623.200000000001</v>
      </c>
      <c r="G160" s="99" t="s">
        <v>654</v>
      </c>
      <c r="H160" s="99" t="s">
        <v>655</v>
      </c>
      <c r="I160" s="100" t="s">
        <v>656</v>
      </c>
      <c r="J160" s="100" t="s">
        <v>657</v>
      </c>
      <c r="K160" s="100"/>
      <c r="L160" s="100"/>
      <c r="M160" s="100"/>
      <c r="N160" s="16" t="s">
        <v>658</v>
      </c>
      <c r="O160" s="14" t="s">
        <v>54</v>
      </c>
      <c r="P160" s="14" t="s">
        <v>57</v>
      </c>
      <c r="Q160" s="17">
        <v>340</v>
      </c>
      <c r="R160" s="15">
        <v>43556</v>
      </c>
      <c r="S160" s="15">
        <v>43752</v>
      </c>
      <c r="T160" s="14"/>
      <c r="U160" s="14" t="s">
        <v>145</v>
      </c>
      <c r="V160" s="14" t="s">
        <v>145</v>
      </c>
      <c r="W160" s="14" t="s">
        <v>145</v>
      </c>
      <c r="X160" s="14" t="s">
        <v>145</v>
      </c>
      <c r="Y160" s="28"/>
      <c r="Z160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BCF6-DE62-4B87-AB9C-40A6446167F9}">
  <sheetPr codeName="Sheet4" filterMode="1">
    <pageSetUpPr autoPageBreaks="0"/>
  </sheetPr>
  <dimension ref="A1:V405"/>
  <sheetViews>
    <sheetView zoomScale="86" zoomScaleNormal="86" workbookViewId="0">
      <pane ySplit="1" topLeftCell="A2" activePane="bottomLeft" state="frozen"/>
      <selection pane="bottomLeft" activeCell="A5" sqref="A5:A62"/>
    </sheetView>
  </sheetViews>
  <sheetFormatPr defaultRowHeight="13.8" x14ac:dyDescent="0.25"/>
  <cols>
    <col min="1" max="1" width="5.59765625" customWidth="1"/>
    <col min="2" max="2" width="10.8984375" bestFit="1" customWidth="1"/>
    <col min="3" max="3" width="11.3984375" bestFit="1" customWidth="1"/>
    <col min="4" max="4" width="25.69921875" bestFit="1" customWidth="1"/>
    <col min="5" max="5" width="9.09765625" customWidth="1"/>
    <col min="6" max="6" width="8.796875" customWidth="1"/>
    <col min="9" max="9" width="9.19921875" style="4" customWidth="1"/>
    <col min="10" max="10" width="9.796875" bestFit="1" customWidth="1"/>
    <col min="11" max="11" width="11" customWidth="1"/>
    <col min="12" max="12" width="8.796875" style="5"/>
    <col min="13" max="14" width="9.3984375" bestFit="1" customWidth="1"/>
    <col min="16" max="16" width="2.796875" customWidth="1"/>
    <col min="17" max="18" width="7.8984375" customWidth="1"/>
    <col min="22" max="22" width="8.796875" style="28"/>
  </cols>
  <sheetData>
    <row r="1" spans="1:22" s="23" customFormat="1" x14ac:dyDescent="0.25">
      <c r="A1" s="2" t="s">
        <v>680</v>
      </c>
      <c r="B1" s="2" t="s">
        <v>47</v>
      </c>
      <c r="C1" s="2" t="s">
        <v>48</v>
      </c>
      <c r="D1" s="2" t="s">
        <v>0</v>
      </c>
      <c r="E1" s="2" t="s">
        <v>2</v>
      </c>
      <c r="F1" s="2" t="s">
        <v>4</v>
      </c>
      <c r="G1" s="2" t="s">
        <v>6</v>
      </c>
      <c r="H1" s="2" t="s">
        <v>8</v>
      </c>
      <c r="I1" s="3" t="s">
        <v>10</v>
      </c>
      <c r="J1" s="2" t="s">
        <v>12</v>
      </c>
      <c r="K1" s="2" t="s">
        <v>14</v>
      </c>
      <c r="L1" s="3" t="s">
        <v>16</v>
      </c>
      <c r="M1" s="2" t="s">
        <v>18</v>
      </c>
      <c r="N1" s="2" t="s">
        <v>20</v>
      </c>
      <c r="O1" s="2" t="s">
        <v>22</v>
      </c>
      <c r="P1" s="2" t="s">
        <v>24</v>
      </c>
      <c r="Q1" s="2" t="s">
        <v>26</v>
      </c>
      <c r="R1" s="2" t="s">
        <v>28</v>
      </c>
      <c r="S1" s="2" t="s">
        <v>30</v>
      </c>
      <c r="T1" s="2" t="s">
        <v>32</v>
      </c>
      <c r="U1" s="2" t="s">
        <v>34</v>
      </c>
      <c r="V1" s="2" t="s">
        <v>36</v>
      </c>
    </row>
    <row r="2" spans="1:22" hidden="1" x14ac:dyDescent="0.25">
      <c r="B2" s="20" t="s">
        <v>49</v>
      </c>
      <c r="C2" s="20" t="s">
        <v>50</v>
      </c>
      <c r="D2" s="20" t="s">
        <v>51</v>
      </c>
      <c r="E2" s="21" t="s">
        <v>52</v>
      </c>
      <c r="F2" s="20">
        <v>44.229377999999997</v>
      </c>
      <c r="G2" s="20">
        <v>-98.130941000000007</v>
      </c>
      <c r="H2" s="20" t="s">
        <v>53</v>
      </c>
      <c r="I2" s="4">
        <v>20211</v>
      </c>
      <c r="J2" t="s">
        <v>54</v>
      </c>
      <c r="K2" t="s">
        <v>55</v>
      </c>
      <c r="L2" s="5">
        <v>329</v>
      </c>
      <c r="M2" s="1">
        <v>44470</v>
      </c>
      <c r="N2" s="1">
        <v>44484</v>
      </c>
      <c r="O2">
        <v>56</v>
      </c>
      <c r="S2">
        <v>78</v>
      </c>
      <c r="T2">
        <v>14</v>
      </c>
      <c r="U2">
        <v>8</v>
      </c>
    </row>
    <row r="3" spans="1:22" hidden="1" x14ac:dyDescent="0.25">
      <c r="B3" s="6" t="s">
        <v>49</v>
      </c>
      <c r="C3" s="6" t="s">
        <v>50</v>
      </c>
      <c r="D3" s="6" t="s">
        <v>51</v>
      </c>
      <c r="E3" s="7" t="s">
        <v>52</v>
      </c>
      <c r="F3" s="6">
        <v>44.229377999999997</v>
      </c>
      <c r="G3" s="6">
        <v>-98.130941000000007</v>
      </c>
      <c r="H3" s="6" t="s">
        <v>53</v>
      </c>
      <c r="I3" s="4">
        <v>20211</v>
      </c>
      <c r="J3" t="s">
        <v>56</v>
      </c>
      <c r="K3" t="s">
        <v>57</v>
      </c>
      <c r="L3" s="5">
        <v>340</v>
      </c>
      <c r="M3" s="1">
        <v>44470</v>
      </c>
      <c r="N3" s="1">
        <v>44501</v>
      </c>
      <c r="O3">
        <v>56</v>
      </c>
      <c r="S3">
        <v>160</v>
      </c>
      <c r="T3">
        <v>51</v>
      </c>
      <c r="U3">
        <v>33</v>
      </c>
    </row>
    <row r="4" spans="1:22" hidden="1" x14ac:dyDescent="0.25">
      <c r="B4" s="8" t="s">
        <v>49</v>
      </c>
      <c r="C4" s="8" t="s">
        <v>50</v>
      </c>
      <c r="D4" s="8" t="s">
        <v>51</v>
      </c>
      <c r="E4" s="9" t="s">
        <v>52</v>
      </c>
      <c r="F4" s="8">
        <v>44.229377999999997</v>
      </c>
      <c r="G4" s="8">
        <v>-98.130941000000007</v>
      </c>
      <c r="H4" s="8" t="s">
        <v>53</v>
      </c>
      <c r="I4" s="10">
        <v>20211</v>
      </c>
      <c r="J4" s="11" t="s">
        <v>58</v>
      </c>
      <c r="K4" s="11" t="s">
        <v>59</v>
      </c>
      <c r="L4" s="12">
        <v>556</v>
      </c>
      <c r="M4" s="13">
        <v>44470</v>
      </c>
      <c r="N4" s="13">
        <v>45154</v>
      </c>
      <c r="O4" s="11">
        <v>56</v>
      </c>
      <c r="P4" s="11"/>
      <c r="Q4" s="11"/>
      <c r="R4" s="11"/>
      <c r="S4" s="11"/>
      <c r="T4" s="11"/>
      <c r="U4" s="11"/>
    </row>
    <row r="5" spans="1:22" x14ac:dyDescent="0.25">
      <c r="B5" s="18" t="s">
        <v>60</v>
      </c>
      <c r="C5" s="18" t="s">
        <v>61</v>
      </c>
      <c r="D5" s="18" t="s">
        <v>62</v>
      </c>
      <c r="E5" s="19" t="s">
        <v>63</v>
      </c>
      <c r="F5" s="18">
        <v>43.621378</v>
      </c>
      <c r="G5" s="18">
        <v>-98.079824000000002</v>
      </c>
      <c r="H5" s="18" t="s">
        <v>64</v>
      </c>
      <c r="I5" s="16" t="s">
        <v>65</v>
      </c>
      <c r="J5" s="14" t="s">
        <v>54</v>
      </c>
      <c r="K5" s="14" t="s">
        <v>55</v>
      </c>
      <c r="L5" s="17">
        <v>329</v>
      </c>
      <c r="M5" s="15">
        <v>45117</v>
      </c>
      <c r="N5" s="15">
        <v>45111</v>
      </c>
      <c r="O5" s="14">
        <v>128</v>
      </c>
      <c r="P5" s="14"/>
      <c r="Q5" s="14"/>
      <c r="R5" s="14"/>
      <c r="S5" s="14">
        <v>390.1</v>
      </c>
      <c r="T5" s="14">
        <v>93.9</v>
      </c>
      <c r="U5" s="14">
        <v>55.6</v>
      </c>
    </row>
    <row r="6" spans="1:22" x14ac:dyDescent="0.25">
      <c r="B6" s="8" t="s">
        <v>60</v>
      </c>
      <c r="C6" s="8" t="s">
        <v>61</v>
      </c>
      <c r="D6" s="8" t="s">
        <v>62</v>
      </c>
      <c r="E6" s="9" t="s">
        <v>63</v>
      </c>
      <c r="F6" s="8">
        <v>43.621378</v>
      </c>
      <c r="G6" s="8">
        <v>-98.079824000000002</v>
      </c>
      <c r="H6" s="8" t="s">
        <v>64</v>
      </c>
      <c r="I6" s="10" t="s">
        <v>65</v>
      </c>
      <c r="J6" s="11" t="s">
        <v>56</v>
      </c>
      <c r="K6" s="11" t="s">
        <v>57</v>
      </c>
      <c r="L6" s="12">
        <v>340</v>
      </c>
      <c r="M6" s="13">
        <v>45117</v>
      </c>
      <c r="N6" s="13">
        <v>45139</v>
      </c>
      <c r="O6" s="11">
        <v>128</v>
      </c>
      <c r="P6" s="11"/>
      <c r="Q6" s="11"/>
      <c r="R6" s="11"/>
      <c r="S6" s="11">
        <v>469</v>
      </c>
      <c r="T6" s="11">
        <v>139</v>
      </c>
      <c r="U6" s="11">
        <v>83.9</v>
      </c>
    </row>
    <row r="7" spans="1:22" hidden="1" x14ac:dyDescent="0.25">
      <c r="B7" s="18" t="s">
        <v>66</v>
      </c>
      <c r="C7" s="18" t="s">
        <v>67</v>
      </c>
      <c r="D7" s="18" t="s">
        <v>68</v>
      </c>
      <c r="E7" s="19" t="s">
        <v>69</v>
      </c>
      <c r="F7" s="18">
        <v>43.655670000000001</v>
      </c>
      <c r="G7" s="18">
        <v>-97.899885999999995</v>
      </c>
      <c r="H7" s="18" t="s">
        <v>64</v>
      </c>
      <c r="I7" s="16" t="s">
        <v>70</v>
      </c>
      <c r="J7" s="14" t="s">
        <v>54</v>
      </c>
      <c r="K7" s="14" t="s">
        <v>55</v>
      </c>
      <c r="L7" s="17">
        <v>329</v>
      </c>
      <c r="M7" s="15">
        <v>44317</v>
      </c>
      <c r="N7" s="15">
        <v>44501</v>
      </c>
      <c r="O7" s="14">
        <v>505</v>
      </c>
      <c r="P7" s="14"/>
      <c r="Q7" s="14">
        <v>1010</v>
      </c>
      <c r="R7" s="14">
        <v>770</v>
      </c>
      <c r="S7" s="14">
        <v>487</v>
      </c>
      <c r="T7" s="14">
        <v>68</v>
      </c>
      <c r="U7" s="14">
        <v>35</v>
      </c>
    </row>
    <row r="8" spans="1:22" hidden="1" x14ac:dyDescent="0.25">
      <c r="B8" s="6" t="s">
        <v>66</v>
      </c>
      <c r="C8" s="6" t="s">
        <v>67</v>
      </c>
      <c r="D8" s="6" t="s">
        <v>68</v>
      </c>
      <c r="E8" s="7" t="s">
        <v>69</v>
      </c>
      <c r="F8" s="6">
        <v>43.655670000000001</v>
      </c>
      <c r="G8" s="6">
        <v>-97.899885999999995</v>
      </c>
      <c r="H8" s="6" t="s">
        <v>64</v>
      </c>
      <c r="I8" s="4" t="s">
        <v>70</v>
      </c>
      <c r="J8" t="s">
        <v>56</v>
      </c>
      <c r="K8" t="s">
        <v>57</v>
      </c>
      <c r="L8" s="5">
        <v>340</v>
      </c>
      <c r="M8" s="1">
        <v>44317</v>
      </c>
      <c r="N8" s="1">
        <v>44453</v>
      </c>
      <c r="O8">
        <v>385</v>
      </c>
      <c r="S8">
        <v>405</v>
      </c>
      <c r="T8">
        <v>125</v>
      </c>
      <c r="U8">
        <v>80</v>
      </c>
    </row>
    <row r="9" spans="1:22" hidden="1" x14ac:dyDescent="0.25">
      <c r="B9" s="6" t="s">
        <v>66</v>
      </c>
      <c r="C9" s="6" t="s">
        <v>67</v>
      </c>
      <c r="D9" s="6" t="s">
        <v>68</v>
      </c>
      <c r="E9" s="7" t="s">
        <v>69</v>
      </c>
      <c r="F9" s="6">
        <v>43.655670000000001</v>
      </c>
      <c r="G9" s="6">
        <v>-97.899885999999995</v>
      </c>
      <c r="H9" s="6" t="s">
        <v>64</v>
      </c>
      <c r="I9" s="4" t="s">
        <v>70</v>
      </c>
      <c r="J9" t="s">
        <v>71</v>
      </c>
      <c r="K9" t="s">
        <v>72</v>
      </c>
      <c r="L9" s="5" t="s">
        <v>73</v>
      </c>
      <c r="M9" s="1">
        <v>44317</v>
      </c>
      <c r="N9" s="1">
        <v>44392</v>
      </c>
      <c r="O9">
        <v>19.02</v>
      </c>
      <c r="S9">
        <v>42</v>
      </c>
      <c r="T9">
        <v>12</v>
      </c>
      <c r="U9">
        <v>7</v>
      </c>
    </row>
    <row r="10" spans="1:22" hidden="1" x14ac:dyDescent="0.25">
      <c r="B10" s="6" t="s">
        <v>66</v>
      </c>
      <c r="C10" s="6" t="s">
        <v>67</v>
      </c>
      <c r="D10" s="6" t="s">
        <v>68</v>
      </c>
      <c r="E10" s="7" t="s">
        <v>69</v>
      </c>
      <c r="F10" s="6">
        <v>43.655670000000001</v>
      </c>
      <c r="G10" s="6">
        <v>-97.899885999999995</v>
      </c>
      <c r="H10" s="6" t="s">
        <v>64</v>
      </c>
      <c r="I10" s="4" t="s">
        <v>74</v>
      </c>
      <c r="J10" t="s">
        <v>54</v>
      </c>
      <c r="K10" t="s">
        <v>55</v>
      </c>
      <c r="L10" s="5">
        <v>329</v>
      </c>
      <c r="M10" s="1">
        <v>44682</v>
      </c>
      <c r="N10" s="1">
        <v>44845</v>
      </c>
      <c r="O10">
        <v>505</v>
      </c>
      <c r="S10">
        <v>270</v>
      </c>
      <c r="T10">
        <v>45</v>
      </c>
      <c r="U10">
        <v>26</v>
      </c>
    </row>
    <row r="11" spans="1:22" hidden="1" x14ac:dyDescent="0.25">
      <c r="B11" s="6" t="s">
        <v>66</v>
      </c>
      <c r="C11" s="6" t="s">
        <v>67</v>
      </c>
      <c r="D11" s="6" t="s">
        <v>68</v>
      </c>
      <c r="E11" s="7" t="s">
        <v>69</v>
      </c>
      <c r="F11" s="6">
        <v>43.655670000000001</v>
      </c>
      <c r="G11" s="6">
        <v>-97.899885999999995</v>
      </c>
      <c r="H11" s="6" t="s">
        <v>64</v>
      </c>
      <c r="I11" s="4" t="s">
        <v>74</v>
      </c>
      <c r="J11" t="s">
        <v>56</v>
      </c>
      <c r="K11" t="s">
        <v>57</v>
      </c>
      <c r="L11" s="5">
        <v>340</v>
      </c>
      <c r="M11" s="1">
        <v>44682</v>
      </c>
      <c r="N11" s="1">
        <v>44845</v>
      </c>
      <c r="O11">
        <v>385</v>
      </c>
      <c r="S11">
        <v>490</v>
      </c>
      <c r="T11">
        <v>146</v>
      </c>
      <c r="U11">
        <v>91</v>
      </c>
    </row>
    <row r="12" spans="1:22" hidden="1" x14ac:dyDescent="0.25">
      <c r="B12" s="8" t="s">
        <v>66</v>
      </c>
      <c r="C12" s="8" t="s">
        <v>67</v>
      </c>
      <c r="D12" s="8" t="s">
        <v>68</v>
      </c>
      <c r="E12" s="9" t="s">
        <v>69</v>
      </c>
      <c r="F12" s="8">
        <v>43.655670000000001</v>
      </c>
      <c r="G12" s="8">
        <v>-97.899885999999995</v>
      </c>
      <c r="H12" s="8" t="s">
        <v>64</v>
      </c>
      <c r="I12" s="10" t="s">
        <v>74</v>
      </c>
      <c r="J12" s="11" t="s">
        <v>75</v>
      </c>
      <c r="K12" s="11" t="s">
        <v>59</v>
      </c>
      <c r="L12" s="12">
        <v>556</v>
      </c>
      <c r="M12" s="13">
        <v>44682</v>
      </c>
      <c r="N12" s="13">
        <v>44845</v>
      </c>
      <c r="O12" s="11">
        <v>230</v>
      </c>
      <c r="P12" s="11"/>
      <c r="Q12" s="11"/>
      <c r="R12" s="11"/>
      <c r="S12" s="11"/>
      <c r="T12" s="11"/>
      <c r="U12" s="11"/>
    </row>
    <row r="13" spans="1:22" hidden="1" x14ac:dyDescent="0.25">
      <c r="B13" s="18" t="s">
        <v>77</v>
      </c>
      <c r="C13" s="18" t="s">
        <v>78</v>
      </c>
      <c r="D13" s="18" t="s">
        <v>79</v>
      </c>
      <c r="E13" s="19" t="s">
        <v>80</v>
      </c>
      <c r="F13" s="18">
        <v>43.656303000000001</v>
      </c>
      <c r="G13" s="18">
        <v>-96.476612000000003</v>
      </c>
      <c r="H13" s="18" t="s">
        <v>81</v>
      </c>
      <c r="I13" s="16" t="s">
        <v>82</v>
      </c>
      <c r="J13" s="14" t="s">
        <v>83</v>
      </c>
      <c r="K13" s="14" t="s">
        <v>84</v>
      </c>
      <c r="L13" s="17">
        <v>328</v>
      </c>
      <c r="M13" s="15">
        <v>44287</v>
      </c>
      <c r="N13" s="15">
        <v>44409</v>
      </c>
      <c r="O13" s="14">
        <v>160</v>
      </c>
      <c r="P13" s="14"/>
      <c r="Q13" s="14">
        <v>320</v>
      </c>
      <c r="R13" s="14">
        <v>320</v>
      </c>
      <c r="S13" s="14"/>
      <c r="T13" s="14"/>
      <c r="U13" s="14"/>
    </row>
    <row r="14" spans="1:22" hidden="1" x14ac:dyDescent="0.25">
      <c r="B14" s="6" t="s">
        <v>77</v>
      </c>
      <c r="C14" s="6" t="s">
        <v>78</v>
      </c>
      <c r="D14" s="6" t="s">
        <v>79</v>
      </c>
      <c r="E14" s="7" t="s">
        <v>80</v>
      </c>
      <c r="F14" s="6">
        <v>43.656303000000001</v>
      </c>
      <c r="G14" s="6">
        <v>-96.476612000000003</v>
      </c>
      <c r="H14" s="6" t="s">
        <v>81</v>
      </c>
      <c r="I14" s="4" t="s">
        <v>82</v>
      </c>
      <c r="J14" t="s">
        <v>54</v>
      </c>
      <c r="K14" t="s">
        <v>55</v>
      </c>
      <c r="L14" s="5">
        <v>329</v>
      </c>
      <c r="M14" s="1">
        <v>44287</v>
      </c>
      <c r="N14" s="1">
        <v>44409</v>
      </c>
      <c r="O14">
        <v>160</v>
      </c>
      <c r="S14">
        <v>726</v>
      </c>
      <c r="T14">
        <v>138</v>
      </c>
      <c r="U14">
        <v>89</v>
      </c>
    </row>
    <row r="15" spans="1:22" hidden="1" x14ac:dyDescent="0.25">
      <c r="B15" s="6" t="s">
        <v>77</v>
      </c>
      <c r="C15" s="6" t="s">
        <v>78</v>
      </c>
      <c r="D15" s="6" t="s">
        <v>79</v>
      </c>
      <c r="E15" s="7" t="s">
        <v>80</v>
      </c>
      <c r="F15" s="6">
        <v>43.656303000000001</v>
      </c>
      <c r="G15" s="6">
        <v>-96.476612000000003</v>
      </c>
      <c r="H15" s="6" t="s">
        <v>81</v>
      </c>
      <c r="I15" s="4" t="s">
        <v>82</v>
      </c>
      <c r="J15" t="s">
        <v>56</v>
      </c>
      <c r="K15" t="s">
        <v>57</v>
      </c>
      <c r="L15" s="5">
        <v>340</v>
      </c>
      <c r="M15" s="1">
        <v>44287</v>
      </c>
      <c r="N15" s="1">
        <v>44409</v>
      </c>
      <c r="O15">
        <v>160</v>
      </c>
      <c r="S15">
        <v>1588</v>
      </c>
      <c r="T15">
        <v>516</v>
      </c>
      <c r="U15">
        <v>349</v>
      </c>
    </row>
    <row r="16" spans="1:22" hidden="1" x14ac:dyDescent="0.25">
      <c r="B16" s="6" t="s">
        <v>77</v>
      </c>
      <c r="C16" s="6" t="s">
        <v>78</v>
      </c>
      <c r="D16" s="6" t="s">
        <v>79</v>
      </c>
      <c r="E16" s="7" t="s">
        <v>80</v>
      </c>
      <c r="F16" s="6">
        <v>43.656303000000001</v>
      </c>
      <c r="G16" s="6">
        <v>-96.476612000000003</v>
      </c>
      <c r="H16" s="6" t="s">
        <v>81</v>
      </c>
      <c r="I16" s="4" t="s">
        <v>85</v>
      </c>
      <c r="J16" t="s">
        <v>83</v>
      </c>
      <c r="K16" t="s">
        <v>84</v>
      </c>
      <c r="L16" s="5">
        <v>328</v>
      </c>
      <c r="M16" s="1">
        <v>44682</v>
      </c>
      <c r="N16" s="1">
        <v>44845</v>
      </c>
      <c r="O16">
        <v>160</v>
      </c>
    </row>
    <row r="17" spans="2:22" hidden="1" x14ac:dyDescent="0.25">
      <c r="B17" s="6" t="s">
        <v>77</v>
      </c>
      <c r="C17" s="6" t="s">
        <v>78</v>
      </c>
      <c r="D17" s="6" t="s">
        <v>79</v>
      </c>
      <c r="E17" s="7" t="s">
        <v>80</v>
      </c>
      <c r="F17" s="6">
        <v>43.656303000000001</v>
      </c>
      <c r="G17" s="6">
        <v>-96.476612000000003</v>
      </c>
      <c r="H17" s="6" t="s">
        <v>81</v>
      </c>
      <c r="I17" s="4" t="s">
        <v>85</v>
      </c>
      <c r="J17" t="s">
        <v>54</v>
      </c>
      <c r="K17" t="s">
        <v>55</v>
      </c>
      <c r="L17" s="5">
        <v>329</v>
      </c>
      <c r="M17" s="1">
        <v>44682</v>
      </c>
      <c r="N17" s="1">
        <v>44845</v>
      </c>
      <c r="O17">
        <v>160</v>
      </c>
      <c r="S17">
        <v>1220</v>
      </c>
      <c r="T17">
        <v>231</v>
      </c>
      <c r="U17">
        <v>147</v>
      </c>
    </row>
    <row r="18" spans="2:22" hidden="1" x14ac:dyDescent="0.25">
      <c r="B18" s="8" t="s">
        <v>77</v>
      </c>
      <c r="C18" s="8" t="s">
        <v>78</v>
      </c>
      <c r="D18" s="8" t="s">
        <v>79</v>
      </c>
      <c r="E18" s="9" t="s">
        <v>80</v>
      </c>
      <c r="F18" s="8">
        <v>43.656303000000001</v>
      </c>
      <c r="G18" s="8">
        <v>-96.476612000000003</v>
      </c>
      <c r="H18" s="8" t="s">
        <v>81</v>
      </c>
      <c r="I18" s="10" t="s">
        <v>85</v>
      </c>
      <c r="J18" s="11" t="s">
        <v>56</v>
      </c>
      <c r="K18" s="11" t="s">
        <v>57</v>
      </c>
      <c r="L18" s="12">
        <v>340</v>
      </c>
      <c r="M18" s="13">
        <v>44682</v>
      </c>
      <c r="N18" s="13">
        <v>44845</v>
      </c>
      <c r="O18" s="11">
        <v>160</v>
      </c>
      <c r="P18" s="11"/>
      <c r="Q18" s="11"/>
      <c r="R18" s="11"/>
      <c r="S18" s="11">
        <v>936</v>
      </c>
      <c r="T18" s="11">
        <v>312</v>
      </c>
      <c r="U18" s="11">
        <v>222</v>
      </c>
    </row>
    <row r="19" spans="2:22" hidden="1" x14ac:dyDescent="0.25">
      <c r="B19" s="20" t="s">
        <v>86</v>
      </c>
      <c r="C19" s="20" t="s">
        <v>87</v>
      </c>
      <c r="D19" s="20" t="s">
        <v>88</v>
      </c>
      <c r="E19" s="21" t="s">
        <v>89</v>
      </c>
      <c r="F19" s="20">
        <v>45.069645999999999</v>
      </c>
      <c r="G19" s="20">
        <v>-98.579145999999994</v>
      </c>
      <c r="H19" s="20" t="s">
        <v>90</v>
      </c>
      <c r="I19" s="16">
        <v>202206</v>
      </c>
      <c r="J19" s="14" t="s">
        <v>54</v>
      </c>
      <c r="K19" s="14" t="s">
        <v>55</v>
      </c>
      <c r="L19" s="17">
        <v>329</v>
      </c>
      <c r="M19" s="15">
        <v>44682</v>
      </c>
      <c r="N19" s="15">
        <v>45078</v>
      </c>
      <c r="O19" s="14">
        <v>1371</v>
      </c>
      <c r="P19" s="14"/>
      <c r="Q19" s="14"/>
      <c r="R19" s="14"/>
      <c r="S19" s="14">
        <v>1316</v>
      </c>
      <c r="T19" s="14">
        <v>156</v>
      </c>
      <c r="U19" s="14">
        <v>68</v>
      </c>
    </row>
    <row r="20" spans="2:22" hidden="1" x14ac:dyDescent="0.25">
      <c r="B20" s="6" t="s">
        <v>86</v>
      </c>
      <c r="C20" s="6" t="s">
        <v>87</v>
      </c>
      <c r="D20" s="6" t="s">
        <v>88</v>
      </c>
      <c r="E20" s="7" t="s">
        <v>89</v>
      </c>
      <c r="F20" s="6">
        <v>45.069645999999999</v>
      </c>
      <c r="G20" s="6">
        <v>-98.579145999999994</v>
      </c>
      <c r="H20" s="6" t="s">
        <v>91</v>
      </c>
      <c r="I20" s="4">
        <v>202206</v>
      </c>
      <c r="J20" t="s">
        <v>56</v>
      </c>
      <c r="K20" t="s">
        <v>57</v>
      </c>
      <c r="L20" s="5">
        <v>340</v>
      </c>
      <c r="M20" s="1">
        <v>44743</v>
      </c>
      <c r="N20" s="1">
        <v>44805</v>
      </c>
      <c r="O20">
        <v>1371</v>
      </c>
      <c r="S20">
        <v>2030</v>
      </c>
      <c r="T20">
        <v>543</v>
      </c>
      <c r="U20">
        <v>266</v>
      </c>
    </row>
    <row r="21" spans="2:22" x14ac:dyDescent="0.25">
      <c r="B21" s="6" t="s">
        <v>86</v>
      </c>
      <c r="C21" s="6" t="s">
        <v>92</v>
      </c>
      <c r="D21" s="6" t="s">
        <v>93</v>
      </c>
      <c r="E21" s="7" t="s">
        <v>89</v>
      </c>
      <c r="F21" s="6">
        <v>45.154879000000001</v>
      </c>
      <c r="G21" s="6">
        <v>-98.601916000000003</v>
      </c>
      <c r="H21" s="6" t="s">
        <v>94</v>
      </c>
      <c r="I21" s="4" t="s">
        <v>95</v>
      </c>
      <c r="J21" t="s">
        <v>54</v>
      </c>
      <c r="K21" t="s">
        <v>55</v>
      </c>
      <c r="L21" s="5">
        <v>329</v>
      </c>
      <c r="M21" s="1">
        <v>44927</v>
      </c>
      <c r="N21" s="1">
        <v>45168</v>
      </c>
      <c r="O21">
        <v>569</v>
      </c>
      <c r="S21">
        <v>1170</v>
      </c>
      <c r="T21">
        <v>299</v>
      </c>
      <c r="U21">
        <v>1573</v>
      </c>
    </row>
    <row r="22" spans="2:22" x14ac:dyDescent="0.25">
      <c r="B22" s="8" t="s">
        <v>86</v>
      </c>
      <c r="C22" s="8" t="s">
        <v>92</v>
      </c>
      <c r="D22" s="8" t="s">
        <v>93</v>
      </c>
      <c r="E22" s="9" t="s">
        <v>89</v>
      </c>
      <c r="F22" s="8">
        <v>45.154879000000001</v>
      </c>
      <c r="G22" s="8">
        <v>-98.601916000000003</v>
      </c>
      <c r="H22" s="8" t="s">
        <v>94</v>
      </c>
      <c r="I22" s="10" t="s">
        <v>95</v>
      </c>
      <c r="J22" s="11" t="s">
        <v>56</v>
      </c>
      <c r="K22" s="11" t="s">
        <v>57</v>
      </c>
      <c r="L22" s="12">
        <v>340</v>
      </c>
      <c r="M22" s="13">
        <v>44927</v>
      </c>
      <c r="N22" s="13">
        <v>45168</v>
      </c>
      <c r="O22" s="11">
        <v>569</v>
      </c>
      <c r="P22" s="11"/>
      <c r="Q22" s="11"/>
      <c r="R22" s="11"/>
      <c r="S22" s="11">
        <v>989</v>
      </c>
      <c r="T22" s="11">
        <v>272</v>
      </c>
      <c r="U22" s="11">
        <v>141</v>
      </c>
    </row>
    <row r="23" spans="2:22" x14ac:dyDescent="0.25">
      <c r="B23" s="20" t="s">
        <v>96</v>
      </c>
      <c r="C23" s="20" t="s">
        <v>97</v>
      </c>
      <c r="D23" s="20" t="s">
        <v>98</v>
      </c>
      <c r="E23" s="21" t="s">
        <v>99</v>
      </c>
      <c r="F23" s="20">
        <v>43.279971000000003</v>
      </c>
      <c r="G23" s="20">
        <v>-97.366298</v>
      </c>
      <c r="H23" s="20" t="s">
        <v>100</v>
      </c>
      <c r="I23" s="4" t="s">
        <v>101</v>
      </c>
      <c r="J23" t="s">
        <v>83</v>
      </c>
      <c r="K23" t="s">
        <v>84</v>
      </c>
      <c r="L23" s="5">
        <v>328</v>
      </c>
      <c r="M23" s="1">
        <v>45078</v>
      </c>
      <c r="N23" s="1">
        <v>45146</v>
      </c>
      <c r="O23">
        <v>12</v>
      </c>
    </row>
    <row r="24" spans="2:22" x14ac:dyDescent="0.25">
      <c r="B24" s="6" t="s">
        <v>96</v>
      </c>
      <c r="C24" s="6" t="s">
        <v>97</v>
      </c>
      <c r="D24" s="6" t="s">
        <v>98</v>
      </c>
      <c r="E24" s="7" t="s">
        <v>99</v>
      </c>
      <c r="F24" s="6">
        <v>43.279971000000003</v>
      </c>
      <c r="G24" s="6">
        <v>-97.366298</v>
      </c>
      <c r="H24" s="6" t="s">
        <v>100</v>
      </c>
      <c r="I24" s="4" t="s">
        <v>102</v>
      </c>
      <c r="J24" t="s">
        <v>54</v>
      </c>
      <c r="K24" t="s">
        <v>55</v>
      </c>
      <c r="L24" s="5">
        <v>329</v>
      </c>
      <c r="M24" s="1">
        <v>45078</v>
      </c>
      <c r="N24" s="1">
        <v>45146</v>
      </c>
      <c r="O24">
        <v>13</v>
      </c>
      <c r="S24">
        <v>35</v>
      </c>
      <c r="T24">
        <v>6</v>
      </c>
      <c r="U24">
        <v>4</v>
      </c>
      <c r="V24" s="29" t="s">
        <v>96</v>
      </c>
    </row>
    <row r="25" spans="2:22" x14ac:dyDescent="0.25">
      <c r="B25" s="6" t="s">
        <v>96</v>
      </c>
      <c r="C25" s="6" t="s">
        <v>97</v>
      </c>
      <c r="D25" s="6" t="s">
        <v>98</v>
      </c>
      <c r="E25" s="7" t="s">
        <v>99</v>
      </c>
      <c r="F25" s="6">
        <v>43.279971000000003</v>
      </c>
      <c r="G25" s="6">
        <v>-97.366298</v>
      </c>
      <c r="H25" s="6" t="s">
        <v>100</v>
      </c>
      <c r="I25" s="4" t="s">
        <v>103</v>
      </c>
      <c r="J25" t="s">
        <v>56</v>
      </c>
      <c r="K25" t="s">
        <v>57</v>
      </c>
      <c r="L25" s="5">
        <v>340</v>
      </c>
      <c r="M25" s="1">
        <v>45078</v>
      </c>
      <c r="N25" s="1">
        <v>45146</v>
      </c>
      <c r="O25">
        <v>12</v>
      </c>
      <c r="S25">
        <v>68</v>
      </c>
      <c r="T25">
        <v>21</v>
      </c>
      <c r="U25">
        <v>14</v>
      </c>
      <c r="V25" s="29" t="s">
        <v>96</v>
      </c>
    </row>
    <row r="26" spans="2:22" x14ac:dyDescent="0.25">
      <c r="B26" s="6" t="s">
        <v>96</v>
      </c>
      <c r="C26" s="6" t="s">
        <v>97</v>
      </c>
      <c r="D26" s="6" t="s">
        <v>98</v>
      </c>
      <c r="E26" s="7" t="s">
        <v>99</v>
      </c>
      <c r="F26" s="6">
        <v>43.279971000000003</v>
      </c>
      <c r="G26" s="6">
        <v>-97.366298</v>
      </c>
      <c r="H26" s="6" t="s">
        <v>100</v>
      </c>
      <c r="I26" s="4" t="s">
        <v>104</v>
      </c>
      <c r="J26" t="s">
        <v>105</v>
      </c>
      <c r="K26" t="s">
        <v>59</v>
      </c>
      <c r="L26" s="5">
        <v>556</v>
      </c>
      <c r="M26" s="1">
        <v>45078</v>
      </c>
      <c r="N26" s="1">
        <v>45146</v>
      </c>
      <c r="O26">
        <v>12.46</v>
      </c>
      <c r="V26" s="29" t="s">
        <v>96</v>
      </c>
    </row>
    <row r="27" spans="2:22" x14ac:dyDescent="0.25">
      <c r="B27" s="6" t="s">
        <v>96</v>
      </c>
      <c r="C27" s="6" t="s">
        <v>106</v>
      </c>
      <c r="D27" s="6" t="s">
        <v>107</v>
      </c>
      <c r="E27" s="7" t="s">
        <v>99</v>
      </c>
      <c r="F27" s="6">
        <v>43.440432999999999</v>
      </c>
      <c r="G27" s="6">
        <v>-97.455648999999994</v>
      </c>
      <c r="H27" s="6" t="s">
        <v>100</v>
      </c>
      <c r="I27" s="4" t="s">
        <v>108</v>
      </c>
      <c r="J27" t="s">
        <v>83</v>
      </c>
      <c r="K27" t="s">
        <v>84</v>
      </c>
      <c r="L27" s="5">
        <v>328</v>
      </c>
      <c r="M27" s="1">
        <v>45122</v>
      </c>
      <c r="N27" s="1">
        <v>45146</v>
      </c>
      <c r="O27">
        <v>152</v>
      </c>
      <c r="V27" s="29" t="s">
        <v>96</v>
      </c>
    </row>
    <row r="28" spans="2:22" x14ac:dyDescent="0.25">
      <c r="B28" s="6" t="s">
        <v>96</v>
      </c>
      <c r="C28" s="6" t="s">
        <v>106</v>
      </c>
      <c r="D28" s="6" t="s">
        <v>107</v>
      </c>
      <c r="E28" s="7" t="s">
        <v>99</v>
      </c>
      <c r="F28" s="6">
        <v>43.440432999999999</v>
      </c>
      <c r="G28" s="6">
        <v>-97.455648999999994</v>
      </c>
      <c r="H28" s="6" t="s">
        <v>100</v>
      </c>
      <c r="I28" s="4" t="s">
        <v>108</v>
      </c>
      <c r="J28" t="s">
        <v>54</v>
      </c>
      <c r="K28" t="s">
        <v>55</v>
      </c>
      <c r="L28" s="5">
        <v>329</v>
      </c>
      <c r="M28" s="1">
        <v>45122</v>
      </c>
      <c r="N28" s="1">
        <v>45146</v>
      </c>
      <c r="O28">
        <v>152</v>
      </c>
      <c r="S28">
        <v>484</v>
      </c>
      <c r="T28">
        <v>190</v>
      </c>
      <c r="U28">
        <v>33</v>
      </c>
      <c r="V28" s="29" t="s">
        <v>96</v>
      </c>
    </row>
    <row r="29" spans="2:22" x14ac:dyDescent="0.25">
      <c r="B29" s="6" t="s">
        <v>96</v>
      </c>
      <c r="C29" s="6" t="s">
        <v>106</v>
      </c>
      <c r="D29" s="6" t="s">
        <v>107</v>
      </c>
      <c r="E29" s="7" t="s">
        <v>99</v>
      </c>
      <c r="F29" s="6">
        <v>43.440432999999999</v>
      </c>
      <c r="G29" s="6">
        <v>-97.455648999999994</v>
      </c>
      <c r="H29" s="6" t="s">
        <v>100</v>
      </c>
      <c r="I29" s="4" t="s">
        <v>108</v>
      </c>
      <c r="J29" t="s">
        <v>56</v>
      </c>
      <c r="K29" t="s">
        <v>57</v>
      </c>
      <c r="L29" s="5">
        <v>340</v>
      </c>
      <c r="M29" s="1">
        <v>45122</v>
      </c>
      <c r="N29" s="1">
        <v>45147</v>
      </c>
      <c r="O29">
        <v>152</v>
      </c>
      <c r="S29">
        <v>172</v>
      </c>
      <c r="T29">
        <v>48</v>
      </c>
      <c r="U29">
        <v>33</v>
      </c>
      <c r="V29" s="29" t="s">
        <v>96</v>
      </c>
    </row>
    <row r="30" spans="2:22" x14ac:dyDescent="0.25">
      <c r="B30" s="8" t="s">
        <v>96</v>
      </c>
      <c r="C30" s="8" t="s">
        <v>106</v>
      </c>
      <c r="D30" s="8" t="s">
        <v>107</v>
      </c>
      <c r="E30" s="9" t="s">
        <v>99</v>
      </c>
      <c r="F30" s="8">
        <v>43.440432999999999</v>
      </c>
      <c r="G30" s="8">
        <v>-97.455648999999994</v>
      </c>
      <c r="H30" s="8" t="s">
        <v>100</v>
      </c>
      <c r="I30" s="10" t="s">
        <v>108</v>
      </c>
      <c r="J30" s="11" t="s">
        <v>105</v>
      </c>
      <c r="K30" s="11" t="s">
        <v>59</v>
      </c>
      <c r="L30" s="12">
        <v>556</v>
      </c>
      <c r="M30" s="13">
        <v>45122</v>
      </c>
      <c r="N30" s="13">
        <v>45147</v>
      </c>
      <c r="O30" s="11">
        <v>152</v>
      </c>
      <c r="P30" s="11"/>
      <c r="Q30" s="11"/>
      <c r="R30" s="11"/>
      <c r="S30" s="11"/>
      <c r="T30" s="11"/>
      <c r="U30" s="11"/>
      <c r="V30" s="29" t="s">
        <v>96</v>
      </c>
    </row>
    <row r="31" spans="2:22" hidden="1" x14ac:dyDescent="0.25">
      <c r="B31" s="20" t="s">
        <v>109</v>
      </c>
      <c r="C31" s="20" t="s">
        <v>110</v>
      </c>
      <c r="D31" s="20" t="s">
        <v>111</v>
      </c>
      <c r="E31" s="21" t="s">
        <v>112</v>
      </c>
      <c r="F31" s="20">
        <v>43.265368000000002</v>
      </c>
      <c r="G31" s="20">
        <v>-98.529054000000002</v>
      </c>
      <c r="H31" s="20" t="s">
        <v>113</v>
      </c>
      <c r="I31" s="4">
        <v>20211004</v>
      </c>
      <c r="J31" t="s">
        <v>54</v>
      </c>
      <c r="K31" t="s">
        <v>55</v>
      </c>
      <c r="L31" s="5">
        <v>329</v>
      </c>
      <c r="M31" s="1">
        <v>44317</v>
      </c>
      <c r="N31" s="1">
        <v>44409</v>
      </c>
      <c r="O31">
        <v>160</v>
      </c>
      <c r="Q31">
        <v>320</v>
      </c>
      <c r="R31">
        <v>640</v>
      </c>
      <c r="S31">
        <v>438</v>
      </c>
      <c r="T31">
        <v>101</v>
      </c>
      <c r="U31">
        <v>68</v>
      </c>
    </row>
    <row r="32" spans="2:22" hidden="1" x14ac:dyDescent="0.25">
      <c r="B32" s="6" t="s">
        <v>109</v>
      </c>
      <c r="C32" s="6" t="s">
        <v>110</v>
      </c>
      <c r="D32" s="6" t="s">
        <v>111</v>
      </c>
      <c r="E32" s="7" t="s">
        <v>112</v>
      </c>
      <c r="F32" s="6">
        <v>43.265368000000002</v>
      </c>
      <c r="G32" s="6">
        <v>-98.529054000000002</v>
      </c>
      <c r="H32" s="6" t="s">
        <v>113</v>
      </c>
      <c r="I32" s="4">
        <v>20211004</v>
      </c>
      <c r="J32" t="s">
        <v>56</v>
      </c>
      <c r="K32" t="s">
        <v>57</v>
      </c>
      <c r="L32" s="5">
        <v>340</v>
      </c>
      <c r="M32" s="1">
        <v>44317</v>
      </c>
      <c r="N32" s="1">
        <v>44409</v>
      </c>
      <c r="O32">
        <v>320</v>
      </c>
      <c r="S32">
        <v>1135</v>
      </c>
      <c r="T32">
        <v>379</v>
      </c>
      <c r="U32">
        <v>265</v>
      </c>
    </row>
    <row r="33" spans="2:21" hidden="1" x14ac:dyDescent="0.25">
      <c r="B33" s="6" t="s">
        <v>109</v>
      </c>
      <c r="C33" s="6" t="s">
        <v>110</v>
      </c>
      <c r="D33" s="6" t="s">
        <v>111</v>
      </c>
      <c r="E33" s="7" t="s">
        <v>112</v>
      </c>
      <c r="F33" s="6">
        <v>43.265368000000002</v>
      </c>
      <c r="G33" s="6">
        <v>-98.529054000000002</v>
      </c>
      <c r="H33" s="6" t="s">
        <v>113</v>
      </c>
      <c r="I33" s="4">
        <v>20211004</v>
      </c>
      <c r="J33" t="s">
        <v>105</v>
      </c>
      <c r="K33" t="s">
        <v>59</v>
      </c>
      <c r="L33" s="5">
        <v>556</v>
      </c>
      <c r="M33" s="1">
        <v>44317</v>
      </c>
      <c r="N33" s="1">
        <v>44409</v>
      </c>
      <c r="O33">
        <v>160</v>
      </c>
    </row>
    <row r="34" spans="2:21" hidden="1" x14ac:dyDescent="0.25">
      <c r="B34" s="6" t="s">
        <v>109</v>
      </c>
      <c r="C34" s="6" t="s">
        <v>110</v>
      </c>
      <c r="D34" s="6" t="s">
        <v>111</v>
      </c>
      <c r="E34" s="7" t="s">
        <v>112</v>
      </c>
      <c r="F34" s="6">
        <v>43.265368000000002</v>
      </c>
      <c r="G34" s="6">
        <v>-98.529054000000002</v>
      </c>
      <c r="H34" s="6" t="s">
        <v>113</v>
      </c>
      <c r="I34" s="4">
        <v>20211004</v>
      </c>
      <c r="J34" t="s">
        <v>132</v>
      </c>
      <c r="K34" t="s">
        <v>133</v>
      </c>
      <c r="M34" s="1">
        <v>44317</v>
      </c>
      <c r="N34" s="1">
        <v>45133</v>
      </c>
      <c r="O34">
        <v>0</v>
      </c>
      <c r="P34" t="s">
        <v>145</v>
      </c>
    </row>
    <row r="35" spans="2:21" x14ac:dyDescent="0.25">
      <c r="B35" s="6" t="s">
        <v>109</v>
      </c>
      <c r="C35" s="6" t="s">
        <v>110</v>
      </c>
      <c r="D35" s="6" t="s">
        <v>111</v>
      </c>
      <c r="E35" s="7" t="s">
        <v>112</v>
      </c>
      <c r="F35" s="6">
        <v>43.265368000000002</v>
      </c>
      <c r="G35" s="6">
        <v>-98.529054000000002</v>
      </c>
      <c r="H35" s="6" t="s">
        <v>113</v>
      </c>
      <c r="I35" s="4" t="s">
        <v>114</v>
      </c>
      <c r="J35" t="s">
        <v>54</v>
      </c>
      <c r="K35" t="s">
        <v>55</v>
      </c>
      <c r="L35" s="5">
        <v>329</v>
      </c>
      <c r="M35" s="1">
        <v>45031</v>
      </c>
      <c r="N35" s="1">
        <v>45117</v>
      </c>
      <c r="O35">
        <v>160</v>
      </c>
      <c r="S35">
        <v>483</v>
      </c>
      <c r="T35">
        <v>101</v>
      </c>
      <c r="U35">
        <v>68</v>
      </c>
    </row>
    <row r="36" spans="2:21" x14ac:dyDescent="0.25">
      <c r="B36" s="6" t="s">
        <v>109</v>
      </c>
      <c r="C36" s="6" t="s">
        <v>110</v>
      </c>
      <c r="D36" s="6" t="s">
        <v>111</v>
      </c>
      <c r="E36" s="7" t="s">
        <v>112</v>
      </c>
      <c r="F36" s="6">
        <v>43.265368000000002</v>
      </c>
      <c r="G36" s="6">
        <v>-98.529054000000002</v>
      </c>
      <c r="H36" s="6" t="s">
        <v>113</v>
      </c>
      <c r="I36" s="4" t="s">
        <v>114</v>
      </c>
      <c r="J36" t="s">
        <v>56</v>
      </c>
      <c r="K36" t="s">
        <v>57</v>
      </c>
      <c r="L36" s="5">
        <v>340</v>
      </c>
      <c r="M36" s="1">
        <v>45031</v>
      </c>
      <c r="N36" s="1">
        <v>45117</v>
      </c>
      <c r="O36">
        <v>320</v>
      </c>
      <c r="S36">
        <v>1135</v>
      </c>
      <c r="T36">
        <v>379</v>
      </c>
      <c r="U36">
        <v>265</v>
      </c>
    </row>
    <row r="37" spans="2:21" x14ac:dyDescent="0.25">
      <c r="B37" s="8" t="s">
        <v>109</v>
      </c>
      <c r="C37" s="8" t="s">
        <v>110</v>
      </c>
      <c r="D37" s="8" t="s">
        <v>111</v>
      </c>
      <c r="E37" s="9" t="s">
        <v>112</v>
      </c>
      <c r="F37" s="8">
        <v>43.265368000000002</v>
      </c>
      <c r="G37" s="8">
        <v>-98.529054000000002</v>
      </c>
      <c r="H37" s="8" t="s">
        <v>113</v>
      </c>
      <c r="I37" s="10" t="s">
        <v>114</v>
      </c>
      <c r="J37" s="11" t="s">
        <v>105</v>
      </c>
      <c r="K37" s="11" t="s">
        <v>59</v>
      </c>
      <c r="L37" s="12">
        <v>556</v>
      </c>
      <c r="M37" s="13">
        <v>45031</v>
      </c>
      <c r="N37" s="13">
        <v>45117</v>
      </c>
      <c r="O37" s="11">
        <v>160</v>
      </c>
      <c r="P37" s="11"/>
      <c r="Q37" s="11"/>
      <c r="R37" s="11"/>
      <c r="S37" s="11"/>
      <c r="T37" s="11"/>
      <c r="U37" s="11"/>
    </row>
    <row r="38" spans="2:21" hidden="1" x14ac:dyDescent="0.25">
      <c r="B38" s="20" t="s">
        <v>115</v>
      </c>
      <c r="C38" s="20" t="s">
        <v>116</v>
      </c>
      <c r="D38" s="20" t="s">
        <v>117</v>
      </c>
      <c r="E38" s="21" t="s">
        <v>118</v>
      </c>
      <c r="F38" s="20">
        <v>43.707427000000003</v>
      </c>
      <c r="G38" s="20">
        <v>-96.898537000000005</v>
      </c>
      <c r="H38" s="20" t="s">
        <v>119</v>
      </c>
      <c r="I38" s="4" t="s">
        <v>120</v>
      </c>
      <c r="J38" t="s">
        <v>54</v>
      </c>
      <c r="K38" t="s">
        <v>55</v>
      </c>
      <c r="L38" s="5">
        <v>329</v>
      </c>
      <c r="M38" s="1">
        <v>44287</v>
      </c>
      <c r="N38" s="1">
        <v>44409</v>
      </c>
      <c r="O38">
        <v>400</v>
      </c>
      <c r="S38">
        <v>1084</v>
      </c>
      <c r="T38">
        <v>281</v>
      </c>
      <c r="U38">
        <v>127</v>
      </c>
    </row>
    <row r="39" spans="2:21" hidden="1" x14ac:dyDescent="0.25">
      <c r="B39" s="8" t="s">
        <v>115</v>
      </c>
      <c r="C39" s="8" t="s">
        <v>116</v>
      </c>
      <c r="D39" s="8" t="s">
        <v>117</v>
      </c>
      <c r="E39" s="9" t="s">
        <v>118</v>
      </c>
      <c r="F39" s="8">
        <v>43.707427000000003</v>
      </c>
      <c r="G39" s="8">
        <v>-96.898537000000005</v>
      </c>
      <c r="H39" s="8" t="s">
        <v>119</v>
      </c>
      <c r="I39" s="10" t="s">
        <v>120</v>
      </c>
      <c r="J39" s="11" t="s">
        <v>56</v>
      </c>
      <c r="K39" s="11" t="s">
        <v>57</v>
      </c>
      <c r="L39" s="12">
        <v>340</v>
      </c>
      <c r="M39" s="13">
        <v>44287</v>
      </c>
      <c r="N39" s="13">
        <v>44409</v>
      </c>
      <c r="O39" s="11">
        <v>30</v>
      </c>
      <c r="P39" s="11"/>
      <c r="Q39" s="11"/>
      <c r="R39" s="11"/>
      <c r="S39" s="11">
        <v>285</v>
      </c>
      <c r="T39" s="11">
        <v>99</v>
      </c>
      <c r="U39" s="11">
        <v>605</v>
      </c>
    </row>
    <row r="40" spans="2:21" hidden="1" x14ac:dyDescent="0.25">
      <c r="B40" s="20" t="s">
        <v>121</v>
      </c>
      <c r="C40" s="20" t="s">
        <v>122</v>
      </c>
      <c r="D40" s="20" t="s">
        <v>123</v>
      </c>
      <c r="E40" s="21" t="s">
        <v>80</v>
      </c>
      <c r="F40" s="20">
        <v>43.671343999999998</v>
      </c>
      <c r="G40" s="20">
        <v>-96.464568</v>
      </c>
      <c r="H40" s="20" t="s">
        <v>81</v>
      </c>
      <c r="I40" s="4" t="s">
        <v>124</v>
      </c>
      <c r="J40" t="s">
        <v>83</v>
      </c>
      <c r="K40" t="s">
        <v>84</v>
      </c>
      <c r="L40" s="5">
        <v>328</v>
      </c>
      <c r="M40" s="1">
        <v>44287</v>
      </c>
      <c r="N40" s="1">
        <v>44473</v>
      </c>
      <c r="O40">
        <v>250</v>
      </c>
      <c r="Q40">
        <v>500</v>
      </c>
      <c r="R40">
        <v>500</v>
      </c>
    </row>
    <row r="41" spans="2:21" hidden="1" x14ac:dyDescent="0.25">
      <c r="B41" s="6" t="s">
        <v>121</v>
      </c>
      <c r="C41" s="6" t="s">
        <v>122</v>
      </c>
      <c r="D41" s="6" t="s">
        <v>123</v>
      </c>
      <c r="E41" s="7" t="s">
        <v>80</v>
      </c>
      <c r="F41" s="6">
        <v>43.671343999999998</v>
      </c>
      <c r="G41" s="6">
        <v>-96.464568</v>
      </c>
      <c r="H41" s="6" t="s">
        <v>81</v>
      </c>
      <c r="I41" s="4" t="s">
        <v>124</v>
      </c>
      <c r="J41" t="s">
        <v>54</v>
      </c>
      <c r="K41" t="s">
        <v>55</v>
      </c>
      <c r="L41" s="5">
        <v>329</v>
      </c>
      <c r="M41" s="1">
        <v>44287</v>
      </c>
      <c r="N41" s="1">
        <v>44409</v>
      </c>
      <c r="O41">
        <v>250</v>
      </c>
      <c r="S41">
        <v>363</v>
      </c>
      <c r="T41">
        <v>69</v>
      </c>
      <c r="U41">
        <v>45</v>
      </c>
    </row>
    <row r="42" spans="2:21" hidden="1" x14ac:dyDescent="0.25">
      <c r="B42" s="6" t="s">
        <v>121</v>
      </c>
      <c r="C42" s="6" t="s">
        <v>122</v>
      </c>
      <c r="D42" s="6" t="s">
        <v>123</v>
      </c>
      <c r="E42" s="7" t="s">
        <v>80</v>
      </c>
      <c r="F42" s="6">
        <v>43.671343999999998</v>
      </c>
      <c r="G42" s="6">
        <v>-96.464568</v>
      </c>
      <c r="H42" s="6" t="s">
        <v>81</v>
      </c>
      <c r="I42" s="4" t="s">
        <v>124</v>
      </c>
      <c r="J42" t="s">
        <v>56</v>
      </c>
      <c r="K42" t="s">
        <v>57</v>
      </c>
      <c r="L42" s="5">
        <v>340</v>
      </c>
      <c r="M42" s="1">
        <v>44287</v>
      </c>
      <c r="N42" s="1">
        <v>44409</v>
      </c>
      <c r="O42">
        <v>250</v>
      </c>
      <c r="S42">
        <v>381</v>
      </c>
      <c r="T42">
        <v>124</v>
      </c>
      <c r="U42">
        <v>83</v>
      </c>
    </row>
    <row r="43" spans="2:21" hidden="1" x14ac:dyDescent="0.25">
      <c r="B43" s="6" t="s">
        <v>121</v>
      </c>
      <c r="C43" s="6" t="s">
        <v>122</v>
      </c>
      <c r="D43" s="6" t="s">
        <v>123</v>
      </c>
      <c r="E43" s="7" t="s">
        <v>80</v>
      </c>
      <c r="F43" s="6">
        <v>43.671343999999998</v>
      </c>
      <c r="G43" s="6">
        <v>-96.464568</v>
      </c>
      <c r="H43" s="6" t="s">
        <v>81</v>
      </c>
      <c r="I43" s="4" t="s">
        <v>125</v>
      </c>
      <c r="J43" t="s">
        <v>83</v>
      </c>
      <c r="K43" t="s">
        <v>84</v>
      </c>
      <c r="L43" s="5">
        <v>328</v>
      </c>
      <c r="M43" s="1">
        <v>44703</v>
      </c>
      <c r="N43" s="1">
        <v>44845</v>
      </c>
      <c r="O43">
        <v>250</v>
      </c>
    </row>
    <row r="44" spans="2:21" hidden="1" x14ac:dyDescent="0.25">
      <c r="B44" s="6" t="s">
        <v>121</v>
      </c>
      <c r="C44" s="6" t="s">
        <v>122</v>
      </c>
      <c r="D44" s="6" t="s">
        <v>123</v>
      </c>
      <c r="E44" s="7" t="s">
        <v>80</v>
      </c>
      <c r="F44" s="6">
        <v>43.671343999999998</v>
      </c>
      <c r="G44" s="6">
        <v>-96.464568</v>
      </c>
      <c r="H44" s="6" t="s">
        <v>81</v>
      </c>
      <c r="I44" s="4" t="s">
        <v>125</v>
      </c>
      <c r="J44" t="s">
        <v>54</v>
      </c>
      <c r="K44" t="s">
        <v>55</v>
      </c>
      <c r="L44" s="5">
        <v>329</v>
      </c>
      <c r="M44" s="1">
        <v>44703</v>
      </c>
      <c r="N44" s="1">
        <v>44845</v>
      </c>
      <c r="O44">
        <v>250</v>
      </c>
      <c r="S44">
        <v>1124</v>
      </c>
      <c r="T44">
        <v>207</v>
      </c>
      <c r="U44">
        <v>131</v>
      </c>
    </row>
    <row r="45" spans="2:21" hidden="1" x14ac:dyDescent="0.25">
      <c r="B45" s="6" t="s">
        <v>121</v>
      </c>
      <c r="C45" s="6" t="s">
        <v>122</v>
      </c>
      <c r="D45" s="6" t="s">
        <v>123</v>
      </c>
      <c r="E45" s="7" t="s">
        <v>80</v>
      </c>
      <c r="F45" s="6">
        <v>43.671343999999998</v>
      </c>
      <c r="G45" s="6">
        <v>-96.464568</v>
      </c>
      <c r="H45" s="6" t="s">
        <v>81</v>
      </c>
      <c r="I45" s="4" t="s">
        <v>125</v>
      </c>
      <c r="J45" t="s">
        <v>56</v>
      </c>
      <c r="K45" t="s">
        <v>57</v>
      </c>
      <c r="L45" s="5">
        <v>340</v>
      </c>
      <c r="M45" s="1">
        <v>44703</v>
      </c>
      <c r="N45" s="1">
        <v>44845</v>
      </c>
      <c r="O45">
        <v>250</v>
      </c>
      <c r="S45">
        <v>684</v>
      </c>
      <c r="T45">
        <v>229</v>
      </c>
      <c r="U45">
        <v>164</v>
      </c>
    </row>
    <row r="46" spans="2:21" hidden="1" x14ac:dyDescent="0.25">
      <c r="B46" s="6" t="s">
        <v>121</v>
      </c>
      <c r="C46" s="6" t="s">
        <v>122</v>
      </c>
      <c r="D46" s="6" t="s">
        <v>123</v>
      </c>
      <c r="E46" s="7" t="s">
        <v>80</v>
      </c>
      <c r="F46" s="6">
        <v>43.671343999999998</v>
      </c>
      <c r="G46" s="6">
        <v>-96.464568</v>
      </c>
      <c r="H46" s="6" t="s">
        <v>81</v>
      </c>
      <c r="I46" s="4" t="s">
        <v>125</v>
      </c>
      <c r="J46" t="s">
        <v>105</v>
      </c>
      <c r="K46" t="s">
        <v>59</v>
      </c>
      <c r="L46" s="5">
        <v>556</v>
      </c>
      <c r="M46" s="1">
        <v>44703</v>
      </c>
      <c r="N46" s="1">
        <v>44845</v>
      </c>
      <c r="O46">
        <v>250</v>
      </c>
    </row>
    <row r="47" spans="2:21" hidden="1" x14ac:dyDescent="0.25">
      <c r="B47" s="8" t="s">
        <v>121</v>
      </c>
      <c r="C47" s="8" t="s">
        <v>122</v>
      </c>
      <c r="D47" s="8" t="s">
        <v>123</v>
      </c>
      <c r="E47" s="9" t="s">
        <v>80</v>
      </c>
      <c r="F47" s="8">
        <v>43.672013999999997</v>
      </c>
      <c r="G47" s="8">
        <v>-96.454537000000002</v>
      </c>
      <c r="H47" s="8" t="s">
        <v>81</v>
      </c>
      <c r="I47" s="10" t="s">
        <v>659</v>
      </c>
      <c r="J47" s="11" t="s">
        <v>56</v>
      </c>
      <c r="K47" s="11" t="s">
        <v>57</v>
      </c>
      <c r="L47" s="12">
        <v>340</v>
      </c>
      <c r="M47" s="13">
        <v>43920</v>
      </c>
      <c r="N47" s="13">
        <v>44042</v>
      </c>
      <c r="O47" s="11">
        <v>0</v>
      </c>
      <c r="P47" s="11" t="s">
        <v>145</v>
      </c>
      <c r="Q47" s="11"/>
      <c r="R47" s="11"/>
      <c r="S47" s="11">
        <v>63</v>
      </c>
      <c r="T47" s="11">
        <v>21</v>
      </c>
      <c r="U47" s="11">
        <v>17</v>
      </c>
    </row>
    <row r="48" spans="2:21" hidden="1" x14ac:dyDescent="0.25">
      <c r="B48" s="20" t="s">
        <v>121</v>
      </c>
      <c r="C48" s="20" t="s">
        <v>126</v>
      </c>
      <c r="D48" s="20" t="s">
        <v>123</v>
      </c>
      <c r="E48" s="21" t="s">
        <v>127</v>
      </c>
      <c r="F48" s="20">
        <v>44.503782000000001</v>
      </c>
      <c r="G48" s="20">
        <v>-97.292654999999996</v>
      </c>
      <c r="H48" s="20" t="s">
        <v>128</v>
      </c>
      <c r="I48" s="4" t="s">
        <v>129</v>
      </c>
      <c r="J48" t="s">
        <v>54</v>
      </c>
      <c r="K48" t="s">
        <v>55</v>
      </c>
      <c r="L48" s="5">
        <v>329</v>
      </c>
      <c r="M48" s="1">
        <v>44287</v>
      </c>
      <c r="N48" s="1">
        <v>44409</v>
      </c>
      <c r="O48">
        <v>300</v>
      </c>
      <c r="Q48">
        <v>408</v>
      </c>
      <c r="R48">
        <v>300</v>
      </c>
      <c r="S48">
        <v>300</v>
      </c>
      <c r="T48">
        <v>271</v>
      </c>
      <c r="U48">
        <v>147</v>
      </c>
    </row>
    <row r="49" spans="2:21" hidden="1" x14ac:dyDescent="0.25">
      <c r="B49" s="6" t="s">
        <v>121</v>
      </c>
      <c r="C49" s="6" t="s">
        <v>126</v>
      </c>
      <c r="D49" s="6" t="s">
        <v>123</v>
      </c>
      <c r="E49" s="7" t="s">
        <v>127</v>
      </c>
      <c r="F49" s="6">
        <v>44.503782000000001</v>
      </c>
      <c r="G49" s="6">
        <v>-97.292654999999996</v>
      </c>
      <c r="H49" s="6" t="s">
        <v>128</v>
      </c>
      <c r="I49" s="4" t="s">
        <v>129</v>
      </c>
      <c r="J49" t="s">
        <v>56</v>
      </c>
      <c r="K49" t="s">
        <v>57</v>
      </c>
      <c r="L49" s="5">
        <v>340</v>
      </c>
      <c r="M49" s="1">
        <v>44287</v>
      </c>
      <c r="N49" s="1">
        <v>44409</v>
      </c>
      <c r="O49">
        <v>300</v>
      </c>
      <c r="S49">
        <v>256</v>
      </c>
      <c r="T49">
        <v>79</v>
      </c>
      <c r="U49">
        <v>574</v>
      </c>
    </row>
    <row r="50" spans="2:21" x14ac:dyDescent="0.25">
      <c r="B50" s="6" t="s">
        <v>121</v>
      </c>
      <c r="C50" s="6" t="s">
        <v>126</v>
      </c>
      <c r="D50" s="6" t="s">
        <v>123</v>
      </c>
      <c r="E50" s="7" t="s">
        <v>127</v>
      </c>
      <c r="F50" s="6">
        <v>44.481755</v>
      </c>
      <c r="G50" s="6">
        <v>-97.627313999999998</v>
      </c>
      <c r="H50" s="6" t="s">
        <v>130</v>
      </c>
      <c r="I50" s="4" t="s">
        <v>131</v>
      </c>
      <c r="J50" t="s">
        <v>83</v>
      </c>
      <c r="K50" t="s">
        <v>84</v>
      </c>
      <c r="L50" s="5">
        <v>328</v>
      </c>
      <c r="M50" s="1">
        <v>45355</v>
      </c>
      <c r="N50" s="1">
        <v>45525</v>
      </c>
      <c r="O50">
        <v>108</v>
      </c>
    </row>
    <row r="51" spans="2:21" x14ac:dyDescent="0.25">
      <c r="B51" s="6" t="s">
        <v>121</v>
      </c>
      <c r="C51" s="6" t="s">
        <v>126</v>
      </c>
      <c r="D51" s="6" t="s">
        <v>123</v>
      </c>
      <c r="E51" s="7" t="s">
        <v>127</v>
      </c>
      <c r="F51" s="6">
        <v>44.481755</v>
      </c>
      <c r="G51" s="6">
        <v>-97.627313999999998</v>
      </c>
      <c r="H51" s="6" t="s">
        <v>130</v>
      </c>
      <c r="I51" s="4" t="s">
        <v>131</v>
      </c>
      <c r="J51" t="s">
        <v>54</v>
      </c>
      <c r="K51" t="s">
        <v>55</v>
      </c>
      <c r="L51" s="5">
        <v>329</v>
      </c>
      <c r="M51" s="1">
        <v>45352</v>
      </c>
      <c r="N51" s="1">
        <v>45600</v>
      </c>
      <c r="O51">
        <v>108</v>
      </c>
      <c r="S51">
        <v>232</v>
      </c>
      <c r="T51">
        <v>37</v>
      </c>
      <c r="U51">
        <v>21</v>
      </c>
    </row>
    <row r="52" spans="2:21" x14ac:dyDescent="0.25">
      <c r="B52" s="8" t="s">
        <v>121</v>
      </c>
      <c r="C52" s="8" t="s">
        <v>126</v>
      </c>
      <c r="D52" s="8" t="s">
        <v>123</v>
      </c>
      <c r="E52" s="9" t="s">
        <v>127</v>
      </c>
      <c r="F52" s="8">
        <v>44.481755</v>
      </c>
      <c r="G52" s="8">
        <v>-97.627313999999998</v>
      </c>
      <c r="H52" s="8" t="s">
        <v>130</v>
      </c>
      <c r="I52" s="10" t="s">
        <v>131</v>
      </c>
      <c r="J52" s="11" t="s">
        <v>132</v>
      </c>
      <c r="K52" s="11" t="s">
        <v>133</v>
      </c>
      <c r="L52" s="12"/>
      <c r="M52" s="13">
        <v>45433</v>
      </c>
      <c r="N52" s="13">
        <v>45552</v>
      </c>
      <c r="O52" s="11">
        <v>108</v>
      </c>
      <c r="P52" s="11"/>
      <c r="Q52" s="11"/>
      <c r="R52" s="11"/>
      <c r="S52" s="11">
        <v>411</v>
      </c>
      <c r="T52" s="11">
        <v>120</v>
      </c>
      <c r="U52" s="11">
        <v>74</v>
      </c>
    </row>
    <row r="53" spans="2:21" hidden="1" x14ac:dyDescent="0.25">
      <c r="B53" s="20" t="s">
        <v>134</v>
      </c>
      <c r="C53" s="20" t="s">
        <v>135</v>
      </c>
      <c r="D53" s="20" t="s">
        <v>136</v>
      </c>
      <c r="E53" s="21" t="s">
        <v>80</v>
      </c>
      <c r="F53" s="20">
        <v>43.013342999999999</v>
      </c>
      <c r="G53" s="20">
        <v>-97.414660999999995</v>
      </c>
      <c r="H53" s="20" t="s">
        <v>137</v>
      </c>
      <c r="I53" s="4">
        <v>20211008</v>
      </c>
      <c r="J53" t="s">
        <v>54</v>
      </c>
      <c r="K53" t="s">
        <v>55</v>
      </c>
      <c r="L53" s="5">
        <v>329</v>
      </c>
      <c r="M53" s="1">
        <v>44403</v>
      </c>
      <c r="N53" s="1">
        <v>44463</v>
      </c>
      <c r="O53">
        <v>124</v>
      </c>
      <c r="S53">
        <v>417</v>
      </c>
      <c r="T53">
        <v>93</v>
      </c>
      <c r="U53">
        <v>65</v>
      </c>
    </row>
    <row r="54" spans="2:21" hidden="1" x14ac:dyDescent="0.25">
      <c r="B54" s="6" t="s">
        <v>134</v>
      </c>
      <c r="C54" s="6" t="s">
        <v>135</v>
      </c>
      <c r="D54" s="6" t="s">
        <v>136</v>
      </c>
      <c r="E54" s="7" t="s">
        <v>80</v>
      </c>
      <c r="F54" s="6">
        <v>43.013342999999999</v>
      </c>
      <c r="G54" s="6">
        <v>-97.414660999999995</v>
      </c>
      <c r="H54" s="6" t="s">
        <v>137</v>
      </c>
      <c r="I54" s="4">
        <v>20211008</v>
      </c>
      <c r="J54" t="s">
        <v>56</v>
      </c>
      <c r="K54" t="s">
        <v>57</v>
      </c>
      <c r="L54" s="5">
        <v>340</v>
      </c>
      <c r="M54" s="1">
        <v>44287</v>
      </c>
      <c r="N54" s="1">
        <v>44463</v>
      </c>
      <c r="O54">
        <v>124</v>
      </c>
      <c r="S54">
        <v>1033</v>
      </c>
      <c r="T54">
        <v>352</v>
      </c>
      <c r="U54">
        <v>252</v>
      </c>
    </row>
    <row r="55" spans="2:21" hidden="1" x14ac:dyDescent="0.25">
      <c r="B55" s="8" t="s">
        <v>134</v>
      </c>
      <c r="C55" s="8" t="s">
        <v>135</v>
      </c>
      <c r="D55" s="8" t="s">
        <v>136</v>
      </c>
      <c r="E55" s="9" t="s">
        <v>80</v>
      </c>
      <c r="F55" s="8">
        <v>43.013342999999999</v>
      </c>
      <c r="G55" s="8">
        <v>-97.414660999999995</v>
      </c>
      <c r="H55" s="8" t="s">
        <v>137</v>
      </c>
      <c r="I55" s="10">
        <v>20211008</v>
      </c>
      <c r="J55" s="11" t="s">
        <v>105</v>
      </c>
      <c r="K55" s="11" t="s">
        <v>59</v>
      </c>
      <c r="L55" s="12">
        <v>556</v>
      </c>
      <c r="M55" s="13">
        <v>44317</v>
      </c>
      <c r="N55" s="13">
        <v>44409</v>
      </c>
      <c r="O55" s="11">
        <v>124</v>
      </c>
      <c r="P55" s="11"/>
      <c r="Q55" s="11"/>
      <c r="R55" s="11"/>
      <c r="S55" s="11"/>
      <c r="T55" s="11"/>
      <c r="U55" s="11"/>
    </row>
    <row r="56" spans="2:21" hidden="1" x14ac:dyDescent="0.25">
      <c r="B56" s="20" t="s">
        <v>134</v>
      </c>
      <c r="C56" s="20" t="s">
        <v>138</v>
      </c>
      <c r="D56" s="20" t="s">
        <v>136</v>
      </c>
      <c r="E56" s="21" t="s">
        <v>139</v>
      </c>
      <c r="F56" s="20">
        <v>43.036881999999999</v>
      </c>
      <c r="G56" s="20">
        <v>-97.424096000000006</v>
      </c>
      <c r="H56" s="20" t="s">
        <v>137</v>
      </c>
      <c r="I56" s="4">
        <v>20211007</v>
      </c>
      <c r="J56" t="s">
        <v>54</v>
      </c>
      <c r="K56" t="s">
        <v>55</v>
      </c>
      <c r="L56" s="5">
        <v>329</v>
      </c>
      <c r="M56" s="1">
        <v>44287</v>
      </c>
      <c r="N56" s="1">
        <v>44463</v>
      </c>
      <c r="O56">
        <v>123</v>
      </c>
      <c r="S56">
        <v>417</v>
      </c>
      <c r="T56">
        <v>93</v>
      </c>
      <c r="U56">
        <v>64</v>
      </c>
    </row>
    <row r="57" spans="2:21" hidden="1" x14ac:dyDescent="0.25">
      <c r="B57" s="6" t="s">
        <v>134</v>
      </c>
      <c r="C57" s="6" t="s">
        <v>138</v>
      </c>
      <c r="D57" s="6" t="s">
        <v>136</v>
      </c>
      <c r="E57" s="7" t="s">
        <v>139</v>
      </c>
      <c r="F57" s="6">
        <v>43.036881999999999</v>
      </c>
      <c r="G57" s="6">
        <v>-97.424096000000006</v>
      </c>
      <c r="H57" s="6" t="s">
        <v>137</v>
      </c>
      <c r="I57" s="4">
        <v>20211007</v>
      </c>
      <c r="J57" t="s">
        <v>56</v>
      </c>
      <c r="K57" t="s">
        <v>57</v>
      </c>
      <c r="L57" s="5">
        <v>340</v>
      </c>
      <c r="M57" s="1">
        <v>44287</v>
      </c>
      <c r="N57" s="1">
        <v>44463</v>
      </c>
      <c r="O57">
        <v>123</v>
      </c>
      <c r="S57">
        <v>1033</v>
      </c>
      <c r="T57">
        <v>352</v>
      </c>
      <c r="U57">
        <v>252</v>
      </c>
    </row>
    <row r="58" spans="2:21" hidden="1" x14ac:dyDescent="0.25">
      <c r="B58" s="6" t="s">
        <v>134</v>
      </c>
      <c r="C58" s="6" t="s">
        <v>138</v>
      </c>
      <c r="D58" s="6" t="s">
        <v>136</v>
      </c>
      <c r="E58" s="7" t="s">
        <v>139</v>
      </c>
      <c r="F58" s="6">
        <v>43.036881999999999</v>
      </c>
      <c r="G58" s="6">
        <v>-97.424096000000006</v>
      </c>
      <c r="H58" s="6" t="s">
        <v>137</v>
      </c>
      <c r="I58" s="4">
        <v>20211007</v>
      </c>
      <c r="J58" t="s">
        <v>105</v>
      </c>
      <c r="K58" t="s">
        <v>59</v>
      </c>
      <c r="L58" s="5">
        <v>556</v>
      </c>
      <c r="M58" s="1">
        <v>44287</v>
      </c>
      <c r="N58" s="1">
        <v>44463</v>
      </c>
      <c r="O58">
        <v>123</v>
      </c>
      <c r="P58" t="s">
        <v>145</v>
      </c>
    </row>
    <row r="59" spans="2:21" hidden="1" x14ac:dyDescent="0.25">
      <c r="B59" s="20" t="s">
        <v>140</v>
      </c>
      <c r="C59" s="20" t="s">
        <v>141</v>
      </c>
      <c r="D59" s="20" t="s">
        <v>142</v>
      </c>
      <c r="E59" s="20" t="s">
        <v>69</v>
      </c>
      <c r="F59" s="20">
        <v>43.720559000000002</v>
      </c>
      <c r="G59" s="20">
        <v>-98.272563000000005</v>
      </c>
      <c r="H59" s="20" t="s">
        <v>143</v>
      </c>
      <c r="I59" s="4" t="s">
        <v>144</v>
      </c>
      <c r="J59" t="s">
        <v>83</v>
      </c>
      <c r="K59" t="s">
        <v>84</v>
      </c>
      <c r="L59" s="5">
        <v>328</v>
      </c>
      <c r="M59" s="1">
        <v>44287</v>
      </c>
      <c r="N59" s="1">
        <v>44409</v>
      </c>
      <c r="O59">
        <v>0</v>
      </c>
      <c r="P59" t="s">
        <v>145</v>
      </c>
    </row>
    <row r="60" spans="2:21" hidden="1" x14ac:dyDescent="0.25">
      <c r="B60" s="6" t="s">
        <v>140</v>
      </c>
      <c r="C60" s="6" t="s">
        <v>141</v>
      </c>
      <c r="D60" s="6" t="s">
        <v>142</v>
      </c>
      <c r="E60" s="6" t="s">
        <v>69</v>
      </c>
      <c r="F60" s="6">
        <v>43.720559000000002</v>
      </c>
      <c r="G60" s="6">
        <v>-98.272563000000005</v>
      </c>
      <c r="H60" s="6" t="s">
        <v>143</v>
      </c>
      <c r="I60" s="4" t="s">
        <v>144</v>
      </c>
      <c r="J60" t="s">
        <v>54</v>
      </c>
      <c r="K60" t="s">
        <v>55</v>
      </c>
      <c r="L60" s="5">
        <v>329</v>
      </c>
      <c r="M60" s="1">
        <v>44287</v>
      </c>
      <c r="N60" s="1">
        <v>44409</v>
      </c>
      <c r="O60">
        <v>0</v>
      </c>
      <c r="P60" t="s">
        <v>145</v>
      </c>
    </row>
    <row r="61" spans="2:21" hidden="1" x14ac:dyDescent="0.25">
      <c r="B61" s="8" t="s">
        <v>140</v>
      </c>
      <c r="C61" s="8" t="s">
        <v>141</v>
      </c>
      <c r="D61" s="8" t="s">
        <v>142</v>
      </c>
      <c r="E61" s="8" t="s">
        <v>69</v>
      </c>
      <c r="F61" s="8">
        <v>43.720559000000002</v>
      </c>
      <c r="G61" s="8">
        <v>-98.272563000000005</v>
      </c>
      <c r="H61" s="8" t="s">
        <v>143</v>
      </c>
      <c r="I61" s="10" t="s">
        <v>144</v>
      </c>
      <c r="J61" s="11" t="s">
        <v>56</v>
      </c>
      <c r="K61" s="11" t="s">
        <v>57</v>
      </c>
      <c r="L61" s="12">
        <v>340</v>
      </c>
      <c r="M61" s="13">
        <v>44287</v>
      </c>
      <c r="N61" s="13">
        <v>44409</v>
      </c>
      <c r="O61" s="11">
        <v>0</v>
      </c>
      <c r="P61" s="11" t="s">
        <v>145</v>
      </c>
      <c r="Q61" s="11"/>
      <c r="R61" s="11"/>
      <c r="S61" s="11">
        <v>1405</v>
      </c>
      <c r="T61" s="11">
        <v>382</v>
      </c>
      <c r="U61" s="11">
        <v>194</v>
      </c>
    </row>
    <row r="62" spans="2:21" x14ac:dyDescent="0.25">
      <c r="B62" s="20" t="s">
        <v>146</v>
      </c>
      <c r="C62" s="20" t="s">
        <v>147</v>
      </c>
      <c r="D62" s="20" t="s">
        <v>148</v>
      </c>
      <c r="E62" s="20" t="s">
        <v>149</v>
      </c>
      <c r="F62" s="20">
        <v>45.745404999999998</v>
      </c>
      <c r="G62" s="20">
        <v>-98.635947999999999</v>
      </c>
      <c r="H62" s="20" t="s">
        <v>150</v>
      </c>
      <c r="I62" s="4" t="s">
        <v>151</v>
      </c>
      <c r="J62" t="s">
        <v>54</v>
      </c>
      <c r="K62" t="s">
        <v>55</v>
      </c>
      <c r="L62" s="5">
        <v>329</v>
      </c>
      <c r="M62" s="1">
        <v>45047</v>
      </c>
      <c r="N62" s="1">
        <v>45118</v>
      </c>
      <c r="O62">
        <v>1210</v>
      </c>
      <c r="S62">
        <v>2301.4</v>
      </c>
      <c r="T62">
        <v>421.5</v>
      </c>
      <c r="U62">
        <v>172.1</v>
      </c>
    </row>
    <row r="63" spans="2:21" x14ac:dyDescent="0.25">
      <c r="B63" s="8" t="s">
        <v>146</v>
      </c>
      <c r="C63" s="8" t="s">
        <v>147</v>
      </c>
      <c r="D63" s="8" t="s">
        <v>148</v>
      </c>
      <c r="E63" s="8" t="s">
        <v>149</v>
      </c>
      <c r="F63" s="8">
        <v>45.745404999999998</v>
      </c>
      <c r="G63" s="8">
        <v>-98.635947999999999</v>
      </c>
      <c r="H63" s="8" t="s">
        <v>150</v>
      </c>
      <c r="I63" s="10" t="s">
        <v>151</v>
      </c>
      <c r="J63" s="11" t="s">
        <v>56</v>
      </c>
      <c r="K63" s="11" t="s">
        <v>57</v>
      </c>
      <c r="L63" s="12">
        <v>340</v>
      </c>
      <c r="M63" s="13">
        <v>45047</v>
      </c>
      <c r="N63" s="13">
        <v>45118</v>
      </c>
      <c r="O63" s="11">
        <v>1210</v>
      </c>
      <c r="P63" s="11"/>
      <c r="Q63" s="11"/>
      <c r="R63" s="11"/>
      <c r="S63" s="11">
        <v>2486.3000000000002</v>
      </c>
      <c r="T63" s="11">
        <v>622.1</v>
      </c>
      <c r="U63" s="11">
        <v>259.5</v>
      </c>
    </row>
    <row r="64" spans="2:21" hidden="1" x14ac:dyDescent="0.25">
      <c r="B64" s="20" t="s">
        <v>152</v>
      </c>
      <c r="C64" s="20" t="s">
        <v>153</v>
      </c>
      <c r="D64" s="20" t="s">
        <v>154</v>
      </c>
      <c r="E64" s="20" t="s">
        <v>155</v>
      </c>
      <c r="F64" s="20">
        <v>43.689903999999999</v>
      </c>
      <c r="G64" s="20">
        <v>-96.779409000000001</v>
      </c>
      <c r="H64" s="20" t="s">
        <v>156</v>
      </c>
      <c r="I64" s="4" t="s">
        <v>157</v>
      </c>
      <c r="J64" t="s">
        <v>54</v>
      </c>
      <c r="K64" t="s">
        <v>55</v>
      </c>
      <c r="L64" s="5">
        <v>329</v>
      </c>
      <c r="M64" s="1">
        <v>44287</v>
      </c>
      <c r="N64" s="1">
        <v>44409</v>
      </c>
      <c r="O64">
        <v>250</v>
      </c>
      <c r="Q64">
        <v>806</v>
      </c>
      <c r="R64">
        <v>684</v>
      </c>
      <c r="S64">
        <v>1940</v>
      </c>
      <c r="T64">
        <v>566</v>
      </c>
      <c r="U64">
        <v>399</v>
      </c>
    </row>
    <row r="65" spans="2:21" hidden="1" x14ac:dyDescent="0.25">
      <c r="B65" s="6" t="s">
        <v>152</v>
      </c>
      <c r="C65" s="6" t="s">
        <v>153</v>
      </c>
      <c r="D65" s="6" t="s">
        <v>154</v>
      </c>
      <c r="E65" s="6" t="s">
        <v>155</v>
      </c>
      <c r="F65" s="6">
        <v>43.689903999999999</v>
      </c>
      <c r="G65" s="6">
        <v>-96.779409000000001</v>
      </c>
      <c r="H65" s="6" t="s">
        <v>156</v>
      </c>
      <c r="I65" s="4" t="s">
        <v>158</v>
      </c>
      <c r="J65" t="s">
        <v>56</v>
      </c>
      <c r="K65" t="s">
        <v>57</v>
      </c>
      <c r="L65" s="5">
        <v>340</v>
      </c>
      <c r="M65" s="1">
        <v>44287</v>
      </c>
      <c r="N65" s="1">
        <v>44409</v>
      </c>
      <c r="O65">
        <v>314</v>
      </c>
      <c r="S65">
        <v>1442.7</v>
      </c>
      <c r="T65">
        <v>489</v>
      </c>
      <c r="U65">
        <v>349</v>
      </c>
    </row>
    <row r="66" spans="2:21" hidden="1" x14ac:dyDescent="0.25">
      <c r="B66" s="6" t="s">
        <v>152</v>
      </c>
      <c r="C66" s="6" t="s">
        <v>153</v>
      </c>
      <c r="D66" s="6" t="s">
        <v>154</v>
      </c>
      <c r="E66" s="6" t="s">
        <v>155</v>
      </c>
      <c r="F66" s="6">
        <v>43.689903999999999</v>
      </c>
      <c r="G66" s="6">
        <v>-96.779409000000001</v>
      </c>
      <c r="H66" s="6" t="s">
        <v>156</v>
      </c>
      <c r="I66" s="4" t="s">
        <v>159</v>
      </c>
      <c r="J66" t="s">
        <v>54</v>
      </c>
      <c r="K66" t="s">
        <v>55</v>
      </c>
      <c r="L66" s="5">
        <v>329</v>
      </c>
      <c r="M66" s="1">
        <v>44682</v>
      </c>
      <c r="N66" s="1">
        <v>44880</v>
      </c>
      <c r="O66">
        <v>250</v>
      </c>
      <c r="S66">
        <v>860</v>
      </c>
      <c r="T66">
        <v>162</v>
      </c>
      <c r="U66">
        <v>104</v>
      </c>
    </row>
    <row r="67" spans="2:21" hidden="1" x14ac:dyDescent="0.25">
      <c r="B67" s="6" t="s">
        <v>152</v>
      </c>
      <c r="C67" s="6" t="s">
        <v>153</v>
      </c>
      <c r="D67" s="6" t="s">
        <v>154</v>
      </c>
      <c r="E67" s="6" t="s">
        <v>155</v>
      </c>
      <c r="F67" s="6">
        <v>43.689903999999999</v>
      </c>
      <c r="G67" s="6">
        <v>-96.779409000000001</v>
      </c>
      <c r="H67" s="6" t="s">
        <v>156</v>
      </c>
      <c r="I67" s="4" t="s">
        <v>160</v>
      </c>
      <c r="J67" t="s">
        <v>105</v>
      </c>
      <c r="K67" t="s">
        <v>59</v>
      </c>
      <c r="L67" s="5">
        <v>556</v>
      </c>
      <c r="M67" s="1">
        <v>44682</v>
      </c>
      <c r="N67" s="1">
        <v>44880</v>
      </c>
      <c r="O67">
        <v>0</v>
      </c>
      <c r="P67" t="s">
        <v>145</v>
      </c>
    </row>
    <row r="68" spans="2:21" x14ac:dyDescent="0.25">
      <c r="B68" s="6" t="s">
        <v>152</v>
      </c>
      <c r="C68" s="6" t="s">
        <v>153</v>
      </c>
      <c r="D68" s="6" t="s">
        <v>154</v>
      </c>
      <c r="E68" s="6" t="s">
        <v>155</v>
      </c>
      <c r="F68" s="6">
        <v>43.689903999999999</v>
      </c>
      <c r="G68" s="6">
        <v>-96.779409000000001</v>
      </c>
      <c r="H68" s="6" t="s">
        <v>156</v>
      </c>
      <c r="I68" s="4" t="s">
        <v>161</v>
      </c>
      <c r="J68" t="s">
        <v>83</v>
      </c>
      <c r="K68" t="s">
        <v>84</v>
      </c>
      <c r="L68" s="5">
        <v>328</v>
      </c>
      <c r="M68" s="1">
        <v>45047</v>
      </c>
      <c r="N68" s="1">
        <v>45147</v>
      </c>
      <c r="O68">
        <v>0</v>
      </c>
      <c r="P68" t="s">
        <v>145</v>
      </c>
    </row>
    <row r="69" spans="2:21" x14ac:dyDescent="0.25">
      <c r="B69" s="6" t="s">
        <v>152</v>
      </c>
      <c r="C69" s="6" t="s">
        <v>153</v>
      </c>
      <c r="D69" s="6" t="s">
        <v>154</v>
      </c>
      <c r="E69" s="6" t="s">
        <v>155</v>
      </c>
      <c r="F69" s="6">
        <v>43.689903999999999</v>
      </c>
      <c r="G69" s="6">
        <v>-96.779409000000001</v>
      </c>
      <c r="H69" s="6" t="s">
        <v>156</v>
      </c>
      <c r="I69" s="4" t="s">
        <v>108</v>
      </c>
      <c r="J69" t="s">
        <v>54</v>
      </c>
      <c r="K69" t="s">
        <v>55</v>
      </c>
      <c r="L69" s="5">
        <v>329</v>
      </c>
      <c r="M69" s="1">
        <v>45047</v>
      </c>
      <c r="N69" s="1">
        <v>45147</v>
      </c>
      <c r="O69">
        <v>250</v>
      </c>
    </row>
    <row r="70" spans="2:21" x14ac:dyDescent="0.25">
      <c r="B70" s="6" t="s">
        <v>152</v>
      </c>
      <c r="C70" s="6" t="s">
        <v>153</v>
      </c>
      <c r="D70" s="6" t="s">
        <v>154</v>
      </c>
      <c r="E70" s="6" t="s">
        <v>155</v>
      </c>
      <c r="F70" s="6">
        <v>43.689903999999999</v>
      </c>
      <c r="G70" s="6">
        <v>-96.779409000000001</v>
      </c>
      <c r="H70" s="6" t="s">
        <v>156</v>
      </c>
      <c r="I70" s="4" t="s">
        <v>162</v>
      </c>
      <c r="J70" t="s">
        <v>56</v>
      </c>
      <c r="K70" t="s">
        <v>57</v>
      </c>
      <c r="L70" s="5">
        <v>340</v>
      </c>
      <c r="M70" s="1">
        <v>45047</v>
      </c>
      <c r="N70" s="1">
        <v>45147</v>
      </c>
      <c r="O70">
        <v>314</v>
      </c>
      <c r="S70">
        <v>133</v>
      </c>
      <c r="T70">
        <v>43</v>
      </c>
      <c r="U70">
        <v>32</v>
      </c>
    </row>
    <row r="71" spans="2:21" x14ac:dyDescent="0.25">
      <c r="B71" s="6" t="s">
        <v>152</v>
      </c>
      <c r="C71" s="6" t="s">
        <v>153</v>
      </c>
      <c r="D71" s="6" t="s">
        <v>154</v>
      </c>
      <c r="E71" s="6" t="s">
        <v>155</v>
      </c>
      <c r="F71" s="6">
        <v>43.689903999999999</v>
      </c>
      <c r="G71" s="6">
        <v>-96.779409000000001</v>
      </c>
      <c r="H71" s="6" t="s">
        <v>156</v>
      </c>
      <c r="I71" s="4" t="s">
        <v>163</v>
      </c>
      <c r="J71" t="s">
        <v>105</v>
      </c>
      <c r="K71" t="s">
        <v>59</v>
      </c>
      <c r="L71" s="5">
        <v>556</v>
      </c>
      <c r="M71" s="1">
        <v>45047</v>
      </c>
      <c r="N71" s="1">
        <v>45147</v>
      </c>
      <c r="O71">
        <v>0</v>
      </c>
      <c r="P71" t="s">
        <v>145</v>
      </c>
    </row>
    <row r="72" spans="2:21" x14ac:dyDescent="0.25">
      <c r="B72" s="6" t="s">
        <v>152</v>
      </c>
      <c r="C72" s="6" t="s">
        <v>153</v>
      </c>
      <c r="D72" s="6" t="s">
        <v>154</v>
      </c>
      <c r="E72" s="6" t="s">
        <v>155</v>
      </c>
      <c r="F72" s="6">
        <v>43.692777999999997</v>
      </c>
      <c r="G72" s="6">
        <v>-96.773408000000003</v>
      </c>
      <c r="H72" s="6" t="s">
        <v>156</v>
      </c>
      <c r="I72" s="4" t="s">
        <v>164</v>
      </c>
      <c r="J72" t="s">
        <v>54</v>
      </c>
      <c r="K72" t="s">
        <v>55</v>
      </c>
      <c r="L72" s="5">
        <v>329</v>
      </c>
      <c r="M72" s="1">
        <v>45432</v>
      </c>
      <c r="N72" s="1">
        <v>45555</v>
      </c>
      <c r="O72">
        <v>56</v>
      </c>
      <c r="S72">
        <v>204</v>
      </c>
      <c r="T72">
        <v>47</v>
      </c>
      <c r="U72">
        <v>33</v>
      </c>
    </row>
    <row r="73" spans="2:21" x14ac:dyDescent="0.25">
      <c r="B73" s="6" t="s">
        <v>152</v>
      </c>
      <c r="C73" s="6" t="s">
        <v>153</v>
      </c>
      <c r="D73" s="6" t="s">
        <v>154</v>
      </c>
      <c r="E73" s="6" t="s">
        <v>155</v>
      </c>
      <c r="F73" s="6">
        <v>43.692777999999997</v>
      </c>
      <c r="G73" s="6">
        <v>-96.773408000000003</v>
      </c>
      <c r="H73" s="6" t="s">
        <v>156</v>
      </c>
      <c r="I73" s="4" t="s">
        <v>164</v>
      </c>
      <c r="J73" t="s">
        <v>56</v>
      </c>
      <c r="K73" t="s">
        <v>57</v>
      </c>
      <c r="L73" s="5">
        <v>340</v>
      </c>
      <c r="M73" s="1">
        <v>45432</v>
      </c>
      <c r="N73" s="1">
        <v>45555</v>
      </c>
      <c r="O73">
        <v>56</v>
      </c>
      <c r="S73">
        <v>469</v>
      </c>
      <c r="T73">
        <v>158</v>
      </c>
      <c r="U73">
        <v>113</v>
      </c>
    </row>
    <row r="74" spans="2:21" x14ac:dyDescent="0.25">
      <c r="B74" s="8" t="s">
        <v>152</v>
      </c>
      <c r="C74" s="8" t="s">
        <v>153</v>
      </c>
      <c r="D74" s="8" t="s">
        <v>154</v>
      </c>
      <c r="E74" s="8" t="s">
        <v>155</v>
      </c>
      <c r="F74" s="8">
        <v>43.692777999999997</v>
      </c>
      <c r="G74" s="8">
        <v>-96.773408000000003</v>
      </c>
      <c r="H74" s="8" t="s">
        <v>156</v>
      </c>
      <c r="I74" s="10" t="s">
        <v>164</v>
      </c>
      <c r="J74" s="11" t="s">
        <v>105</v>
      </c>
      <c r="K74" s="11" t="s">
        <v>59</v>
      </c>
      <c r="L74" s="12">
        <v>556</v>
      </c>
      <c r="M74" s="13">
        <v>45413</v>
      </c>
      <c r="N74" s="13">
        <v>45555</v>
      </c>
      <c r="O74" s="11">
        <v>56</v>
      </c>
      <c r="P74" s="11"/>
      <c r="Q74" s="11"/>
      <c r="R74" s="11"/>
      <c r="S74" s="11"/>
      <c r="T74" s="11"/>
      <c r="U74" s="11"/>
    </row>
    <row r="75" spans="2:21" hidden="1" x14ac:dyDescent="0.25">
      <c r="B75" s="20" t="s">
        <v>165</v>
      </c>
      <c r="C75" s="20" t="s">
        <v>166</v>
      </c>
      <c r="D75" s="20" t="s">
        <v>167</v>
      </c>
      <c r="E75" s="20" t="s">
        <v>168</v>
      </c>
      <c r="F75" s="20">
        <v>45.649925000000003</v>
      </c>
      <c r="G75" s="20">
        <v>-97.611886999999996</v>
      </c>
      <c r="H75" s="20" t="s">
        <v>169</v>
      </c>
      <c r="I75" s="4">
        <v>2021110</v>
      </c>
      <c r="J75" t="s">
        <v>54</v>
      </c>
      <c r="K75" t="s">
        <v>55</v>
      </c>
      <c r="L75" s="5">
        <v>329</v>
      </c>
      <c r="M75" s="1">
        <v>44470</v>
      </c>
      <c r="N75" s="1">
        <v>44742</v>
      </c>
      <c r="O75">
        <v>117</v>
      </c>
      <c r="S75">
        <v>289</v>
      </c>
      <c r="T75">
        <v>67</v>
      </c>
      <c r="U75">
        <v>48</v>
      </c>
    </row>
    <row r="76" spans="2:21" hidden="1" x14ac:dyDescent="0.25">
      <c r="B76" s="6" t="s">
        <v>165</v>
      </c>
      <c r="C76" s="6" t="s">
        <v>166</v>
      </c>
      <c r="D76" s="6" t="s">
        <v>167</v>
      </c>
      <c r="E76" s="6" t="s">
        <v>168</v>
      </c>
      <c r="F76" s="6">
        <v>45.649925000000003</v>
      </c>
      <c r="G76" s="6">
        <v>-97.611886999999996</v>
      </c>
      <c r="H76" s="6" t="s">
        <v>169</v>
      </c>
      <c r="I76" s="4">
        <v>2021110</v>
      </c>
      <c r="J76" t="s">
        <v>56</v>
      </c>
      <c r="K76" t="s">
        <v>57</v>
      </c>
      <c r="L76" s="5">
        <v>340</v>
      </c>
      <c r="M76" s="1">
        <v>44470</v>
      </c>
      <c r="N76" s="1">
        <v>44480</v>
      </c>
      <c r="O76">
        <v>117</v>
      </c>
      <c r="S76">
        <v>672</v>
      </c>
      <c r="T76">
        <v>226</v>
      </c>
      <c r="U76">
        <v>164</v>
      </c>
    </row>
    <row r="77" spans="2:21" hidden="1" x14ac:dyDescent="0.25">
      <c r="B77" s="8" t="s">
        <v>165</v>
      </c>
      <c r="C77" s="8" t="s">
        <v>166</v>
      </c>
      <c r="D77" s="8" t="s">
        <v>167</v>
      </c>
      <c r="E77" s="8" t="s">
        <v>168</v>
      </c>
      <c r="F77" s="8">
        <v>45.649925000000003</v>
      </c>
      <c r="G77" s="8">
        <v>-97.611886999999996</v>
      </c>
      <c r="H77" s="8" t="s">
        <v>169</v>
      </c>
      <c r="I77" s="10">
        <v>2021110</v>
      </c>
      <c r="J77" s="11" t="s">
        <v>105</v>
      </c>
      <c r="K77" s="11" t="s">
        <v>59</v>
      </c>
      <c r="L77" s="12">
        <v>556</v>
      </c>
      <c r="M77" s="13">
        <v>44470</v>
      </c>
      <c r="N77" s="13">
        <v>45147</v>
      </c>
      <c r="O77" s="11">
        <v>117</v>
      </c>
      <c r="P77" s="11"/>
      <c r="Q77" s="11"/>
      <c r="R77" s="11"/>
      <c r="S77" s="11"/>
      <c r="T77" s="11"/>
      <c r="U77" s="11"/>
    </row>
    <row r="78" spans="2:21" hidden="1" x14ac:dyDescent="0.25">
      <c r="B78" s="20" t="s">
        <v>170</v>
      </c>
      <c r="C78" s="20" t="s">
        <v>171</v>
      </c>
      <c r="D78" s="20" t="s">
        <v>172</v>
      </c>
      <c r="E78" s="20" t="s">
        <v>173</v>
      </c>
      <c r="F78" s="20">
        <v>45.132477000000002</v>
      </c>
      <c r="G78" s="20">
        <v>-96.797469000000007</v>
      </c>
      <c r="H78" s="20" t="s">
        <v>174</v>
      </c>
      <c r="I78" s="4">
        <v>20211007</v>
      </c>
      <c r="J78" t="s">
        <v>54</v>
      </c>
      <c r="K78" t="s">
        <v>55</v>
      </c>
      <c r="L78" s="5">
        <v>329</v>
      </c>
      <c r="M78" s="1">
        <v>44713</v>
      </c>
      <c r="N78" s="1">
        <v>45154</v>
      </c>
      <c r="O78">
        <v>160</v>
      </c>
      <c r="S78">
        <v>259</v>
      </c>
      <c r="T78">
        <v>51</v>
      </c>
      <c r="U78">
        <v>33</v>
      </c>
    </row>
    <row r="79" spans="2:21" hidden="1" x14ac:dyDescent="0.25">
      <c r="B79" s="6" t="s">
        <v>170</v>
      </c>
      <c r="C79" s="6" t="s">
        <v>171</v>
      </c>
      <c r="D79" s="6" t="s">
        <v>172</v>
      </c>
      <c r="E79" s="6" t="s">
        <v>173</v>
      </c>
      <c r="F79" s="6">
        <v>45.132477000000002</v>
      </c>
      <c r="G79" s="6">
        <v>-96.797469000000007</v>
      </c>
      <c r="H79" s="6" t="s">
        <v>174</v>
      </c>
      <c r="I79" s="4">
        <v>20211007</v>
      </c>
      <c r="J79" t="s">
        <v>56</v>
      </c>
      <c r="K79" t="s">
        <v>57</v>
      </c>
      <c r="L79" s="5">
        <v>340</v>
      </c>
      <c r="M79" s="1">
        <v>44713</v>
      </c>
      <c r="N79" s="1">
        <v>45154</v>
      </c>
      <c r="O79">
        <v>143</v>
      </c>
      <c r="S79">
        <v>163</v>
      </c>
      <c r="T79">
        <v>55</v>
      </c>
      <c r="U79">
        <v>38</v>
      </c>
    </row>
    <row r="80" spans="2:21" hidden="1" x14ac:dyDescent="0.25">
      <c r="B80" s="8" t="s">
        <v>170</v>
      </c>
      <c r="C80" s="8" t="s">
        <v>171</v>
      </c>
      <c r="D80" s="8" t="s">
        <v>172</v>
      </c>
      <c r="E80" s="8" t="s">
        <v>173</v>
      </c>
      <c r="F80" s="8">
        <v>45.132477000000002</v>
      </c>
      <c r="G80" s="8">
        <v>-96.797469000000007</v>
      </c>
      <c r="H80" s="8" t="s">
        <v>174</v>
      </c>
      <c r="I80" s="10">
        <v>20211007</v>
      </c>
      <c r="J80" s="11" t="s">
        <v>132</v>
      </c>
      <c r="K80" s="11" t="s">
        <v>133</v>
      </c>
      <c r="L80" s="12"/>
      <c r="M80" s="13">
        <v>44713</v>
      </c>
      <c r="N80" s="13">
        <v>45146</v>
      </c>
      <c r="O80" s="11">
        <v>0</v>
      </c>
      <c r="P80" s="11" t="s">
        <v>145</v>
      </c>
      <c r="Q80" s="11"/>
      <c r="R80" s="11"/>
      <c r="S80" s="11">
        <v>198</v>
      </c>
      <c r="T80" s="11">
        <v>40</v>
      </c>
      <c r="U80" s="11">
        <v>26</v>
      </c>
    </row>
    <row r="81" spans="2:21" hidden="1" x14ac:dyDescent="0.25">
      <c r="B81" s="30" t="s">
        <v>175</v>
      </c>
      <c r="C81" s="30" t="s">
        <v>176</v>
      </c>
      <c r="D81" s="30" t="s">
        <v>177</v>
      </c>
      <c r="E81" s="30" t="s">
        <v>178</v>
      </c>
      <c r="F81" s="30">
        <v>42.983561000000002</v>
      </c>
      <c r="G81" s="30">
        <v>-98.013389000000004</v>
      </c>
      <c r="H81" s="30" t="s">
        <v>179</v>
      </c>
      <c r="I81" s="25" t="s">
        <v>180</v>
      </c>
      <c r="J81" s="24" t="s">
        <v>56</v>
      </c>
      <c r="K81" s="24" t="s">
        <v>57</v>
      </c>
      <c r="L81" s="26">
        <v>340</v>
      </c>
      <c r="M81" s="27">
        <v>44470</v>
      </c>
      <c r="N81" s="27">
        <v>44505</v>
      </c>
      <c r="O81" s="24">
        <v>0</v>
      </c>
      <c r="P81" s="24" t="s">
        <v>145</v>
      </c>
      <c r="Q81" s="24"/>
      <c r="R81" s="24"/>
      <c r="S81" s="24">
        <v>405</v>
      </c>
      <c r="T81" s="24">
        <v>141</v>
      </c>
      <c r="U81" s="24">
        <v>103</v>
      </c>
    </row>
    <row r="82" spans="2:21" hidden="1" x14ac:dyDescent="0.25">
      <c r="B82" s="30" t="s">
        <v>181</v>
      </c>
      <c r="C82" s="30" t="s">
        <v>182</v>
      </c>
      <c r="D82" s="30" t="s">
        <v>183</v>
      </c>
      <c r="E82" s="30" t="s">
        <v>139</v>
      </c>
      <c r="F82" s="30">
        <v>42.954563999999998</v>
      </c>
      <c r="G82" s="30">
        <v>-97.356232000000006</v>
      </c>
      <c r="H82" s="30" t="s">
        <v>137</v>
      </c>
      <c r="I82" s="25" t="s">
        <v>184</v>
      </c>
      <c r="J82" s="24" t="s">
        <v>56</v>
      </c>
      <c r="K82" s="24" t="s">
        <v>57</v>
      </c>
      <c r="L82" s="26">
        <v>340</v>
      </c>
      <c r="M82" s="27">
        <v>44378</v>
      </c>
      <c r="N82" s="27">
        <v>44530</v>
      </c>
      <c r="O82" s="24">
        <v>0</v>
      </c>
      <c r="P82" s="24" t="s">
        <v>145</v>
      </c>
      <c r="Q82" s="24"/>
      <c r="R82" s="24"/>
      <c r="S82" s="24">
        <v>1364</v>
      </c>
      <c r="T82" s="24">
        <v>463</v>
      </c>
      <c r="U82" s="24">
        <v>330</v>
      </c>
    </row>
    <row r="83" spans="2:21" hidden="1" x14ac:dyDescent="0.25">
      <c r="B83" s="20" t="s">
        <v>185</v>
      </c>
      <c r="C83" s="20" t="s">
        <v>186</v>
      </c>
      <c r="D83" s="20" t="s">
        <v>187</v>
      </c>
      <c r="E83" s="20" t="s">
        <v>188</v>
      </c>
      <c r="F83" s="20">
        <v>43.916442000000004</v>
      </c>
      <c r="G83" s="20">
        <v>-97.696316999999993</v>
      </c>
      <c r="H83" s="20" t="s">
        <v>189</v>
      </c>
      <c r="I83" s="4" t="s">
        <v>190</v>
      </c>
      <c r="J83" t="s">
        <v>54</v>
      </c>
      <c r="K83" t="s">
        <v>55</v>
      </c>
      <c r="L83" s="5">
        <v>329</v>
      </c>
      <c r="M83" s="1">
        <v>44753</v>
      </c>
      <c r="N83" s="1">
        <v>44850</v>
      </c>
      <c r="O83">
        <v>0</v>
      </c>
      <c r="P83" t="s">
        <v>145</v>
      </c>
      <c r="S83">
        <v>154</v>
      </c>
      <c r="T83">
        <v>23</v>
      </c>
      <c r="U83">
        <v>13</v>
      </c>
    </row>
    <row r="84" spans="2:21" hidden="1" x14ac:dyDescent="0.25">
      <c r="B84" s="8" t="s">
        <v>185</v>
      </c>
      <c r="C84" s="8" t="s">
        <v>186</v>
      </c>
      <c r="D84" s="8" t="s">
        <v>187</v>
      </c>
      <c r="E84" s="8" t="s">
        <v>188</v>
      </c>
      <c r="F84" s="8">
        <v>43.916442000000004</v>
      </c>
      <c r="G84" s="8">
        <v>-97.696316999999993</v>
      </c>
      <c r="H84" s="8" t="s">
        <v>189</v>
      </c>
      <c r="I84" s="10" t="s">
        <v>190</v>
      </c>
      <c r="J84" s="11" t="s">
        <v>56</v>
      </c>
      <c r="K84" s="11" t="s">
        <v>57</v>
      </c>
      <c r="L84" s="12">
        <v>340</v>
      </c>
      <c r="M84" s="13">
        <v>44753</v>
      </c>
      <c r="N84" s="13">
        <v>44850</v>
      </c>
      <c r="O84" s="11">
        <v>0</v>
      </c>
      <c r="P84" s="11" t="s">
        <v>145</v>
      </c>
      <c r="Q84" s="11"/>
      <c r="R84" s="11"/>
      <c r="S84" s="11">
        <v>280</v>
      </c>
      <c r="T84" s="11">
        <v>83</v>
      </c>
      <c r="U84" s="11">
        <v>50</v>
      </c>
    </row>
    <row r="85" spans="2:21" hidden="1" x14ac:dyDescent="0.25">
      <c r="B85" s="20" t="s">
        <v>185</v>
      </c>
      <c r="C85" s="20" t="s">
        <v>166</v>
      </c>
      <c r="D85" s="20" t="s">
        <v>187</v>
      </c>
      <c r="E85" s="20" t="s">
        <v>188</v>
      </c>
      <c r="F85" s="20">
        <v>43.874657999999997</v>
      </c>
      <c r="G85" s="20">
        <v>-97.632651999999993</v>
      </c>
      <c r="H85" s="20" t="s">
        <v>189</v>
      </c>
      <c r="I85" s="4" t="s">
        <v>191</v>
      </c>
      <c r="J85" t="s">
        <v>54</v>
      </c>
      <c r="K85" t="s">
        <v>55</v>
      </c>
      <c r="L85" s="5">
        <v>329</v>
      </c>
      <c r="M85" s="1">
        <v>44805</v>
      </c>
      <c r="N85" s="1">
        <v>44873</v>
      </c>
      <c r="O85">
        <v>0</v>
      </c>
      <c r="P85" t="s">
        <v>145</v>
      </c>
      <c r="S85">
        <v>271</v>
      </c>
      <c r="T85">
        <v>39</v>
      </c>
      <c r="U85">
        <v>20</v>
      </c>
    </row>
    <row r="86" spans="2:21" hidden="1" x14ac:dyDescent="0.25">
      <c r="B86" s="8" t="s">
        <v>185</v>
      </c>
      <c r="C86" s="8" t="s">
        <v>166</v>
      </c>
      <c r="D86" s="8" t="s">
        <v>187</v>
      </c>
      <c r="E86" s="8" t="s">
        <v>188</v>
      </c>
      <c r="F86" s="8">
        <v>43.874657999999997</v>
      </c>
      <c r="G86" s="8">
        <v>-97.632651999999993</v>
      </c>
      <c r="H86" s="8" t="s">
        <v>189</v>
      </c>
      <c r="I86" s="10" t="s">
        <v>191</v>
      </c>
      <c r="J86" s="11" t="s">
        <v>56</v>
      </c>
      <c r="K86" s="11" t="s">
        <v>57</v>
      </c>
      <c r="L86" s="12">
        <v>340</v>
      </c>
      <c r="M86" s="13">
        <v>44805</v>
      </c>
      <c r="N86" s="13">
        <v>44873</v>
      </c>
      <c r="O86" s="11">
        <v>0</v>
      </c>
      <c r="P86" s="11" t="s">
        <v>145</v>
      </c>
      <c r="Q86" s="11"/>
      <c r="R86" s="11"/>
      <c r="S86" s="11">
        <v>480</v>
      </c>
      <c r="T86" s="11">
        <v>141</v>
      </c>
      <c r="U86" s="11">
        <v>81</v>
      </c>
    </row>
    <row r="87" spans="2:21" hidden="1" x14ac:dyDescent="0.25">
      <c r="B87" s="20" t="s">
        <v>185</v>
      </c>
      <c r="C87" s="20" t="s">
        <v>67</v>
      </c>
      <c r="D87" s="20" t="s">
        <v>187</v>
      </c>
      <c r="E87" s="20" t="s">
        <v>188</v>
      </c>
      <c r="F87" s="20">
        <v>43.859940999999999</v>
      </c>
      <c r="G87" s="20">
        <v>-97.615333000000007</v>
      </c>
      <c r="H87" s="20" t="s">
        <v>192</v>
      </c>
      <c r="I87" s="4" t="s">
        <v>193</v>
      </c>
      <c r="J87" t="s">
        <v>54</v>
      </c>
      <c r="K87" t="s">
        <v>55</v>
      </c>
      <c r="L87" s="5">
        <v>329</v>
      </c>
      <c r="M87" s="1">
        <v>44743</v>
      </c>
      <c r="N87" s="1">
        <v>44867</v>
      </c>
      <c r="O87">
        <v>0</v>
      </c>
      <c r="P87" t="s">
        <v>145</v>
      </c>
      <c r="S87">
        <v>272</v>
      </c>
      <c r="T87">
        <v>40</v>
      </c>
      <c r="U87">
        <v>21</v>
      </c>
    </row>
    <row r="88" spans="2:21" hidden="1" x14ac:dyDescent="0.25">
      <c r="B88" s="8" t="s">
        <v>185</v>
      </c>
      <c r="C88" s="8" t="s">
        <v>67</v>
      </c>
      <c r="D88" s="8" t="s">
        <v>187</v>
      </c>
      <c r="E88" s="8" t="s">
        <v>188</v>
      </c>
      <c r="F88" s="8">
        <v>43.859940999999999</v>
      </c>
      <c r="G88" s="8">
        <v>-97.615333000000007</v>
      </c>
      <c r="H88" s="8" t="s">
        <v>192</v>
      </c>
      <c r="I88" s="10" t="s">
        <v>193</v>
      </c>
      <c r="J88" s="11" t="s">
        <v>56</v>
      </c>
      <c r="K88" s="11" t="s">
        <v>57</v>
      </c>
      <c r="L88" s="12">
        <v>340</v>
      </c>
      <c r="M88" s="13">
        <v>44743</v>
      </c>
      <c r="N88" s="13">
        <v>44867</v>
      </c>
      <c r="O88" s="11">
        <v>0</v>
      </c>
      <c r="P88" s="11" t="s">
        <v>145</v>
      </c>
      <c r="Q88" s="11"/>
      <c r="R88" s="11"/>
      <c r="S88" s="11">
        <v>485</v>
      </c>
      <c r="T88" s="11">
        <v>142</v>
      </c>
      <c r="U88" s="11">
        <v>83</v>
      </c>
    </row>
    <row r="89" spans="2:21" hidden="1" x14ac:dyDescent="0.25">
      <c r="B89" s="20" t="s">
        <v>194</v>
      </c>
      <c r="C89" s="20" t="s">
        <v>195</v>
      </c>
      <c r="D89" s="20" t="s">
        <v>196</v>
      </c>
      <c r="E89" s="20" t="s">
        <v>197</v>
      </c>
      <c r="F89" s="20">
        <v>43.311056000000001</v>
      </c>
      <c r="G89" s="20">
        <v>-97.175206000000003</v>
      </c>
      <c r="H89" s="20" t="s">
        <v>100</v>
      </c>
      <c r="I89" s="4">
        <v>2014</v>
      </c>
      <c r="J89" t="s">
        <v>54</v>
      </c>
      <c r="K89" t="s">
        <v>55</v>
      </c>
      <c r="L89" s="5">
        <v>329</v>
      </c>
      <c r="M89" s="1">
        <v>44774</v>
      </c>
      <c r="N89" s="1">
        <v>44819</v>
      </c>
      <c r="O89">
        <v>0</v>
      </c>
      <c r="P89" t="s">
        <v>145</v>
      </c>
      <c r="S89">
        <v>282</v>
      </c>
      <c r="T89">
        <v>46</v>
      </c>
      <c r="U89">
        <v>27</v>
      </c>
    </row>
    <row r="90" spans="2:21" hidden="1" x14ac:dyDescent="0.25">
      <c r="B90" s="8" t="s">
        <v>194</v>
      </c>
      <c r="C90" s="8" t="s">
        <v>195</v>
      </c>
      <c r="D90" s="8" t="s">
        <v>196</v>
      </c>
      <c r="E90" s="8" t="s">
        <v>197</v>
      </c>
      <c r="F90" s="8">
        <v>43.311056000000001</v>
      </c>
      <c r="G90" s="8">
        <v>-97.175206000000003</v>
      </c>
      <c r="H90" s="8" t="s">
        <v>100</v>
      </c>
      <c r="I90" s="10">
        <v>2014</v>
      </c>
      <c r="J90" s="11" t="s">
        <v>56</v>
      </c>
      <c r="K90" s="11" t="s">
        <v>57</v>
      </c>
      <c r="L90" s="12">
        <v>340</v>
      </c>
      <c r="M90" s="13">
        <v>44774</v>
      </c>
      <c r="N90" s="13">
        <v>44819</v>
      </c>
      <c r="O90" s="11">
        <v>0</v>
      </c>
      <c r="P90" s="11" t="s">
        <v>145</v>
      </c>
      <c r="Q90" s="11"/>
      <c r="R90" s="11"/>
      <c r="S90" s="11">
        <v>547</v>
      </c>
      <c r="T90" s="11">
        <v>168</v>
      </c>
      <c r="U90" s="11">
        <v>105</v>
      </c>
    </row>
    <row r="91" spans="2:21" hidden="1" x14ac:dyDescent="0.25">
      <c r="B91" s="20" t="s">
        <v>194</v>
      </c>
      <c r="C91" s="20" t="s">
        <v>198</v>
      </c>
      <c r="D91" s="20" t="s">
        <v>199</v>
      </c>
      <c r="E91" s="20" t="s">
        <v>200</v>
      </c>
      <c r="F91" s="20">
        <v>43.296892</v>
      </c>
      <c r="G91" s="20">
        <v>-97.107156000000003</v>
      </c>
      <c r="H91" s="20" t="s">
        <v>100</v>
      </c>
      <c r="I91" s="4">
        <v>2015</v>
      </c>
      <c r="J91" t="s">
        <v>54</v>
      </c>
      <c r="K91" t="s">
        <v>55</v>
      </c>
      <c r="L91" s="5">
        <v>329</v>
      </c>
      <c r="M91" s="1">
        <v>44799</v>
      </c>
      <c r="N91" s="1">
        <v>44826</v>
      </c>
      <c r="O91">
        <v>0</v>
      </c>
      <c r="P91" t="s">
        <v>145</v>
      </c>
      <c r="S91">
        <v>822</v>
      </c>
      <c r="T91">
        <v>156</v>
      </c>
      <c r="U91">
        <v>99</v>
      </c>
    </row>
    <row r="92" spans="2:21" hidden="1" x14ac:dyDescent="0.25">
      <c r="B92" s="8" t="s">
        <v>194</v>
      </c>
      <c r="C92" s="8" t="s">
        <v>198</v>
      </c>
      <c r="D92" s="8" t="s">
        <v>199</v>
      </c>
      <c r="E92" s="8" t="s">
        <v>200</v>
      </c>
      <c r="F92" s="8">
        <v>43.296892</v>
      </c>
      <c r="G92" s="8">
        <v>-97.107156000000003</v>
      </c>
      <c r="H92" s="8" t="s">
        <v>100</v>
      </c>
      <c r="I92" s="10">
        <v>2015</v>
      </c>
      <c r="J92" s="11" t="s">
        <v>56</v>
      </c>
      <c r="K92" s="11" t="s">
        <v>57</v>
      </c>
      <c r="L92" s="12">
        <v>340</v>
      </c>
      <c r="M92" s="13">
        <v>44799</v>
      </c>
      <c r="N92" s="13">
        <v>44826</v>
      </c>
      <c r="O92" s="11">
        <v>0</v>
      </c>
      <c r="P92" s="11" t="s">
        <v>145</v>
      </c>
      <c r="Q92" s="11"/>
      <c r="R92" s="11"/>
      <c r="S92" s="11">
        <v>1789</v>
      </c>
      <c r="T92" s="11">
        <v>579</v>
      </c>
      <c r="U92" s="11">
        <v>390</v>
      </c>
    </row>
    <row r="93" spans="2:21" hidden="1" x14ac:dyDescent="0.25">
      <c r="B93" s="20" t="s">
        <v>194</v>
      </c>
      <c r="C93" s="20" t="s">
        <v>201</v>
      </c>
      <c r="D93" s="20" t="s">
        <v>202</v>
      </c>
      <c r="E93" s="20" t="s">
        <v>99</v>
      </c>
      <c r="F93" s="20">
        <v>43.348407999999999</v>
      </c>
      <c r="G93" s="20">
        <v>-97.343086999999997</v>
      </c>
      <c r="H93" s="20" t="s">
        <v>203</v>
      </c>
      <c r="I93" s="4">
        <v>2007</v>
      </c>
      <c r="J93" t="s">
        <v>54</v>
      </c>
      <c r="K93" t="s">
        <v>55</v>
      </c>
      <c r="L93" s="5">
        <v>329</v>
      </c>
      <c r="M93" s="1">
        <v>44722</v>
      </c>
      <c r="N93" s="1">
        <v>44767</v>
      </c>
      <c r="O93">
        <v>0</v>
      </c>
      <c r="P93" t="s">
        <v>145</v>
      </c>
      <c r="S93">
        <v>196.8</v>
      </c>
      <c r="T93">
        <v>45.5</v>
      </c>
      <c r="U93">
        <v>31.8</v>
      </c>
    </row>
    <row r="94" spans="2:21" hidden="1" x14ac:dyDescent="0.25">
      <c r="B94" s="6" t="s">
        <v>194</v>
      </c>
      <c r="C94" s="6" t="s">
        <v>201</v>
      </c>
      <c r="D94" s="6" t="s">
        <v>202</v>
      </c>
      <c r="E94" s="6" t="s">
        <v>99</v>
      </c>
      <c r="F94" s="6">
        <v>43.348407999999999</v>
      </c>
      <c r="G94" s="6">
        <v>-97.343086999999997</v>
      </c>
      <c r="H94" s="6" t="s">
        <v>203</v>
      </c>
      <c r="I94" s="4">
        <v>2007</v>
      </c>
      <c r="J94" t="s">
        <v>56</v>
      </c>
      <c r="K94" t="s">
        <v>57</v>
      </c>
      <c r="L94" s="5">
        <v>340</v>
      </c>
      <c r="M94" s="1">
        <v>44725</v>
      </c>
      <c r="N94" s="1">
        <v>44879</v>
      </c>
      <c r="O94">
        <v>0</v>
      </c>
      <c r="P94" t="s">
        <v>145</v>
      </c>
      <c r="S94">
        <v>500.9</v>
      </c>
      <c r="T94">
        <v>172.3</v>
      </c>
      <c r="U94">
        <v>124.8</v>
      </c>
    </row>
    <row r="95" spans="2:21" hidden="1" x14ac:dyDescent="0.25">
      <c r="B95" s="6" t="s">
        <v>194</v>
      </c>
      <c r="C95" s="6" t="s">
        <v>201</v>
      </c>
      <c r="D95" s="6" t="s">
        <v>202</v>
      </c>
      <c r="E95" s="6" t="s">
        <v>99</v>
      </c>
      <c r="F95" s="6">
        <v>43.348407999999999</v>
      </c>
      <c r="G95" s="6">
        <v>-97.343086999999997</v>
      </c>
      <c r="H95" s="6" t="s">
        <v>203</v>
      </c>
      <c r="I95" s="4">
        <v>2008</v>
      </c>
      <c r="J95" t="s">
        <v>54</v>
      </c>
      <c r="K95" t="s">
        <v>55</v>
      </c>
      <c r="L95" s="5">
        <v>329</v>
      </c>
      <c r="M95" s="1">
        <v>44743</v>
      </c>
      <c r="N95" s="1">
        <v>44746</v>
      </c>
      <c r="O95">
        <v>0</v>
      </c>
      <c r="P95" t="s">
        <v>145</v>
      </c>
      <c r="S95">
        <v>140.30000000000001</v>
      </c>
      <c r="T95">
        <v>32.9</v>
      </c>
      <c r="U95">
        <v>23.2</v>
      </c>
    </row>
    <row r="96" spans="2:21" hidden="1" x14ac:dyDescent="0.25">
      <c r="B96" s="6" t="s">
        <v>194</v>
      </c>
      <c r="C96" s="6" t="s">
        <v>201</v>
      </c>
      <c r="D96" s="6" t="s">
        <v>202</v>
      </c>
      <c r="E96" s="6" t="s">
        <v>99</v>
      </c>
      <c r="F96" s="6">
        <v>43.348407999999999</v>
      </c>
      <c r="G96" s="6">
        <v>-97.343086999999997</v>
      </c>
      <c r="H96" s="6" t="s">
        <v>203</v>
      </c>
      <c r="I96" s="4">
        <v>2008</v>
      </c>
      <c r="J96" t="s">
        <v>56</v>
      </c>
      <c r="K96" t="s">
        <v>57</v>
      </c>
      <c r="L96" s="5">
        <v>340</v>
      </c>
      <c r="M96" s="1">
        <v>44805</v>
      </c>
      <c r="N96" s="1">
        <v>44819</v>
      </c>
      <c r="O96">
        <v>0</v>
      </c>
      <c r="P96" t="s">
        <v>145</v>
      </c>
      <c r="S96">
        <v>361.7</v>
      </c>
      <c r="T96">
        <v>124.9</v>
      </c>
      <c r="U96">
        <v>90.9</v>
      </c>
    </row>
    <row r="97" spans="2:21" hidden="1" x14ac:dyDescent="0.25">
      <c r="B97" s="6" t="s">
        <v>194</v>
      </c>
      <c r="C97" s="6" t="s">
        <v>201</v>
      </c>
      <c r="D97" s="6" t="s">
        <v>202</v>
      </c>
      <c r="E97" s="6" t="s">
        <v>99</v>
      </c>
      <c r="F97" s="6">
        <v>43.348407999999999</v>
      </c>
      <c r="G97" s="6">
        <v>-97.343086999999997</v>
      </c>
      <c r="H97" s="6" t="s">
        <v>203</v>
      </c>
      <c r="I97" s="4">
        <v>2009</v>
      </c>
      <c r="J97" t="s">
        <v>54</v>
      </c>
      <c r="K97" t="s">
        <v>55</v>
      </c>
      <c r="L97" s="5">
        <v>329</v>
      </c>
      <c r="M97" s="1">
        <v>44774</v>
      </c>
      <c r="N97" s="1">
        <v>44788</v>
      </c>
      <c r="O97">
        <v>0</v>
      </c>
      <c r="P97" t="s">
        <v>145</v>
      </c>
      <c r="S97">
        <v>116.7</v>
      </c>
      <c r="T97">
        <v>27.6</v>
      </c>
      <c r="U97">
        <v>19.5</v>
      </c>
    </row>
    <row r="98" spans="2:21" hidden="1" x14ac:dyDescent="0.25">
      <c r="B98" s="8" t="s">
        <v>194</v>
      </c>
      <c r="C98" s="8" t="s">
        <v>201</v>
      </c>
      <c r="D98" s="8" t="s">
        <v>202</v>
      </c>
      <c r="E98" s="8" t="s">
        <v>99</v>
      </c>
      <c r="F98" s="8">
        <v>43.348407999999999</v>
      </c>
      <c r="G98" s="8">
        <v>-97.343086999999997</v>
      </c>
      <c r="H98" s="8" t="s">
        <v>203</v>
      </c>
      <c r="I98" s="10">
        <v>2009</v>
      </c>
      <c r="J98" s="11" t="s">
        <v>56</v>
      </c>
      <c r="K98" s="11" t="s">
        <v>57</v>
      </c>
      <c r="L98" s="12">
        <v>340</v>
      </c>
      <c r="M98" s="13">
        <v>44774</v>
      </c>
      <c r="N98" s="13">
        <v>44788</v>
      </c>
      <c r="O98" s="11">
        <v>0</v>
      </c>
      <c r="P98" s="11" t="s">
        <v>145</v>
      </c>
      <c r="Q98" s="11"/>
      <c r="R98" s="11"/>
      <c r="S98" s="11">
        <v>302.8</v>
      </c>
      <c r="T98" s="11">
        <v>104.8</v>
      </c>
      <c r="U98" s="11">
        <v>76.400000000000006</v>
      </c>
    </row>
    <row r="99" spans="2:21" hidden="1" x14ac:dyDescent="0.25">
      <c r="B99" s="20" t="s">
        <v>204</v>
      </c>
      <c r="C99" s="20" t="s">
        <v>205</v>
      </c>
      <c r="D99" s="20" t="s">
        <v>206</v>
      </c>
      <c r="E99" s="20" t="s">
        <v>207</v>
      </c>
      <c r="F99" s="20">
        <v>44.437491000000001</v>
      </c>
      <c r="G99" s="20">
        <v>-103.22508500000001</v>
      </c>
      <c r="H99" s="20" t="s">
        <v>208</v>
      </c>
      <c r="I99" s="4">
        <v>2021915</v>
      </c>
      <c r="J99" t="s">
        <v>54</v>
      </c>
      <c r="K99" t="s">
        <v>55</v>
      </c>
      <c r="L99" s="5">
        <v>329</v>
      </c>
      <c r="M99" s="1">
        <v>44317</v>
      </c>
      <c r="N99" s="1">
        <v>44423</v>
      </c>
      <c r="O99">
        <v>230</v>
      </c>
      <c r="S99">
        <v>727</v>
      </c>
      <c r="T99">
        <v>235</v>
      </c>
      <c r="U99">
        <v>174</v>
      </c>
    </row>
    <row r="100" spans="2:21" hidden="1" x14ac:dyDescent="0.25">
      <c r="B100" s="6" t="s">
        <v>204</v>
      </c>
      <c r="C100" s="6" t="s">
        <v>205</v>
      </c>
      <c r="D100" s="6" t="s">
        <v>206</v>
      </c>
      <c r="E100" s="6" t="s">
        <v>207</v>
      </c>
      <c r="F100" s="6">
        <v>44.437491000000001</v>
      </c>
      <c r="G100" s="6">
        <v>-103.22508500000001</v>
      </c>
      <c r="H100" s="6" t="s">
        <v>208</v>
      </c>
      <c r="I100" s="4">
        <v>2021915</v>
      </c>
      <c r="J100" t="s">
        <v>56</v>
      </c>
      <c r="K100" t="s">
        <v>57</v>
      </c>
      <c r="L100" s="5">
        <v>340</v>
      </c>
      <c r="M100" s="1">
        <v>44317</v>
      </c>
      <c r="N100" s="1">
        <v>44423</v>
      </c>
      <c r="O100">
        <v>230</v>
      </c>
      <c r="S100">
        <v>906</v>
      </c>
      <c r="T100">
        <v>314</v>
      </c>
      <c r="U100">
        <v>233</v>
      </c>
    </row>
    <row r="101" spans="2:21" hidden="1" x14ac:dyDescent="0.25">
      <c r="B101" s="8" t="s">
        <v>204</v>
      </c>
      <c r="C101" s="8" t="s">
        <v>205</v>
      </c>
      <c r="D101" s="8" t="s">
        <v>206</v>
      </c>
      <c r="E101" s="8" t="s">
        <v>207</v>
      </c>
      <c r="F101" s="8">
        <v>44.437491000000001</v>
      </c>
      <c r="G101" s="8">
        <v>-103.22508500000001</v>
      </c>
      <c r="H101" s="8" t="s">
        <v>208</v>
      </c>
      <c r="I101" s="10">
        <v>2021915</v>
      </c>
      <c r="J101" s="11" t="s">
        <v>105</v>
      </c>
      <c r="K101" s="11" t="s">
        <v>59</v>
      </c>
      <c r="L101" s="12">
        <v>556</v>
      </c>
      <c r="M101" s="13">
        <v>44317</v>
      </c>
      <c r="N101" s="13">
        <v>44423</v>
      </c>
      <c r="O101" s="11">
        <v>230</v>
      </c>
      <c r="P101" s="11"/>
      <c r="Q101" s="11"/>
      <c r="R101" s="11"/>
      <c r="S101" s="11"/>
      <c r="T101" s="11"/>
      <c r="U101" s="11"/>
    </row>
    <row r="102" spans="2:21" hidden="1" x14ac:dyDescent="0.25">
      <c r="B102" s="22" t="s">
        <v>209</v>
      </c>
      <c r="C102" s="22" t="s">
        <v>210</v>
      </c>
      <c r="D102" s="22" t="s">
        <v>211</v>
      </c>
      <c r="E102" s="22" t="s">
        <v>212</v>
      </c>
      <c r="F102" s="22">
        <v>42.971603999999999</v>
      </c>
      <c r="G102" s="22">
        <v>-97.326511999999994</v>
      </c>
      <c r="H102" s="22"/>
      <c r="I102" s="10" t="s">
        <v>213</v>
      </c>
      <c r="J102" s="11" t="s">
        <v>56</v>
      </c>
      <c r="K102" s="11" t="s">
        <v>57</v>
      </c>
      <c r="L102" s="12">
        <v>340</v>
      </c>
      <c r="M102" s="13">
        <v>44470</v>
      </c>
      <c r="N102" s="13">
        <v>44498</v>
      </c>
      <c r="O102" s="11">
        <v>170</v>
      </c>
      <c r="P102" s="11"/>
      <c r="Q102" s="11"/>
      <c r="R102" s="11"/>
      <c r="S102" s="11">
        <v>1243</v>
      </c>
      <c r="T102" s="11">
        <v>413</v>
      </c>
      <c r="U102" s="11">
        <v>293</v>
      </c>
    </row>
    <row r="103" spans="2:21" hidden="1" x14ac:dyDescent="0.25">
      <c r="B103" s="20" t="s">
        <v>214</v>
      </c>
      <c r="C103" s="20" t="s">
        <v>215</v>
      </c>
      <c r="D103" s="20" t="s">
        <v>216</v>
      </c>
      <c r="E103" s="20" t="s">
        <v>217</v>
      </c>
      <c r="F103" s="20">
        <v>43.078023999999999</v>
      </c>
      <c r="G103" s="20">
        <v>-100.144284</v>
      </c>
      <c r="H103" s="20" t="s">
        <v>218</v>
      </c>
      <c r="I103" s="4">
        <v>2021003</v>
      </c>
      <c r="J103" t="s">
        <v>83</v>
      </c>
      <c r="K103" t="s">
        <v>84</v>
      </c>
      <c r="L103" s="5">
        <v>328</v>
      </c>
      <c r="M103" s="1">
        <v>44270</v>
      </c>
      <c r="N103" s="1">
        <v>44463</v>
      </c>
      <c r="O103">
        <v>70</v>
      </c>
      <c r="Q103">
        <v>140</v>
      </c>
      <c r="R103">
        <v>140</v>
      </c>
    </row>
    <row r="104" spans="2:21" hidden="1" x14ac:dyDescent="0.25">
      <c r="B104" s="6" t="s">
        <v>214</v>
      </c>
      <c r="C104" s="6" t="s">
        <v>215</v>
      </c>
      <c r="D104" s="6" t="s">
        <v>216</v>
      </c>
      <c r="E104" s="6" t="s">
        <v>217</v>
      </c>
      <c r="F104" s="6">
        <v>43.078023999999999</v>
      </c>
      <c r="G104" s="6">
        <v>-100.144284</v>
      </c>
      <c r="H104" s="6" t="s">
        <v>218</v>
      </c>
      <c r="I104" s="4">
        <v>2021003</v>
      </c>
      <c r="J104" t="s">
        <v>54</v>
      </c>
      <c r="K104" t="s">
        <v>55</v>
      </c>
      <c r="L104" s="5">
        <v>329</v>
      </c>
      <c r="M104" s="1">
        <v>44317</v>
      </c>
      <c r="N104" s="1">
        <v>44409</v>
      </c>
      <c r="O104">
        <v>70</v>
      </c>
      <c r="S104">
        <v>230</v>
      </c>
      <c r="T104">
        <v>59</v>
      </c>
      <c r="U104">
        <v>43</v>
      </c>
    </row>
    <row r="105" spans="2:21" hidden="1" x14ac:dyDescent="0.25">
      <c r="B105" s="6" t="s">
        <v>214</v>
      </c>
      <c r="C105" s="6" t="s">
        <v>215</v>
      </c>
      <c r="D105" s="6" t="s">
        <v>216</v>
      </c>
      <c r="E105" s="6" t="s">
        <v>217</v>
      </c>
      <c r="F105" s="6">
        <v>43.078023999999999</v>
      </c>
      <c r="G105" s="6">
        <v>-100.144284</v>
      </c>
      <c r="H105" s="6" t="s">
        <v>218</v>
      </c>
      <c r="I105" s="4">
        <v>2021003</v>
      </c>
      <c r="J105" t="s">
        <v>56</v>
      </c>
      <c r="K105" t="s">
        <v>57</v>
      </c>
      <c r="L105" s="5">
        <v>340</v>
      </c>
      <c r="M105" s="1">
        <v>44287</v>
      </c>
      <c r="N105" s="1">
        <v>44417</v>
      </c>
      <c r="O105">
        <v>70</v>
      </c>
      <c r="S105">
        <v>636</v>
      </c>
      <c r="T105">
        <v>225</v>
      </c>
      <c r="U105">
        <v>167</v>
      </c>
    </row>
    <row r="106" spans="2:21" hidden="1" x14ac:dyDescent="0.25">
      <c r="B106" s="6" t="s">
        <v>214</v>
      </c>
      <c r="C106" s="6" t="s">
        <v>215</v>
      </c>
      <c r="D106" s="6" t="s">
        <v>216</v>
      </c>
      <c r="E106" s="6" t="s">
        <v>217</v>
      </c>
      <c r="F106" s="6">
        <v>43.078023999999999</v>
      </c>
      <c r="G106" s="6">
        <v>-100.144284</v>
      </c>
      <c r="H106" s="6" t="s">
        <v>218</v>
      </c>
      <c r="I106" s="4">
        <v>2021003</v>
      </c>
      <c r="J106" t="s">
        <v>105</v>
      </c>
      <c r="K106" t="s">
        <v>59</v>
      </c>
      <c r="L106" s="5">
        <v>556</v>
      </c>
      <c r="M106" s="1">
        <v>44317</v>
      </c>
      <c r="N106" s="1">
        <v>44409</v>
      </c>
      <c r="O106">
        <v>70</v>
      </c>
    </row>
    <row r="107" spans="2:21" hidden="1" x14ac:dyDescent="0.25">
      <c r="B107" s="6" t="s">
        <v>214</v>
      </c>
      <c r="C107" s="6" t="s">
        <v>215</v>
      </c>
      <c r="D107" s="6" t="s">
        <v>216</v>
      </c>
      <c r="E107" s="6" t="s">
        <v>217</v>
      </c>
      <c r="F107" s="6">
        <v>43.078023999999999</v>
      </c>
      <c r="G107" s="6">
        <v>-100.144284</v>
      </c>
      <c r="H107" s="6" t="s">
        <v>218</v>
      </c>
      <c r="I107" s="4" t="s">
        <v>219</v>
      </c>
      <c r="J107" t="s">
        <v>83</v>
      </c>
      <c r="K107" t="s">
        <v>84</v>
      </c>
      <c r="L107" s="5">
        <v>328</v>
      </c>
      <c r="M107" s="1">
        <v>44682</v>
      </c>
      <c r="N107" s="1">
        <v>44872</v>
      </c>
      <c r="O107">
        <v>70</v>
      </c>
    </row>
    <row r="108" spans="2:21" hidden="1" x14ac:dyDescent="0.25">
      <c r="B108" s="6" t="s">
        <v>214</v>
      </c>
      <c r="C108" s="6" t="s">
        <v>215</v>
      </c>
      <c r="D108" s="6" t="s">
        <v>216</v>
      </c>
      <c r="E108" s="6" t="s">
        <v>217</v>
      </c>
      <c r="F108" s="6">
        <v>43.078023999999999</v>
      </c>
      <c r="G108" s="6">
        <v>-100.144284</v>
      </c>
      <c r="H108" s="6" t="s">
        <v>218</v>
      </c>
      <c r="I108" s="4" t="s">
        <v>219</v>
      </c>
      <c r="J108" t="s">
        <v>54</v>
      </c>
      <c r="K108" t="s">
        <v>55</v>
      </c>
      <c r="L108" s="5">
        <v>329</v>
      </c>
      <c r="M108" s="1">
        <v>44682</v>
      </c>
      <c r="N108" s="1">
        <v>44872</v>
      </c>
      <c r="O108">
        <v>70</v>
      </c>
      <c r="S108">
        <v>236</v>
      </c>
      <c r="T108">
        <v>60</v>
      </c>
      <c r="U108">
        <v>44</v>
      </c>
    </row>
    <row r="109" spans="2:21" hidden="1" x14ac:dyDescent="0.25">
      <c r="B109" s="6" t="s">
        <v>214</v>
      </c>
      <c r="C109" s="6" t="s">
        <v>215</v>
      </c>
      <c r="D109" s="6" t="s">
        <v>216</v>
      </c>
      <c r="E109" s="6" t="s">
        <v>217</v>
      </c>
      <c r="F109" s="6">
        <v>43.078023999999999</v>
      </c>
      <c r="G109" s="6">
        <v>-100.144284</v>
      </c>
      <c r="H109" s="6" t="s">
        <v>218</v>
      </c>
      <c r="I109" s="4" t="s">
        <v>219</v>
      </c>
      <c r="J109" t="s">
        <v>56</v>
      </c>
      <c r="K109" t="s">
        <v>57</v>
      </c>
      <c r="L109" s="5">
        <v>340</v>
      </c>
      <c r="M109" s="1">
        <v>44762</v>
      </c>
      <c r="N109" s="1">
        <v>44932</v>
      </c>
      <c r="O109">
        <v>70</v>
      </c>
      <c r="S109">
        <v>590</v>
      </c>
      <c r="T109">
        <v>205</v>
      </c>
      <c r="U109">
        <v>153</v>
      </c>
    </row>
    <row r="110" spans="2:21" hidden="1" x14ac:dyDescent="0.25">
      <c r="B110" s="8" t="s">
        <v>214</v>
      </c>
      <c r="C110" s="8" t="s">
        <v>215</v>
      </c>
      <c r="D110" s="8" t="s">
        <v>216</v>
      </c>
      <c r="E110" s="8" t="s">
        <v>217</v>
      </c>
      <c r="F110" s="8">
        <v>43.078023999999999</v>
      </c>
      <c r="G110" s="8">
        <v>-100.144284</v>
      </c>
      <c r="H110" s="8" t="s">
        <v>218</v>
      </c>
      <c r="I110" s="10" t="s">
        <v>219</v>
      </c>
      <c r="J110" s="11" t="s">
        <v>105</v>
      </c>
      <c r="K110" s="11" t="s">
        <v>59</v>
      </c>
      <c r="L110" s="12">
        <v>556</v>
      </c>
      <c r="M110" s="13">
        <v>44682</v>
      </c>
      <c r="N110" s="13">
        <v>44872</v>
      </c>
      <c r="O110" s="11">
        <v>70</v>
      </c>
      <c r="P110" s="11"/>
      <c r="Q110" s="11"/>
      <c r="R110" s="11"/>
      <c r="S110" s="11"/>
      <c r="T110" s="11"/>
      <c r="U110" s="11"/>
    </row>
    <row r="111" spans="2:21" x14ac:dyDescent="0.25">
      <c r="B111" s="30" t="s">
        <v>220</v>
      </c>
      <c r="C111" s="30" t="s">
        <v>205</v>
      </c>
      <c r="D111" s="30" t="s">
        <v>221</v>
      </c>
      <c r="E111" s="30" t="s">
        <v>222</v>
      </c>
      <c r="F111" s="30">
        <v>44.899106000000003</v>
      </c>
      <c r="G111" s="30">
        <v>-97.205034999999995</v>
      </c>
      <c r="H111" s="30" t="s">
        <v>223</v>
      </c>
      <c r="I111" s="25" t="s">
        <v>95</v>
      </c>
      <c r="J111" s="24" t="s">
        <v>132</v>
      </c>
      <c r="K111" s="24" t="s">
        <v>133</v>
      </c>
      <c r="L111" s="26"/>
      <c r="M111" s="27">
        <v>44927</v>
      </c>
      <c r="N111" s="27">
        <v>45061</v>
      </c>
      <c r="O111" s="24">
        <v>10</v>
      </c>
      <c r="P111" s="24"/>
      <c r="Q111" s="24"/>
      <c r="R111" s="24"/>
      <c r="S111" s="24">
        <v>65</v>
      </c>
      <c r="T111" s="24">
        <v>23</v>
      </c>
      <c r="U111" s="24">
        <v>17</v>
      </c>
    </row>
    <row r="112" spans="2:21" hidden="1" x14ac:dyDescent="0.25">
      <c r="B112" s="20" t="s">
        <v>224</v>
      </c>
      <c r="C112" s="20" t="s">
        <v>225</v>
      </c>
      <c r="D112" s="20" t="s">
        <v>226</v>
      </c>
      <c r="E112" s="20" t="s">
        <v>227</v>
      </c>
      <c r="F112" s="20">
        <v>43.866072000000003</v>
      </c>
      <c r="G112" s="20">
        <v>-96.759816999999998</v>
      </c>
      <c r="H112" s="20" t="s">
        <v>228</v>
      </c>
      <c r="I112" s="4">
        <v>2021002</v>
      </c>
      <c r="J112" t="s">
        <v>83</v>
      </c>
      <c r="K112" t="s">
        <v>84</v>
      </c>
      <c r="L112" s="5">
        <v>328</v>
      </c>
      <c r="M112" s="1">
        <v>44317</v>
      </c>
      <c r="N112" s="1">
        <v>44409</v>
      </c>
      <c r="O112">
        <v>31.66</v>
      </c>
    </row>
    <row r="113" spans="2:21" hidden="1" x14ac:dyDescent="0.25">
      <c r="B113" s="6" t="s">
        <v>224</v>
      </c>
      <c r="C113" s="6" t="s">
        <v>225</v>
      </c>
      <c r="D113" s="6" t="s">
        <v>226</v>
      </c>
      <c r="E113" s="6" t="s">
        <v>227</v>
      </c>
      <c r="F113" s="6">
        <v>43.866072000000003</v>
      </c>
      <c r="G113" s="6">
        <v>-96.759816999999998</v>
      </c>
      <c r="H113" s="6" t="s">
        <v>228</v>
      </c>
      <c r="I113" s="4">
        <v>2021002</v>
      </c>
      <c r="J113" t="s">
        <v>54</v>
      </c>
      <c r="K113" t="s">
        <v>55</v>
      </c>
      <c r="L113" s="5">
        <v>329</v>
      </c>
      <c r="M113" s="1">
        <v>44317</v>
      </c>
      <c r="N113" s="1">
        <v>44409</v>
      </c>
      <c r="O113">
        <v>31.66</v>
      </c>
      <c r="S113">
        <v>544</v>
      </c>
      <c r="T113">
        <v>119</v>
      </c>
      <c r="U113">
        <v>82</v>
      </c>
    </row>
    <row r="114" spans="2:21" hidden="1" x14ac:dyDescent="0.25">
      <c r="B114" s="6" t="s">
        <v>224</v>
      </c>
      <c r="C114" s="6" t="s">
        <v>225</v>
      </c>
      <c r="D114" s="6" t="s">
        <v>226</v>
      </c>
      <c r="E114" s="6" t="s">
        <v>227</v>
      </c>
      <c r="F114" s="6">
        <v>43.866072000000003</v>
      </c>
      <c r="G114" s="6">
        <v>-96.759816999999998</v>
      </c>
      <c r="H114" s="6" t="s">
        <v>228</v>
      </c>
      <c r="I114" s="4">
        <v>2021002</v>
      </c>
      <c r="J114" t="s">
        <v>56</v>
      </c>
      <c r="K114" t="s">
        <v>57</v>
      </c>
      <c r="L114" s="5">
        <v>340</v>
      </c>
      <c r="M114" s="1">
        <v>44348</v>
      </c>
      <c r="N114" s="1">
        <v>44439</v>
      </c>
      <c r="O114">
        <v>31.66</v>
      </c>
      <c r="S114">
        <v>196</v>
      </c>
      <c r="T114">
        <v>64</v>
      </c>
      <c r="U114">
        <v>11</v>
      </c>
    </row>
    <row r="115" spans="2:21" hidden="1" x14ac:dyDescent="0.25">
      <c r="B115" s="6" t="s">
        <v>224</v>
      </c>
      <c r="C115" s="6" t="s">
        <v>225</v>
      </c>
      <c r="D115" s="6" t="s">
        <v>226</v>
      </c>
      <c r="E115" s="6" t="s">
        <v>227</v>
      </c>
      <c r="F115" s="6">
        <v>43.866072000000003</v>
      </c>
      <c r="G115" s="6">
        <v>-96.759816999999998</v>
      </c>
      <c r="H115" s="6" t="s">
        <v>228</v>
      </c>
      <c r="I115" s="4">
        <v>2021002</v>
      </c>
      <c r="J115" t="s">
        <v>105</v>
      </c>
      <c r="K115" t="s">
        <v>59</v>
      </c>
      <c r="L115" s="5">
        <v>556</v>
      </c>
      <c r="M115" s="1">
        <v>44317</v>
      </c>
      <c r="N115" s="1">
        <v>44409</v>
      </c>
      <c r="O115">
        <v>31.66</v>
      </c>
    </row>
    <row r="116" spans="2:21" hidden="1" x14ac:dyDescent="0.25">
      <c r="B116" s="85" t="s">
        <v>229</v>
      </c>
      <c r="C116" s="85" t="s">
        <v>230</v>
      </c>
      <c r="D116" s="85" t="s">
        <v>231</v>
      </c>
      <c r="E116" s="85" t="s">
        <v>232</v>
      </c>
      <c r="F116" s="85">
        <v>45.425331</v>
      </c>
      <c r="G116" s="85">
        <v>-98.027854000000005</v>
      </c>
      <c r="H116" s="85" t="s">
        <v>233</v>
      </c>
      <c r="I116" s="86">
        <v>2003</v>
      </c>
      <c r="J116" s="83" t="s">
        <v>54</v>
      </c>
      <c r="K116" s="83" t="s">
        <v>55</v>
      </c>
      <c r="L116" s="87">
        <v>329</v>
      </c>
      <c r="M116" s="88">
        <v>44718</v>
      </c>
      <c r="N116" s="88">
        <v>44770</v>
      </c>
      <c r="O116" s="83">
        <v>0</v>
      </c>
      <c r="P116" s="83" t="s">
        <v>145</v>
      </c>
      <c r="Q116" s="83"/>
      <c r="R116" s="83"/>
      <c r="S116" s="83">
        <v>254.2</v>
      </c>
      <c r="T116" s="83">
        <v>33.9</v>
      </c>
      <c r="U116" s="83">
        <v>16.8</v>
      </c>
    </row>
    <row r="117" spans="2:21" hidden="1" x14ac:dyDescent="0.25">
      <c r="B117" s="6" t="s">
        <v>229</v>
      </c>
      <c r="C117" s="6" t="s">
        <v>230</v>
      </c>
      <c r="D117" s="6" t="s">
        <v>231</v>
      </c>
      <c r="E117" s="6" t="s">
        <v>232</v>
      </c>
      <c r="F117" s="6">
        <v>45.425331</v>
      </c>
      <c r="G117" s="6">
        <v>-98.027854000000005</v>
      </c>
      <c r="H117" s="6" t="s">
        <v>233</v>
      </c>
      <c r="I117" s="4">
        <v>2003</v>
      </c>
      <c r="J117" t="s">
        <v>56</v>
      </c>
      <c r="K117" t="s">
        <v>57</v>
      </c>
      <c r="L117" s="5">
        <v>340</v>
      </c>
      <c r="M117" s="1">
        <v>44718</v>
      </c>
      <c r="N117" s="1">
        <v>44770</v>
      </c>
      <c r="O117">
        <v>0</v>
      </c>
      <c r="P117" t="s">
        <v>145</v>
      </c>
      <c r="S117">
        <v>425.4</v>
      </c>
      <c r="T117">
        <v>120.3</v>
      </c>
      <c r="U117">
        <v>65.8</v>
      </c>
    </row>
    <row r="118" spans="2:21" hidden="1" x14ac:dyDescent="0.25">
      <c r="B118" s="85" t="s">
        <v>234</v>
      </c>
      <c r="C118" s="85" t="s">
        <v>122</v>
      </c>
      <c r="D118" s="85" t="s">
        <v>235</v>
      </c>
      <c r="E118" s="85" t="s">
        <v>99</v>
      </c>
      <c r="F118" s="85">
        <v>43.410054000000002</v>
      </c>
      <c r="G118" s="85">
        <v>-97.545253000000002</v>
      </c>
      <c r="H118" s="85" t="s">
        <v>192</v>
      </c>
      <c r="I118" s="86" t="s">
        <v>236</v>
      </c>
      <c r="J118" s="83" t="s">
        <v>54</v>
      </c>
      <c r="K118" s="83" t="s">
        <v>55</v>
      </c>
      <c r="L118" s="87">
        <v>329</v>
      </c>
      <c r="M118" s="88">
        <v>44682</v>
      </c>
      <c r="N118" s="88">
        <v>44845</v>
      </c>
      <c r="O118" s="83">
        <v>261</v>
      </c>
      <c r="P118" s="83"/>
      <c r="Q118" s="83"/>
      <c r="R118" s="83"/>
      <c r="S118" s="83">
        <v>569</v>
      </c>
      <c r="T118" s="83">
        <v>82</v>
      </c>
      <c r="U118" s="83">
        <v>44</v>
      </c>
    </row>
    <row r="119" spans="2:21" hidden="1" x14ac:dyDescent="0.25">
      <c r="B119" s="68" t="s">
        <v>234</v>
      </c>
      <c r="C119" s="68" t="s">
        <v>122</v>
      </c>
      <c r="D119" s="68" t="s">
        <v>235</v>
      </c>
      <c r="E119" s="68" t="s">
        <v>99</v>
      </c>
      <c r="F119" s="68">
        <v>43.410054000000002</v>
      </c>
      <c r="G119" s="68">
        <v>-97.545253000000002</v>
      </c>
      <c r="H119" s="68" t="s">
        <v>192</v>
      </c>
      <c r="I119" s="70" t="s">
        <v>236</v>
      </c>
      <c r="J119" s="66" t="s">
        <v>56</v>
      </c>
      <c r="K119" s="66" t="s">
        <v>57</v>
      </c>
      <c r="L119" s="71">
        <v>340</v>
      </c>
      <c r="M119" s="72">
        <v>44682</v>
      </c>
      <c r="N119" s="72">
        <v>44848</v>
      </c>
      <c r="O119" s="66">
        <v>261</v>
      </c>
      <c r="P119" s="66"/>
      <c r="Q119" s="66"/>
      <c r="R119" s="66"/>
      <c r="S119" s="66">
        <v>1009</v>
      </c>
      <c r="T119" s="66">
        <v>296</v>
      </c>
      <c r="U119" s="66">
        <v>172</v>
      </c>
    </row>
    <row r="120" spans="2:21" x14ac:dyDescent="0.25">
      <c r="B120" s="20" t="s">
        <v>237</v>
      </c>
      <c r="C120" s="20" t="s">
        <v>660</v>
      </c>
      <c r="D120" s="20" t="s">
        <v>238</v>
      </c>
      <c r="E120" s="20" t="s">
        <v>239</v>
      </c>
      <c r="F120" s="20">
        <v>43.468524000000002</v>
      </c>
      <c r="G120" s="20">
        <v>-98.023386000000002</v>
      </c>
      <c r="H120" s="20" t="s">
        <v>64</v>
      </c>
      <c r="I120" s="4" t="s">
        <v>240</v>
      </c>
      <c r="J120" t="s">
        <v>54</v>
      </c>
      <c r="K120" t="s">
        <v>55</v>
      </c>
      <c r="L120" s="5">
        <v>329</v>
      </c>
      <c r="M120" s="1">
        <v>45047</v>
      </c>
      <c r="N120" s="1">
        <v>45168</v>
      </c>
      <c r="O120">
        <v>40</v>
      </c>
      <c r="S120">
        <v>83</v>
      </c>
      <c r="T120">
        <v>17</v>
      </c>
      <c r="U120">
        <v>12</v>
      </c>
    </row>
    <row r="121" spans="2:21" x14ac:dyDescent="0.25">
      <c r="B121" s="8" t="s">
        <v>237</v>
      </c>
      <c r="C121" s="8" t="s">
        <v>660</v>
      </c>
      <c r="D121" s="8" t="s">
        <v>238</v>
      </c>
      <c r="E121" s="8" t="s">
        <v>239</v>
      </c>
      <c r="F121" s="8">
        <v>43.468524000000002</v>
      </c>
      <c r="G121" s="8">
        <v>-98.023386000000002</v>
      </c>
      <c r="H121" s="8" t="s">
        <v>64</v>
      </c>
      <c r="I121" s="10" t="s">
        <v>240</v>
      </c>
      <c r="J121" s="11" t="s">
        <v>56</v>
      </c>
      <c r="K121" s="11" t="s">
        <v>57</v>
      </c>
      <c r="L121" s="12">
        <v>340</v>
      </c>
      <c r="M121" s="13">
        <v>45047</v>
      </c>
      <c r="N121" s="13">
        <v>45168</v>
      </c>
      <c r="O121" s="11">
        <v>40</v>
      </c>
      <c r="P121" s="11"/>
      <c r="Q121" s="11"/>
      <c r="R121" s="11"/>
      <c r="S121" s="11">
        <v>195</v>
      </c>
      <c r="T121" s="11">
        <v>64</v>
      </c>
      <c r="U121" s="11">
        <v>43</v>
      </c>
    </row>
    <row r="122" spans="2:21" hidden="1" x14ac:dyDescent="0.25">
      <c r="B122" s="20" t="s">
        <v>237</v>
      </c>
      <c r="C122" s="20" t="s">
        <v>241</v>
      </c>
      <c r="D122" s="20" t="s">
        <v>242</v>
      </c>
      <c r="E122" s="20" t="s">
        <v>239</v>
      </c>
      <c r="F122" s="20">
        <v>43.469451999999997</v>
      </c>
      <c r="G122" s="20">
        <v>-98.025881999999996</v>
      </c>
      <c r="H122" s="20" t="s">
        <v>64</v>
      </c>
      <c r="I122" s="4">
        <v>2021014</v>
      </c>
      <c r="J122" t="s">
        <v>54</v>
      </c>
      <c r="K122" t="s">
        <v>55</v>
      </c>
      <c r="L122" s="5">
        <v>329</v>
      </c>
      <c r="M122" s="1">
        <v>44317</v>
      </c>
      <c r="N122" s="1">
        <v>45160</v>
      </c>
      <c r="O122">
        <v>100</v>
      </c>
      <c r="Q122">
        <v>200</v>
      </c>
      <c r="R122">
        <v>200</v>
      </c>
      <c r="S122">
        <v>140</v>
      </c>
      <c r="T122">
        <v>29</v>
      </c>
      <c r="U122">
        <v>19</v>
      </c>
    </row>
    <row r="123" spans="2:21" hidden="1" x14ac:dyDescent="0.25">
      <c r="B123" s="6" t="s">
        <v>237</v>
      </c>
      <c r="C123" s="6" t="s">
        <v>241</v>
      </c>
      <c r="D123" s="6" t="s">
        <v>242</v>
      </c>
      <c r="E123" s="6" t="s">
        <v>239</v>
      </c>
      <c r="F123" s="6">
        <v>43.469451999999997</v>
      </c>
      <c r="G123" s="6">
        <v>-98.025881999999996</v>
      </c>
      <c r="H123" s="6" t="s">
        <v>64</v>
      </c>
      <c r="I123" s="4">
        <v>2021014</v>
      </c>
      <c r="J123" t="s">
        <v>56</v>
      </c>
      <c r="K123" t="s">
        <v>57</v>
      </c>
      <c r="L123" s="5">
        <v>340</v>
      </c>
      <c r="M123" s="1">
        <v>44417</v>
      </c>
      <c r="N123" s="1">
        <v>44550</v>
      </c>
      <c r="O123">
        <v>100</v>
      </c>
      <c r="S123">
        <v>323</v>
      </c>
      <c r="T123">
        <v>107</v>
      </c>
      <c r="U123">
        <v>74</v>
      </c>
    </row>
    <row r="124" spans="2:21" hidden="1" x14ac:dyDescent="0.25">
      <c r="B124" s="6" t="s">
        <v>237</v>
      </c>
      <c r="C124" s="6" t="s">
        <v>241</v>
      </c>
      <c r="D124" s="6" t="s">
        <v>242</v>
      </c>
      <c r="E124" s="6" t="s">
        <v>239</v>
      </c>
      <c r="F124" s="6">
        <v>43.469451999999997</v>
      </c>
      <c r="G124" s="6">
        <v>-98.025881999999996</v>
      </c>
      <c r="H124" s="6" t="s">
        <v>64</v>
      </c>
      <c r="I124" s="4">
        <v>202201</v>
      </c>
      <c r="J124" t="s">
        <v>54</v>
      </c>
      <c r="K124" t="s">
        <v>55</v>
      </c>
      <c r="L124" s="5">
        <v>329</v>
      </c>
      <c r="M124" s="1">
        <v>44774</v>
      </c>
      <c r="N124" s="1">
        <v>44845</v>
      </c>
      <c r="O124">
        <v>100</v>
      </c>
      <c r="S124">
        <v>196</v>
      </c>
      <c r="T124">
        <v>39</v>
      </c>
      <c r="U124">
        <v>26</v>
      </c>
    </row>
    <row r="125" spans="2:21" hidden="1" x14ac:dyDescent="0.25">
      <c r="B125" s="8" t="s">
        <v>237</v>
      </c>
      <c r="C125" s="8" t="s">
        <v>241</v>
      </c>
      <c r="D125" s="8" t="s">
        <v>242</v>
      </c>
      <c r="E125" s="8" t="s">
        <v>239</v>
      </c>
      <c r="F125" s="8">
        <v>43.469451999999997</v>
      </c>
      <c r="G125" s="8">
        <v>-98.025881999999996</v>
      </c>
      <c r="H125" s="8" t="s">
        <v>64</v>
      </c>
      <c r="I125" s="10">
        <v>202201</v>
      </c>
      <c r="J125" s="11" t="s">
        <v>56</v>
      </c>
      <c r="K125" s="11" t="s">
        <v>57</v>
      </c>
      <c r="L125" s="12">
        <v>340</v>
      </c>
      <c r="M125" s="13">
        <v>44774</v>
      </c>
      <c r="N125" s="13">
        <v>44805</v>
      </c>
      <c r="O125" s="11">
        <v>100</v>
      </c>
      <c r="P125" s="11"/>
      <c r="Q125" s="11"/>
      <c r="R125" s="11"/>
      <c r="S125" s="11">
        <v>446</v>
      </c>
      <c r="T125" s="11">
        <v>147</v>
      </c>
      <c r="U125" s="11">
        <v>101</v>
      </c>
    </row>
    <row r="126" spans="2:21" hidden="1" x14ac:dyDescent="0.25">
      <c r="B126" s="20" t="s">
        <v>243</v>
      </c>
      <c r="C126" s="20" t="s">
        <v>244</v>
      </c>
      <c r="D126" s="20" t="s">
        <v>245</v>
      </c>
      <c r="E126" s="20" t="s">
        <v>52</v>
      </c>
      <c r="F126" s="20">
        <v>44.482517999999999</v>
      </c>
      <c r="G126" s="20">
        <v>-97.967359000000002</v>
      </c>
      <c r="H126" s="20" t="s">
        <v>246</v>
      </c>
      <c r="I126" s="4" t="s">
        <v>247</v>
      </c>
      <c r="J126" t="s">
        <v>83</v>
      </c>
      <c r="K126" t="s">
        <v>84</v>
      </c>
      <c r="L126" s="5">
        <v>328</v>
      </c>
      <c r="M126" s="1">
        <v>44703</v>
      </c>
      <c r="N126" s="1">
        <v>44879</v>
      </c>
      <c r="O126">
        <v>202</v>
      </c>
      <c r="Q126">
        <v>606</v>
      </c>
      <c r="R126">
        <v>202</v>
      </c>
    </row>
    <row r="127" spans="2:21" hidden="1" x14ac:dyDescent="0.25">
      <c r="B127" s="6" t="s">
        <v>243</v>
      </c>
      <c r="C127" s="6" t="s">
        <v>244</v>
      </c>
      <c r="D127" s="6" t="s">
        <v>245</v>
      </c>
      <c r="E127" s="6" t="s">
        <v>52</v>
      </c>
      <c r="F127" s="6">
        <v>44.482517999999999</v>
      </c>
      <c r="G127" s="6">
        <v>-97.967359000000002</v>
      </c>
      <c r="H127" s="6" t="s">
        <v>246</v>
      </c>
      <c r="I127" s="4" t="s">
        <v>247</v>
      </c>
      <c r="J127" t="s">
        <v>54</v>
      </c>
      <c r="K127" t="s">
        <v>55</v>
      </c>
      <c r="L127" s="5">
        <v>329</v>
      </c>
      <c r="M127" s="1">
        <v>44703</v>
      </c>
      <c r="N127" s="1">
        <v>44879</v>
      </c>
      <c r="O127">
        <v>202</v>
      </c>
      <c r="S127">
        <v>303</v>
      </c>
      <c r="T127">
        <v>43</v>
      </c>
      <c r="U127">
        <v>23</v>
      </c>
    </row>
    <row r="128" spans="2:21" hidden="1" x14ac:dyDescent="0.25">
      <c r="B128" s="6" t="s">
        <v>243</v>
      </c>
      <c r="C128" s="6" t="s">
        <v>244</v>
      </c>
      <c r="D128" s="6" t="s">
        <v>245</v>
      </c>
      <c r="E128" s="6" t="s">
        <v>52</v>
      </c>
      <c r="F128" s="6">
        <v>44.482517999999999</v>
      </c>
      <c r="G128" s="6">
        <v>-97.967359000000002</v>
      </c>
      <c r="H128" s="6" t="s">
        <v>246</v>
      </c>
      <c r="I128" s="4" t="s">
        <v>247</v>
      </c>
      <c r="J128" t="s">
        <v>56</v>
      </c>
      <c r="K128" t="s">
        <v>57</v>
      </c>
      <c r="L128" s="5">
        <v>340</v>
      </c>
      <c r="M128" s="1">
        <v>44760</v>
      </c>
      <c r="N128" s="1">
        <v>44879</v>
      </c>
      <c r="O128">
        <v>202</v>
      </c>
      <c r="S128">
        <v>496</v>
      </c>
      <c r="T128">
        <v>138</v>
      </c>
      <c r="U128">
        <v>79</v>
      </c>
    </row>
    <row r="129" spans="2:21" hidden="1" x14ac:dyDescent="0.25">
      <c r="B129" s="6" t="s">
        <v>243</v>
      </c>
      <c r="C129" s="6" t="s">
        <v>244</v>
      </c>
      <c r="D129" s="6" t="s">
        <v>245</v>
      </c>
      <c r="E129" s="6" t="s">
        <v>52</v>
      </c>
      <c r="F129" s="6">
        <v>44.482517999999999</v>
      </c>
      <c r="G129" s="6">
        <v>-97.967359000000002</v>
      </c>
      <c r="H129" s="6" t="s">
        <v>246</v>
      </c>
      <c r="I129" s="4" t="s">
        <v>247</v>
      </c>
      <c r="J129" t="s">
        <v>105</v>
      </c>
      <c r="K129" t="s">
        <v>59</v>
      </c>
      <c r="L129" s="5">
        <v>556</v>
      </c>
      <c r="M129" s="1">
        <v>44703</v>
      </c>
      <c r="N129" s="1">
        <v>44879</v>
      </c>
      <c r="O129">
        <v>202</v>
      </c>
    </row>
    <row r="130" spans="2:21" x14ac:dyDescent="0.25">
      <c r="B130" s="6" t="s">
        <v>243</v>
      </c>
      <c r="C130" s="6" t="s">
        <v>244</v>
      </c>
      <c r="D130" s="6" t="s">
        <v>245</v>
      </c>
      <c r="E130" s="6" t="s">
        <v>52</v>
      </c>
      <c r="F130" s="6">
        <v>44.482517999999999</v>
      </c>
      <c r="G130" s="6">
        <v>-97.967359000000002</v>
      </c>
      <c r="H130" s="6" t="s">
        <v>246</v>
      </c>
      <c r="I130" s="4" t="s">
        <v>162</v>
      </c>
      <c r="J130" t="s">
        <v>83</v>
      </c>
      <c r="K130" t="s">
        <v>84</v>
      </c>
      <c r="L130" s="5">
        <v>328</v>
      </c>
      <c r="M130" s="1">
        <v>45082</v>
      </c>
      <c r="N130" s="1">
        <v>45154</v>
      </c>
      <c r="O130">
        <v>202</v>
      </c>
    </row>
    <row r="131" spans="2:21" x14ac:dyDescent="0.25">
      <c r="B131" s="6" t="s">
        <v>243</v>
      </c>
      <c r="C131" s="6" t="s">
        <v>244</v>
      </c>
      <c r="D131" s="6" t="s">
        <v>245</v>
      </c>
      <c r="E131" s="6" t="s">
        <v>52</v>
      </c>
      <c r="F131" s="6">
        <v>44.482517999999999</v>
      </c>
      <c r="G131" s="6">
        <v>-97.967359000000002</v>
      </c>
      <c r="H131" s="6" t="s">
        <v>246</v>
      </c>
      <c r="I131" s="4" t="s">
        <v>162</v>
      </c>
      <c r="J131" t="s">
        <v>54</v>
      </c>
      <c r="K131" t="s">
        <v>55</v>
      </c>
      <c r="L131" s="5">
        <v>329</v>
      </c>
      <c r="M131" s="1">
        <v>45082</v>
      </c>
      <c r="N131" s="1">
        <v>45148</v>
      </c>
      <c r="O131">
        <v>202</v>
      </c>
      <c r="S131">
        <v>473</v>
      </c>
      <c r="T131">
        <v>100</v>
      </c>
      <c r="U131">
        <v>51</v>
      </c>
    </row>
    <row r="132" spans="2:21" x14ac:dyDescent="0.25">
      <c r="B132" s="8" t="s">
        <v>243</v>
      </c>
      <c r="C132" s="8" t="s">
        <v>244</v>
      </c>
      <c r="D132" s="8" t="s">
        <v>245</v>
      </c>
      <c r="E132" s="8" t="s">
        <v>52</v>
      </c>
      <c r="F132" s="8">
        <v>44.482517999999999</v>
      </c>
      <c r="G132" s="8">
        <v>-97.967359000000002</v>
      </c>
      <c r="H132" s="8" t="s">
        <v>246</v>
      </c>
      <c r="I132" s="10" t="s">
        <v>162</v>
      </c>
      <c r="J132" s="11" t="s">
        <v>54</v>
      </c>
      <c r="K132" s="11" t="s">
        <v>55</v>
      </c>
      <c r="L132" s="12">
        <v>329</v>
      </c>
      <c r="M132" s="13">
        <v>45124</v>
      </c>
      <c r="N132" s="13">
        <v>45143</v>
      </c>
      <c r="O132" s="11">
        <v>202</v>
      </c>
      <c r="P132" s="11"/>
      <c r="Q132" s="11"/>
      <c r="R132" s="11"/>
      <c r="S132" s="11">
        <v>539</v>
      </c>
      <c r="T132" s="11">
        <v>148</v>
      </c>
      <c r="U132" s="11">
        <v>77</v>
      </c>
    </row>
    <row r="133" spans="2:21" hidden="1" x14ac:dyDescent="0.25">
      <c r="B133" s="20" t="s">
        <v>248</v>
      </c>
      <c r="C133" s="20" t="s">
        <v>50</v>
      </c>
      <c r="D133" s="20" t="s">
        <v>249</v>
      </c>
      <c r="E133" s="20" t="s">
        <v>250</v>
      </c>
      <c r="F133" s="20">
        <v>43.163657999999998</v>
      </c>
      <c r="G133" s="20">
        <v>-97.874202999999994</v>
      </c>
      <c r="H133" s="20" t="s">
        <v>64</v>
      </c>
      <c r="I133" s="4" t="s">
        <v>251</v>
      </c>
      <c r="J133" t="s">
        <v>54</v>
      </c>
      <c r="K133" t="s">
        <v>55</v>
      </c>
      <c r="L133" s="5">
        <v>329</v>
      </c>
      <c r="M133" s="1">
        <v>44682</v>
      </c>
      <c r="N133" s="1">
        <v>44844</v>
      </c>
      <c r="O133">
        <v>0</v>
      </c>
      <c r="P133" t="s">
        <v>145</v>
      </c>
      <c r="Q133">
        <v>84</v>
      </c>
      <c r="R133">
        <v>84</v>
      </c>
      <c r="S133">
        <v>66</v>
      </c>
      <c r="T133">
        <v>16</v>
      </c>
      <c r="U133">
        <v>11</v>
      </c>
    </row>
    <row r="134" spans="2:21" hidden="1" x14ac:dyDescent="0.25">
      <c r="B134" s="6" t="s">
        <v>248</v>
      </c>
      <c r="C134" s="6" t="s">
        <v>50</v>
      </c>
      <c r="D134" s="6" t="s">
        <v>249</v>
      </c>
      <c r="E134" s="6" t="s">
        <v>250</v>
      </c>
      <c r="F134" s="6">
        <v>43.163657999999998</v>
      </c>
      <c r="G134" s="6">
        <v>-97.874202999999994</v>
      </c>
      <c r="H134" s="6" t="s">
        <v>64</v>
      </c>
      <c r="I134" s="4" t="s">
        <v>251</v>
      </c>
      <c r="J134" t="s">
        <v>56</v>
      </c>
      <c r="K134" t="s">
        <v>57</v>
      </c>
      <c r="L134" s="5">
        <v>340</v>
      </c>
      <c r="M134" s="1">
        <v>44655</v>
      </c>
      <c r="N134" s="1">
        <v>44795</v>
      </c>
      <c r="O134">
        <v>0</v>
      </c>
      <c r="P134" t="s">
        <v>145</v>
      </c>
      <c r="S134">
        <v>163</v>
      </c>
      <c r="T134">
        <v>56</v>
      </c>
      <c r="U134">
        <v>41</v>
      </c>
    </row>
    <row r="135" spans="2:21" hidden="1" x14ac:dyDescent="0.25">
      <c r="B135" s="6" t="s">
        <v>248</v>
      </c>
      <c r="C135" s="6" t="s">
        <v>50</v>
      </c>
      <c r="D135" s="6" t="s">
        <v>249</v>
      </c>
      <c r="E135" s="6" t="s">
        <v>250</v>
      </c>
      <c r="F135" s="6">
        <v>43.163657999999998</v>
      </c>
      <c r="G135" s="6">
        <v>-97.874202999999994</v>
      </c>
      <c r="H135" s="6" t="s">
        <v>64</v>
      </c>
      <c r="I135" s="4" t="s">
        <v>251</v>
      </c>
      <c r="J135" t="s">
        <v>132</v>
      </c>
      <c r="K135" t="s">
        <v>133</v>
      </c>
      <c r="M135" s="1">
        <v>44655</v>
      </c>
      <c r="N135" s="1">
        <v>44713</v>
      </c>
      <c r="O135">
        <v>2.68</v>
      </c>
    </row>
    <row r="136" spans="2:21" x14ac:dyDescent="0.25">
      <c r="B136" s="6" t="s">
        <v>248</v>
      </c>
      <c r="C136" s="6" t="s">
        <v>50</v>
      </c>
      <c r="D136" s="6" t="s">
        <v>249</v>
      </c>
      <c r="E136" s="6" t="s">
        <v>250</v>
      </c>
      <c r="F136" s="6">
        <v>43.163657999999998</v>
      </c>
      <c r="G136" s="6">
        <v>-97.874202999999994</v>
      </c>
      <c r="H136" s="6" t="s">
        <v>64</v>
      </c>
      <c r="I136" s="4" t="s">
        <v>252</v>
      </c>
      <c r="J136" t="s">
        <v>54</v>
      </c>
      <c r="K136" t="s">
        <v>55</v>
      </c>
      <c r="L136" s="5">
        <v>329</v>
      </c>
      <c r="M136" s="1">
        <v>45017</v>
      </c>
      <c r="N136" s="1">
        <v>45083</v>
      </c>
      <c r="O136">
        <v>0</v>
      </c>
      <c r="P136" t="s">
        <v>145</v>
      </c>
      <c r="S136">
        <v>100</v>
      </c>
      <c r="T136">
        <v>35</v>
      </c>
      <c r="U136">
        <v>24</v>
      </c>
    </row>
    <row r="137" spans="2:21" x14ac:dyDescent="0.25">
      <c r="B137" s="6" t="s">
        <v>248</v>
      </c>
      <c r="C137" s="6" t="s">
        <v>50</v>
      </c>
      <c r="D137" s="6" t="s">
        <v>249</v>
      </c>
      <c r="E137" s="6" t="s">
        <v>250</v>
      </c>
      <c r="F137" s="6">
        <v>43.163657999999998</v>
      </c>
      <c r="G137" s="6">
        <v>-97.874202999999994</v>
      </c>
      <c r="H137" s="6" t="s">
        <v>64</v>
      </c>
      <c r="I137" s="4" t="s">
        <v>252</v>
      </c>
      <c r="J137" t="s">
        <v>132</v>
      </c>
      <c r="K137" t="s">
        <v>133</v>
      </c>
      <c r="M137" s="1">
        <v>45017</v>
      </c>
      <c r="N137" s="1">
        <v>45077</v>
      </c>
      <c r="O137">
        <v>2.68</v>
      </c>
      <c r="S137">
        <v>342</v>
      </c>
      <c r="T137">
        <v>117</v>
      </c>
      <c r="U137">
        <v>85</v>
      </c>
    </row>
    <row r="138" spans="2:21" x14ac:dyDescent="0.25">
      <c r="B138" s="6" t="s">
        <v>248</v>
      </c>
      <c r="C138" s="6" t="s">
        <v>50</v>
      </c>
      <c r="D138" s="6" t="s">
        <v>249</v>
      </c>
      <c r="E138" s="6" t="s">
        <v>250</v>
      </c>
      <c r="F138" s="6">
        <v>43.157899</v>
      </c>
      <c r="G138" s="6">
        <v>-97.895435000000006</v>
      </c>
      <c r="H138" s="6" t="s">
        <v>64</v>
      </c>
      <c r="I138" s="4" t="s">
        <v>253</v>
      </c>
      <c r="J138" t="s">
        <v>83</v>
      </c>
      <c r="K138" t="s">
        <v>84</v>
      </c>
      <c r="L138" s="5">
        <v>328</v>
      </c>
      <c r="M138" s="1">
        <v>45413</v>
      </c>
      <c r="N138" s="1">
        <v>45600</v>
      </c>
      <c r="O138">
        <v>84</v>
      </c>
    </row>
    <row r="139" spans="2:21" x14ac:dyDescent="0.25">
      <c r="B139" s="6" t="s">
        <v>248</v>
      </c>
      <c r="C139" s="6" t="s">
        <v>50</v>
      </c>
      <c r="D139" s="6" t="s">
        <v>249</v>
      </c>
      <c r="E139" s="6" t="s">
        <v>250</v>
      </c>
      <c r="F139" s="6">
        <v>43.157899</v>
      </c>
      <c r="G139" s="6">
        <v>-97.895435000000006</v>
      </c>
      <c r="H139" s="6" t="s">
        <v>64</v>
      </c>
      <c r="I139" s="4" t="s">
        <v>253</v>
      </c>
      <c r="J139" t="s">
        <v>54</v>
      </c>
      <c r="K139" t="s">
        <v>55</v>
      </c>
      <c r="L139" s="5">
        <v>329</v>
      </c>
      <c r="M139" s="1">
        <v>45433</v>
      </c>
      <c r="N139" s="1">
        <v>45600</v>
      </c>
      <c r="O139">
        <v>84</v>
      </c>
      <c r="S139">
        <v>296</v>
      </c>
      <c r="T139">
        <v>69</v>
      </c>
      <c r="U139">
        <v>48</v>
      </c>
    </row>
    <row r="140" spans="2:21" x14ac:dyDescent="0.25">
      <c r="B140" s="8" t="s">
        <v>248</v>
      </c>
      <c r="C140" s="8" t="s">
        <v>50</v>
      </c>
      <c r="D140" s="8" t="s">
        <v>249</v>
      </c>
      <c r="E140" s="8" t="s">
        <v>250</v>
      </c>
      <c r="F140" s="8">
        <v>43.157899</v>
      </c>
      <c r="G140" s="8">
        <v>-97.895435000000006</v>
      </c>
      <c r="H140" s="8" t="s">
        <v>64</v>
      </c>
      <c r="I140" s="10" t="s">
        <v>253</v>
      </c>
      <c r="J140" s="11" t="s">
        <v>56</v>
      </c>
      <c r="K140" s="11" t="s">
        <v>57</v>
      </c>
      <c r="L140" s="12">
        <v>340</v>
      </c>
      <c r="M140" s="13">
        <v>45433</v>
      </c>
      <c r="N140" s="13">
        <v>45600</v>
      </c>
      <c r="O140" s="11">
        <v>84</v>
      </c>
      <c r="P140" s="11"/>
      <c r="Q140" s="11"/>
      <c r="R140" s="11"/>
      <c r="S140" s="11">
        <v>756</v>
      </c>
      <c r="T140" s="11">
        <v>260</v>
      </c>
      <c r="U140" s="11">
        <v>189</v>
      </c>
    </row>
    <row r="141" spans="2:21" hidden="1" x14ac:dyDescent="0.25">
      <c r="B141" s="20" t="s">
        <v>254</v>
      </c>
      <c r="C141" s="20" t="s">
        <v>255</v>
      </c>
      <c r="D141" s="20" t="s">
        <v>256</v>
      </c>
      <c r="E141" s="20" t="s">
        <v>257</v>
      </c>
      <c r="F141" s="20">
        <v>43.980998999999997</v>
      </c>
      <c r="G141" s="20">
        <v>-96.686104999999998</v>
      </c>
      <c r="H141" s="20" t="s">
        <v>258</v>
      </c>
      <c r="I141" s="4" t="s">
        <v>259</v>
      </c>
      <c r="J141" t="s">
        <v>54</v>
      </c>
      <c r="K141" t="s">
        <v>55</v>
      </c>
      <c r="L141" s="5">
        <v>329</v>
      </c>
      <c r="M141" s="1">
        <v>44682</v>
      </c>
      <c r="N141" s="1">
        <v>44875</v>
      </c>
      <c r="O141">
        <v>0</v>
      </c>
      <c r="P141" t="s">
        <v>145</v>
      </c>
      <c r="S141">
        <v>83</v>
      </c>
      <c r="T141">
        <v>16</v>
      </c>
      <c r="U141">
        <v>11</v>
      </c>
    </row>
    <row r="142" spans="2:21" hidden="1" x14ac:dyDescent="0.25">
      <c r="B142" s="8" t="s">
        <v>254</v>
      </c>
      <c r="C142" s="8" t="s">
        <v>255</v>
      </c>
      <c r="D142" s="8" t="s">
        <v>256</v>
      </c>
      <c r="E142" s="8" t="s">
        <v>257</v>
      </c>
      <c r="F142" s="8">
        <v>43.980998999999997</v>
      </c>
      <c r="G142" s="8">
        <v>-96.686104999999998</v>
      </c>
      <c r="H142" s="8" t="s">
        <v>258</v>
      </c>
      <c r="I142" s="10" t="s">
        <v>259</v>
      </c>
      <c r="J142" s="11" t="s">
        <v>56</v>
      </c>
      <c r="K142" s="11" t="s">
        <v>57</v>
      </c>
      <c r="L142" s="12">
        <v>340</v>
      </c>
      <c r="M142" s="13">
        <v>44713</v>
      </c>
      <c r="N142" s="13">
        <v>44858</v>
      </c>
      <c r="O142" s="11">
        <v>0</v>
      </c>
      <c r="P142" s="11" t="s">
        <v>145</v>
      </c>
      <c r="Q142" s="11"/>
      <c r="R142" s="11"/>
      <c r="S142" s="11">
        <v>170</v>
      </c>
      <c r="T142" s="11">
        <v>54</v>
      </c>
      <c r="U142" s="11">
        <v>37</v>
      </c>
    </row>
    <row r="143" spans="2:21" hidden="1" x14ac:dyDescent="0.25">
      <c r="B143" s="20" t="s">
        <v>260</v>
      </c>
      <c r="C143" s="20" t="s">
        <v>261</v>
      </c>
      <c r="D143" s="20" t="s">
        <v>262</v>
      </c>
      <c r="E143" s="20" t="s">
        <v>263</v>
      </c>
      <c r="F143" s="20">
        <v>44.042935</v>
      </c>
      <c r="G143" s="20">
        <v>-97.576173999999995</v>
      </c>
      <c r="H143" s="20" t="s">
        <v>189</v>
      </c>
      <c r="I143" s="4" t="s">
        <v>264</v>
      </c>
      <c r="J143" t="s">
        <v>54</v>
      </c>
      <c r="K143" t="s">
        <v>55</v>
      </c>
      <c r="L143" s="5">
        <v>329</v>
      </c>
      <c r="M143" s="1">
        <v>44682</v>
      </c>
      <c r="N143" s="1">
        <v>44875</v>
      </c>
      <c r="O143">
        <v>0</v>
      </c>
      <c r="P143" t="s">
        <v>145</v>
      </c>
      <c r="S143">
        <v>317</v>
      </c>
      <c r="T143">
        <v>46</v>
      </c>
      <c r="U143">
        <v>24</v>
      </c>
    </row>
    <row r="144" spans="2:21" hidden="1" x14ac:dyDescent="0.25">
      <c r="B144" s="8" t="s">
        <v>260</v>
      </c>
      <c r="C144" s="8" t="s">
        <v>261</v>
      </c>
      <c r="D144" s="8" t="s">
        <v>262</v>
      </c>
      <c r="E144" s="8" t="s">
        <v>263</v>
      </c>
      <c r="F144" s="8">
        <v>44.042935</v>
      </c>
      <c r="G144" s="8">
        <v>-97.576173999999995</v>
      </c>
      <c r="H144" s="8" t="s">
        <v>189</v>
      </c>
      <c r="I144" s="10" t="s">
        <v>264</v>
      </c>
      <c r="J144" s="11" t="s">
        <v>56</v>
      </c>
      <c r="K144" s="11" t="s">
        <v>57</v>
      </c>
      <c r="L144" s="12">
        <v>340</v>
      </c>
      <c r="M144" s="13">
        <v>44759</v>
      </c>
      <c r="N144" s="13">
        <v>44867</v>
      </c>
      <c r="O144" s="11">
        <v>0</v>
      </c>
      <c r="P144" s="11" t="s">
        <v>145</v>
      </c>
      <c r="Q144" s="11"/>
      <c r="R144" s="11"/>
      <c r="S144" s="11">
        <v>524</v>
      </c>
      <c r="T144" s="11">
        <v>147</v>
      </c>
      <c r="U144" s="11">
        <v>85</v>
      </c>
    </row>
    <row r="145" spans="2:21" hidden="1" x14ac:dyDescent="0.25">
      <c r="B145" s="20" t="s">
        <v>265</v>
      </c>
      <c r="C145" s="20" t="s">
        <v>266</v>
      </c>
      <c r="D145" s="20" t="s">
        <v>267</v>
      </c>
      <c r="E145" s="20" t="s">
        <v>268</v>
      </c>
      <c r="F145" s="20">
        <v>43.289501999999999</v>
      </c>
      <c r="G145" s="20">
        <v>-98.992805000000004</v>
      </c>
      <c r="H145" s="20" t="s">
        <v>269</v>
      </c>
      <c r="I145" s="4" t="s">
        <v>270</v>
      </c>
      <c r="J145" t="s">
        <v>54</v>
      </c>
      <c r="K145" t="s">
        <v>55</v>
      </c>
      <c r="L145" s="5">
        <v>329</v>
      </c>
      <c r="M145" s="1">
        <v>44682</v>
      </c>
      <c r="N145" s="1">
        <v>44875</v>
      </c>
      <c r="O145">
        <v>0</v>
      </c>
      <c r="P145" t="s">
        <v>145</v>
      </c>
      <c r="S145">
        <v>596</v>
      </c>
      <c r="T145">
        <v>124</v>
      </c>
      <c r="U145">
        <v>83</v>
      </c>
    </row>
    <row r="146" spans="2:21" hidden="1" x14ac:dyDescent="0.25">
      <c r="B146" s="6" t="s">
        <v>265</v>
      </c>
      <c r="C146" s="6" t="s">
        <v>266</v>
      </c>
      <c r="D146" s="6" t="s">
        <v>267</v>
      </c>
      <c r="E146" s="6" t="s">
        <v>268</v>
      </c>
      <c r="F146" s="6">
        <v>43.289501999999999</v>
      </c>
      <c r="G146" s="6">
        <v>-98.992805000000004</v>
      </c>
      <c r="H146" s="6" t="s">
        <v>269</v>
      </c>
      <c r="I146" s="4" t="s">
        <v>270</v>
      </c>
      <c r="J146" t="s">
        <v>56</v>
      </c>
      <c r="K146" t="s">
        <v>57</v>
      </c>
      <c r="L146" s="5">
        <v>340</v>
      </c>
      <c r="M146" s="1">
        <v>44753</v>
      </c>
      <c r="N146" s="1">
        <v>44928</v>
      </c>
      <c r="O146">
        <v>0</v>
      </c>
      <c r="P146" t="s">
        <v>145</v>
      </c>
      <c r="S146">
        <v>1270</v>
      </c>
      <c r="T146">
        <v>413</v>
      </c>
      <c r="U146">
        <v>287</v>
      </c>
    </row>
    <row r="147" spans="2:21" hidden="1" x14ac:dyDescent="0.25">
      <c r="B147" s="8" t="s">
        <v>265</v>
      </c>
      <c r="C147" s="8" t="s">
        <v>266</v>
      </c>
      <c r="D147" s="8" t="s">
        <v>267</v>
      </c>
      <c r="E147" s="8" t="s">
        <v>268</v>
      </c>
      <c r="F147" s="8">
        <v>43.289501999999999</v>
      </c>
      <c r="G147" s="8">
        <v>-98.992805000000004</v>
      </c>
      <c r="H147" s="8" t="s">
        <v>269</v>
      </c>
      <c r="I147" s="10" t="s">
        <v>270</v>
      </c>
      <c r="J147" s="11" t="s">
        <v>105</v>
      </c>
      <c r="K147" s="11" t="s">
        <v>59</v>
      </c>
      <c r="L147" s="12">
        <v>556</v>
      </c>
      <c r="M147" s="13">
        <v>44682</v>
      </c>
      <c r="N147" s="13">
        <v>44875</v>
      </c>
      <c r="O147" s="11">
        <v>0</v>
      </c>
      <c r="P147" s="11" t="s">
        <v>145</v>
      </c>
      <c r="Q147" s="11"/>
      <c r="R147" s="11"/>
      <c r="S147" s="11"/>
      <c r="T147" s="11"/>
      <c r="U147" s="11"/>
    </row>
    <row r="148" spans="2:21" hidden="1" x14ac:dyDescent="0.25">
      <c r="B148" s="20" t="s">
        <v>271</v>
      </c>
      <c r="C148" s="20" t="s">
        <v>272</v>
      </c>
      <c r="D148" s="20" t="s">
        <v>273</v>
      </c>
      <c r="E148" s="20" t="s">
        <v>274</v>
      </c>
      <c r="F148" s="20">
        <v>45.244373000000003</v>
      </c>
      <c r="G148" s="20">
        <v>-96.858258000000006</v>
      </c>
      <c r="H148" s="20" t="s">
        <v>275</v>
      </c>
      <c r="I148" s="4">
        <v>2021003</v>
      </c>
      <c r="J148" t="s">
        <v>54</v>
      </c>
      <c r="K148" t="s">
        <v>55</v>
      </c>
      <c r="L148" s="5">
        <v>329</v>
      </c>
      <c r="M148" s="1">
        <v>44409</v>
      </c>
      <c r="N148" s="1">
        <v>44454</v>
      </c>
      <c r="O148">
        <v>120</v>
      </c>
      <c r="Q148">
        <v>255</v>
      </c>
      <c r="R148">
        <v>135</v>
      </c>
      <c r="S148">
        <v>221</v>
      </c>
      <c r="T148">
        <v>44</v>
      </c>
      <c r="U148">
        <v>29</v>
      </c>
    </row>
    <row r="149" spans="2:21" hidden="1" x14ac:dyDescent="0.25">
      <c r="B149" s="6" t="s">
        <v>271</v>
      </c>
      <c r="C149" s="6" t="s">
        <v>272</v>
      </c>
      <c r="D149" s="6" t="s">
        <v>273</v>
      </c>
      <c r="E149" s="6" t="s">
        <v>274</v>
      </c>
      <c r="F149" s="6">
        <v>45.271711000000003</v>
      </c>
      <c r="G149" s="6">
        <v>-96.847289000000004</v>
      </c>
      <c r="H149" s="6" t="s">
        <v>275</v>
      </c>
      <c r="I149" s="4">
        <v>2021003</v>
      </c>
      <c r="J149" t="s">
        <v>54</v>
      </c>
      <c r="K149" t="s">
        <v>55</v>
      </c>
      <c r="L149" s="5">
        <v>329</v>
      </c>
      <c r="M149" s="1">
        <v>44409</v>
      </c>
      <c r="N149" s="1">
        <v>44423</v>
      </c>
      <c r="O149">
        <v>135</v>
      </c>
      <c r="S149">
        <v>247</v>
      </c>
      <c r="T149">
        <v>49</v>
      </c>
      <c r="U149">
        <v>32</v>
      </c>
    </row>
    <row r="150" spans="2:21" hidden="1" x14ac:dyDescent="0.25">
      <c r="B150" s="6" t="s">
        <v>271</v>
      </c>
      <c r="C150" s="6" t="s">
        <v>272</v>
      </c>
      <c r="D150" s="6" t="s">
        <v>273</v>
      </c>
      <c r="E150" s="6" t="s">
        <v>274</v>
      </c>
      <c r="F150" s="6">
        <v>45.244373000000003</v>
      </c>
      <c r="G150" s="6">
        <v>-96.858258000000006</v>
      </c>
      <c r="H150" s="6" t="s">
        <v>275</v>
      </c>
      <c r="I150" s="4">
        <v>2021003</v>
      </c>
      <c r="J150" t="s">
        <v>56</v>
      </c>
      <c r="K150" t="s">
        <v>57</v>
      </c>
      <c r="L150" s="5">
        <v>340</v>
      </c>
      <c r="M150" s="1">
        <v>44378</v>
      </c>
      <c r="N150" s="1">
        <v>44392</v>
      </c>
      <c r="O150">
        <v>120</v>
      </c>
      <c r="S150">
        <v>457</v>
      </c>
      <c r="T150">
        <v>146</v>
      </c>
      <c r="U150">
        <v>100</v>
      </c>
    </row>
    <row r="151" spans="2:21" hidden="1" x14ac:dyDescent="0.25">
      <c r="B151" s="6" t="s">
        <v>271</v>
      </c>
      <c r="C151" s="6" t="s">
        <v>272</v>
      </c>
      <c r="D151" s="6" t="s">
        <v>273</v>
      </c>
      <c r="E151" s="6" t="s">
        <v>274</v>
      </c>
      <c r="F151" s="6">
        <v>45.271711000000003</v>
      </c>
      <c r="G151" s="6">
        <v>-96.847289000000004</v>
      </c>
      <c r="H151" s="6" t="s">
        <v>275</v>
      </c>
      <c r="I151" s="4">
        <v>2021003</v>
      </c>
      <c r="J151" t="s">
        <v>56</v>
      </c>
      <c r="K151" t="s">
        <v>57</v>
      </c>
      <c r="L151" s="5">
        <v>240</v>
      </c>
      <c r="M151" s="1">
        <v>44378</v>
      </c>
      <c r="N151" s="1">
        <v>44386</v>
      </c>
      <c r="O151">
        <v>135</v>
      </c>
      <c r="S151">
        <v>509</v>
      </c>
      <c r="T151">
        <v>136</v>
      </c>
      <c r="U151">
        <v>111</v>
      </c>
    </row>
    <row r="152" spans="2:21" hidden="1" x14ac:dyDescent="0.25">
      <c r="B152" s="6" t="s">
        <v>271</v>
      </c>
      <c r="C152" s="6" t="s">
        <v>272</v>
      </c>
      <c r="D152" s="6" t="s">
        <v>273</v>
      </c>
      <c r="E152" s="6" t="s">
        <v>274</v>
      </c>
      <c r="F152" s="6">
        <v>45.244373000000003</v>
      </c>
      <c r="G152" s="6">
        <v>-96.858258000000006</v>
      </c>
      <c r="H152" s="6" t="s">
        <v>275</v>
      </c>
      <c r="I152" s="4">
        <v>2021003</v>
      </c>
      <c r="J152" t="s">
        <v>105</v>
      </c>
      <c r="K152" t="s">
        <v>276</v>
      </c>
      <c r="L152" s="5">
        <v>528</v>
      </c>
      <c r="M152" s="1">
        <v>44440</v>
      </c>
      <c r="N152" s="1">
        <v>44470</v>
      </c>
      <c r="O152">
        <v>120</v>
      </c>
    </row>
    <row r="153" spans="2:21" x14ac:dyDescent="0.25">
      <c r="B153" s="6" t="s">
        <v>271</v>
      </c>
      <c r="C153" s="6" t="s">
        <v>272</v>
      </c>
      <c r="D153" s="6" t="s">
        <v>273</v>
      </c>
      <c r="E153" s="6" t="s">
        <v>274</v>
      </c>
      <c r="F153" s="6">
        <v>45.242403000000003</v>
      </c>
      <c r="G153" s="6">
        <v>-96.899850999999998</v>
      </c>
      <c r="H153" s="6" t="s">
        <v>275</v>
      </c>
      <c r="I153" s="4">
        <v>202401</v>
      </c>
      <c r="J153" t="s">
        <v>54</v>
      </c>
      <c r="K153" t="s">
        <v>55</v>
      </c>
      <c r="L153" s="5">
        <v>329</v>
      </c>
      <c r="M153" s="1">
        <v>45809</v>
      </c>
      <c r="N153" s="1">
        <v>45809</v>
      </c>
      <c r="O153">
        <v>0</v>
      </c>
      <c r="P153" t="s">
        <v>145</v>
      </c>
    </row>
    <row r="154" spans="2:21" x14ac:dyDescent="0.25">
      <c r="B154" s="8" t="s">
        <v>271</v>
      </c>
      <c r="C154" s="8" t="s">
        <v>272</v>
      </c>
      <c r="D154" s="8" t="s">
        <v>273</v>
      </c>
      <c r="E154" s="8" t="s">
        <v>274</v>
      </c>
      <c r="F154" s="8">
        <v>45.242403000000003</v>
      </c>
      <c r="G154" s="8">
        <v>-96.899850999999998</v>
      </c>
      <c r="H154" s="8" t="s">
        <v>275</v>
      </c>
      <c r="I154" s="10">
        <v>202401</v>
      </c>
      <c r="J154" s="11" t="s">
        <v>56</v>
      </c>
      <c r="K154" s="11" t="s">
        <v>57</v>
      </c>
      <c r="L154" s="12">
        <v>340</v>
      </c>
      <c r="M154" s="13">
        <v>45809</v>
      </c>
      <c r="N154" s="13">
        <v>45809</v>
      </c>
      <c r="O154" s="11">
        <v>0</v>
      </c>
      <c r="P154" s="11" t="s">
        <v>145</v>
      </c>
      <c r="Q154" s="11"/>
      <c r="R154" s="11"/>
      <c r="S154" s="11"/>
      <c r="T154" s="11"/>
      <c r="U154" s="11"/>
    </row>
    <row r="155" spans="2:21" hidden="1" x14ac:dyDescent="0.25">
      <c r="B155" s="20" t="s">
        <v>278</v>
      </c>
      <c r="C155" s="20" t="s">
        <v>279</v>
      </c>
      <c r="D155" s="20" t="s">
        <v>280</v>
      </c>
      <c r="E155" s="20" t="s">
        <v>80</v>
      </c>
      <c r="F155" s="20">
        <v>43.737093000000002</v>
      </c>
      <c r="G155" s="20">
        <v>-96.603538</v>
      </c>
      <c r="H155" s="20" t="s">
        <v>281</v>
      </c>
      <c r="I155" s="4" t="s">
        <v>282</v>
      </c>
      <c r="J155" t="s">
        <v>83</v>
      </c>
      <c r="K155" t="s">
        <v>84</v>
      </c>
      <c r="L155" s="5">
        <v>328</v>
      </c>
      <c r="M155" s="1">
        <v>44287</v>
      </c>
      <c r="N155" s="1">
        <v>44409</v>
      </c>
      <c r="O155">
        <v>110</v>
      </c>
      <c r="Q155">
        <v>220</v>
      </c>
      <c r="R155">
        <v>220</v>
      </c>
    </row>
    <row r="156" spans="2:21" hidden="1" x14ac:dyDescent="0.25">
      <c r="B156" s="6" t="s">
        <v>278</v>
      </c>
      <c r="C156" s="6" t="s">
        <v>279</v>
      </c>
      <c r="D156" s="6" t="s">
        <v>280</v>
      </c>
      <c r="E156" s="6" t="s">
        <v>80</v>
      </c>
      <c r="F156" s="6">
        <v>43.737093000000002</v>
      </c>
      <c r="G156" s="6">
        <v>-96.603538</v>
      </c>
      <c r="H156" s="6" t="s">
        <v>281</v>
      </c>
      <c r="I156" s="4" t="s">
        <v>282</v>
      </c>
      <c r="J156" t="s">
        <v>54</v>
      </c>
      <c r="K156" t="s">
        <v>55</v>
      </c>
      <c r="L156" s="5">
        <v>329</v>
      </c>
      <c r="M156" s="1">
        <v>44287</v>
      </c>
      <c r="N156" s="1">
        <v>44409</v>
      </c>
      <c r="O156">
        <v>110</v>
      </c>
      <c r="S156">
        <v>726</v>
      </c>
      <c r="T156">
        <v>138</v>
      </c>
      <c r="U156">
        <v>89</v>
      </c>
    </row>
    <row r="157" spans="2:21" hidden="1" x14ac:dyDescent="0.25">
      <c r="B157" s="6" t="s">
        <v>278</v>
      </c>
      <c r="C157" s="6" t="s">
        <v>279</v>
      </c>
      <c r="D157" s="6" t="s">
        <v>280</v>
      </c>
      <c r="E157" s="6" t="s">
        <v>80</v>
      </c>
      <c r="F157" s="6">
        <v>43.737093000000002</v>
      </c>
      <c r="G157" s="6">
        <v>-96.603538</v>
      </c>
      <c r="H157" s="6" t="s">
        <v>281</v>
      </c>
      <c r="I157" s="4" t="s">
        <v>282</v>
      </c>
      <c r="J157" t="s">
        <v>56</v>
      </c>
      <c r="K157" t="s">
        <v>57</v>
      </c>
      <c r="L157" s="5">
        <v>340</v>
      </c>
      <c r="M157" s="1">
        <v>44291</v>
      </c>
      <c r="N157" s="1">
        <v>44493</v>
      </c>
      <c r="O157">
        <v>110</v>
      </c>
      <c r="S157">
        <v>813</v>
      </c>
      <c r="T157">
        <v>282</v>
      </c>
      <c r="U157">
        <v>209</v>
      </c>
    </row>
    <row r="158" spans="2:21" hidden="1" x14ac:dyDescent="0.25">
      <c r="B158" s="6" t="s">
        <v>278</v>
      </c>
      <c r="C158" s="6" t="s">
        <v>279</v>
      </c>
      <c r="D158" s="6" t="s">
        <v>280</v>
      </c>
      <c r="E158" s="6" t="s">
        <v>80</v>
      </c>
      <c r="F158" s="6">
        <v>43.737093000000002</v>
      </c>
      <c r="G158" s="6">
        <v>-96.603538</v>
      </c>
      <c r="H158" s="6" t="s">
        <v>281</v>
      </c>
      <c r="I158" s="4" t="s">
        <v>283</v>
      </c>
      <c r="J158" t="s">
        <v>54</v>
      </c>
      <c r="K158" t="s">
        <v>55</v>
      </c>
      <c r="L158" s="5">
        <v>329</v>
      </c>
      <c r="M158" s="1">
        <v>44682</v>
      </c>
      <c r="N158" s="1">
        <v>44880</v>
      </c>
      <c r="O158">
        <v>110</v>
      </c>
      <c r="S158">
        <v>1090</v>
      </c>
      <c r="T158">
        <v>208</v>
      </c>
      <c r="U158">
        <v>129</v>
      </c>
    </row>
    <row r="159" spans="2:21" hidden="1" x14ac:dyDescent="0.25">
      <c r="B159" s="6" t="s">
        <v>278</v>
      </c>
      <c r="C159" s="6" t="s">
        <v>279</v>
      </c>
      <c r="D159" s="6" t="s">
        <v>280</v>
      </c>
      <c r="E159" s="6" t="s">
        <v>80</v>
      </c>
      <c r="F159" s="6">
        <v>43.737093000000002</v>
      </c>
      <c r="G159" s="6">
        <v>-96.603538</v>
      </c>
      <c r="H159" s="6" t="s">
        <v>281</v>
      </c>
      <c r="I159" s="4" t="s">
        <v>283</v>
      </c>
      <c r="J159" t="s">
        <v>56</v>
      </c>
      <c r="K159" t="s">
        <v>57</v>
      </c>
      <c r="L159" s="5">
        <v>340</v>
      </c>
      <c r="M159" s="1">
        <v>44682</v>
      </c>
      <c r="N159" s="1">
        <v>44880</v>
      </c>
      <c r="O159">
        <v>110</v>
      </c>
      <c r="S159">
        <v>1005</v>
      </c>
      <c r="T159">
        <v>334</v>
      </c>
      <c r="U159">
        <v>238</v>
      </c>
    </row>
    <row r="160" spans="2:21" hidden="1" x14ac:dyDescent="0.25">
      <c r="B160" s="8" t="s">
        <v>278</v>
      </c>
      <c r="C160" s="8" t="s">
        <v>279</v>
      </c>
      <c r="D160" s="8" t="s">
        <v>280</v>
      </c>
      <c r="E160" s="8" t="s">
        <v>80</v>
      </c>
      <c r="F160" s="8">
        <v>43.737093000000002</v>
      </c>
      <c r="G160" s="8">
        <v>-96.603538</v>
      </c>
      <c r="H160" s="8" t="s">
        <v>281</v>
      </c>
      <c r="I160" s="10" t="s">
        <v>283</v>
      </c>
      <c r="J160" s="11" t="s">
        <v>105</v>
      </c>
      <c r="K160" s="11" t="s">
        <v>59</v>
      </c>
      <c r="L160" s="12">
        <v>556</v>
      </c>
      <c r="M160" s="13">
        <v>44682</v>
      </c>
      <c r="N160" s="13">
        <v>44880</v>
      </c>
      <c r="O160" s="11">
        <v>110</v>
      </c>
      <c r="P160" s="11"/>
      <c r="Q160" s="11"/>
      <c r="R160" s="11"/>
      <c r="S160" s="11"/>
      <c r="T160" s="11"/>
      <c r="U160" s="11"/>
    </row>
    <row r="161" spans="2:21" hidden="1" x14ac:dyDescent="0.25">
      <c r="B161" s="20" t="s">
        <v>284</v>
      </c>
      <c r="C161" s="20" t="s">
        <v>285</v>
      </c>
      <c r="D161" s="20" t="s">
        <v>286</v>
      </c>
      <c r="E161" s="20" t="s">
        <v>69</v>
      </c>
      <c r="F161" s="20">
        <v>43.903872999999997</v>
      </c>
      <c r="G161" s="20">
        <v>-97.753050999999999</v>
      </c>
      <c r="H161" s="20" t="s">
        <v>189</v>
      </c>
      <c r="I161" s="4" t="s">
        <v>287</v>
      </c>
      <c r="J161" t="s">
        <v>54</v>
      </c>
      <c r="K161" t="s">
        <v>55</v>
      </c>
      <c r="L161" s="5">
        <v>329</v>
      </c>
      <c r="M161" s="1">
        <v>44682</v>
      </c>
      <c r="N161" s="1">
        <v>44844</v>
      </c>
      <c r="O161">
        <v>0</v>
      </c>
      <c r="P161" t="s">
        <v>145</v>
      </c>
      <c r="S161">
        <v>152</v>
      </c>
      <c r="T161">
        <v>23</v>
      </c>
      <c r="U161">
        <v>13</v>
      </c>
    </row>
    <row r="162" spans="2:21" hidden="1" x14ac:dyDescent="0.25">
      <c r="B162" s="8" t="s">
        <v>284</v>
      </c>
      <c r="C162" s="8" t="s">
        <v>285</v>
      </c>
      <c r="D162" s="8" t="s">
        <v>286</v>
      </c>
      <c r="E162" s="8" t="s">
        <v>69</v>
      </c>
      <c r="F162" s="8">
        <v>43.903872999999997</v>
      </c>
      <c r="G162" s="8">
        <v>-97.753050999999999</v>
      </c>
      <c r="H162" s="8" t="s">
        <v>189</v>
      </c>
      <c r="I162" s="10" t="s">
        <v>287</v>
      </c>
      <c r="J162" s="11" t="s">
        <v>56</v>
      </c>
      <c r="K162" s="11" t="s">
        <v>57</v>
      </c>
      <c r="L162" s="12">
        <v>340</v>
      </c>
      <c r="M162" s="13">
        <v>44655</v>
      </c>
      <c r="N162" s="13">
        <v>44837</v>
      </c>
      <c r="O162" s="11">
        <v>0</v>
      </c>
      <c r="P162" s="11" t="s">
        <v>145</v>
      </c>
      <c r="Q162" s="11"/>
      <c r="R162" s="11"/>
      <c r="S162" s="11">
        <v>258</v>
      </c>
      <c r="T162" s="11">
        <v>74</v>
      </c>
      <c r="U162" s="11">
        <v>43</v>
      </c>
    </row>
    <row r="163" spans="2:21" x14ac:dyDescent="0.25">
      <c r="B163" s="20" t="s">
        <v>288</v>
      </c>
      <c r="C163" s="20" t="s">
        <v>289</v>
      </c>
      <c r="D163" s="20" t="s">
        <v>290</v>
      </c>
      <c r="E163" s="20" t="s">
        <v>291</v>
      </c>
      <c r="F163" s="20">
        <v>44.593342</v>
      </c>
      <c r="G163" s="20">
        <v>-97.234306000000004</v>
      </c>
      <c r="H163" s="20" t="s">
        <v>128</v>
      </c>
      <c r="I163" s="4" t="s">
        <v>292</v>
      </c>
      <c r="J163" t="s">
        <v>54</v>
      </c>
      <c r="K163" t="s">
        <v>55</v>
      </c>
      <c r="L163" s="5">
        <v>329</v>
      </c>
      <c r="M163" s="1">
        <v>45047</v>
      </c>
      <c r="N163" s="1">
        <v>45168</v>
      </c>
      <c r="O163">
        <v>14</v>
      </c>
      <c r="S163">
        <v>27</v>
      </c>
      <c r="T163">
        <v>6</v>
      </c>
      <c r="U163">
        <v>4</v>
      </c>
    </row>
    <row r="164" spans="2:21" x14ac:dyDescent="0.25">
      <c r="B164" s="8" t="s">
        <v>288</v>
      </c>
      <c r="C164" s="8" t="s">
        <v>289</v>
      </c>
      <c r="D164" s="8" t="s">
        <v>290</v>
      </c>
      <c r="E164" s="8" t="s">
        <v>291</v>
      </c>
      <c r="F164" s="8">
        <v>44.593342</v>
      </c>
      <c r="G164" s="8">
        <v>-97.234306000000004</v>
      </c>
      <c r="H164" s="8" t="s">
        <v>128</v>
      </c>
      <c r="I164" s="10" t="s">
        <v>292</v>
      </c>
      <c r="J164" s="11" t="s">
        <v>56</v>
      </c>
      <c r="K164" s="11" t="s">
        <v>57</v>
      </c>
      <c r="L164" s="12">
        <v>340</v>
      </c>
      <c r="M164" s="13">
        <v>45047</v>
      </c>
      <c r="N164" s="13">
        <v>45168</v>
      </c>
      <c r="O164" s="11">
        <v>14</v>
      </c>
      <c r="P164" s="11"/>
      <c r="Q164" s="11"/>
      <c r="R164" s="11"/>
      <c r="S164" s="11">
        <v>65</v>
      </c>
      <c r="T164" s="11">
        <v>22</v>
      </c>
      <c r="U164" s="11">
        <v>16</v>
      </c>
    </row>
    <row r="165" spans="2:21" hidden="1" x14ac:dyDescent="0.25">
      <c r="B165" s="20" t="s">
        <v>293</v>
      </c>
      <c r="C165" s="20" t="s">
        <v>294</v>
      </c>
      <c r="D165" s="20" t="s">
        <v>295</v>
      </c>
      <c r="E165" s="20" t="s">
        <v>222</v>
      </c>
      <c r="F165" s="20">
        <v>44.897343999999997</v>
      </c>
      <c r="G165" s="20">
        <v>-97.198954999999998</v>
      </c>
      <c r="H165" s="20" t="s">
        <v>223</v>
      </c>
      <c r="I165" s="4">
        <v>2021009</v>
      </c>
      <c r="J165" t="s">
        <v>54</v>
      </c>
      <c r="K165" t="s">
        <v>55</v>
      </c>
      <c r="L165" s="5">
        <v>329</v>
      </c>
      <c r="M165" s="1">
        <v>44317</v>
      </c>
      <c r="N165" s="1">
        <v>44331</v>
      </c>
      <c r="O165">
        <v>24</v>
      </c>
      <c r="S165">
        <v>105</v>
      </c>
      <c r="T165">
        <v>33</v>
      </c>
      <c r="U165">
        <v>24</v>
      </c>
    </row>
    <row r="166" spans="2:21" hidden="1" x14ac:dyDescent="0.25">
      <c r="B166" s="8" t="s">
        <v>293</v>
      </c>
      <c r="C166" s="8" t="s">
        <v>294</v>
      </c>
      <c r="D166" s="8" t="s">
        <v>295</v>
      </c>
      <c r="E166" s="8" t="s">
        <v>222</v>
      </c>
      <c r="F166" s="8">
        <v>44.897343999999997</v>
      </c>
      <c r="G166" s="8">
        <v>-97.198954999999998</v>
      </c>
      <c r="H166" s="8" t="s">
        <v>223</v>
      </c>
      <c r="I166" s="10">
        <v>2021009</v>
      </c>
      <c r="J166" s="11" t="s">
        <v>56</v>
      </c>
      <c r="K166" s="11" t="s">
        <v>57</v>
      </c>
      <c r="L166" s="12">
        <v>340</v>
      </c>
      <c r="M166" s="13">
        <v>44287</v>
      </c>
      <c r="N166" s="13">
        <v>44361</v>
      </c>
      <c r="O166" s="11">
        <v>24</v>
      </c>
      <c r="P166" s="11"/>
      <c r="Q166" s="11"/>
      <c r="R166" s="11"/>
      <c r="S166" s="11">
        <v>129</v>
      </c>
      <c r="T166" s="11">
        <v>44</v>
      </c>
      <c r="U166" s="11">
        <v>32</v>
      </c>
    </row>
    <row r="167" spans="2:21" hidden="1" x14ac:dyDescent="0.25">
      <c r="B167" s="20" t="s">
        <v>296</v>
      </c>
      <c r="C167" s="20" t="s">
        <v>297</v>
      </c>
      <c r="D167" s="20" t="s">
        <v>298</v>
      </c>
      <c r="E167" s="20" t="s">
        <v>99</v>
      </c>
      <c r="F167" s="20">
        <v>43.287734999999998</v>
      </c>
      <c r="G167" s="20">
        <v>-97.55744</v>
      </c>
      <c r="H167" s="20" t="s">
        <v>64</v>
      </c>
      <c r="I167" s="4">
        <v>2006</v>
      </c>
      <c r="J167" t="s">
        <v>54</v>
      </c>
      <c r="K167" t="s">
        <v>55</v>
      </c>
      <c r="L167" s="5">
        <v>329</v>
      </c>
      <c r="M167" s="1">
        <v>44761</v>
      </c>
      <c r="N167" s="1">
        <v>44761</v>
      </c>
      <c r="O167">
        <v>0</v>
      </c>
      <c r="P167" t="s">
        <v>145</v>
      </c>
      <c r="S167">
        <v>117</v>
      </c>
      <c r="T167">
        <v>28</v>
      </c>
      <c r="U167">
        <v>20</v>
      </c>
    </row>
    <row r="168" spans="2:21" hidden="1" x14ac:dyDescent="0.25">
      <c r="B168" s="8" t="s">
        <v>296</v>
      </c>
      <c r="C168" s="8" t="s">
        <v>297</v>
      </c>
      <c r="D168" s="8" t="s">
        <v>298</v>
      </c>
      <c r="E168" s="8" t="s">
        <v>99</v>
      </c>
      <c r="F168" s="8">
        <v>43.287734999999998</v>
      </c>
      <c r="G168" s="8">
        <v>-97.55744</v>
      </c>
      <c r="H168" s="8" t="s">
        <v>64</v>
      </c>
      <c r="I168" s="10">
        <v>2006</v>
      </c>
      <c r="J168" s="11" t="s">
        <v>56</v>
      </c>
      <c r="K168" s="11" t="s">
        <v>57</v>
      </c>
      <c r="L168" s="12">
        <v>340</v>
      </c>
      <c r="M168" s="13">
        <v>44761</v>
      </c>
      <c r="N168" s="13">
        <v>44761</v>
      </c>
      <c r="O168" s="11">
        <v>0</v>
      </c>
      <c r="P168" s="11" t="s">
        <v>145</v>
      </c>
      <c r="Q168" s="11"/>
      <c r="R168" s="11"/>
      <c r="S168" s="11">
        <v>303</v>
      </c>
      <c r="T168" s="11">
        <v>105</v>
      </c>
      <c r="U168" s="11">
        <v>77</v>
      </c>
    </row>
    <row r="169" spans="2:21" hidden="1" x14ac:dyDescent="0.25">
      <c r="B169" s="20" t="s">
        <v>299</v>
      </c>
      <c r="C169" s="20" t="s">
        <v>300</v>
      </c>
      <c r="D169" s="20" t="s">
        <v>301</v>
      </c>
      <c r="E169" s="20" t="s">
        <v>302</v>
      </c>
      <c r="F169" s="20">
        <v>45.381179000000003</v>
      </c>
      <c r="G169" s="20">
        <v>-96.785336999999998</v>
      </c>
      <c r="H169" s="20" t="s">
        <v>275</v>
      </c>
      <c r="I169" s="4">
        <v>202205</v>
      </c>
      <c r="J169" t="s">
        <v>54</v>
      </c>
      <c r="K169" t="s">
        <v>55</v>
      </c>
      <c r="L169" s="5">
        <v>329</v>
      </c>
      <c r="M169" s="1">
        <v>44682</v>
      </c>
      <c r="N169" s="1">
        <v>44713</v>
      </c>
      <c r="O169">
        <v>45</v>
      </c>
      <c r="S169">
        <v>91</v>
      </c>
      <c r="T169">
        <v>21</v>
      </c>
      <c r="U169">
        <v>14</v>
      </c>
    </row>
    <row r="170" spans="2:21" hidden="1" x14ac:dyDescent="0.25">
      <c r="B170" s="6" t="s">
        <v>299</v>
      </c>
      <c r="C170" s="6" t="s">
        <v>300</v>
      </c>
      <c r="D170" s="6" t="s">
        <v>301</v>
      </c>
      <c r="E170" s="6" t="s">
        <v>302</v>
      </c>
      <c r="F170" s="6">
        <v>45.381179000000003</v>
      </c>
      <c r="G170" s="6">
        <v>-96.785336999999998</v>
      </c>
      <c r="H170" s="6" t="s">
        <v>275</v>
      </c>
      <c r="I170" s="4">
        <v>202205</v>
      </c>
      <c r="J170" t="s">
        <v>56</v>
      </c>
      <c r="K170" t="s">
        <v>57</v>
      </c>
      <c r="L170" s="5">
        <v>340</v>
      </c>
      <c r="M170" s="1">
        <v>44743</v>
      </c>
      <c r="N170" s="1">
        <v>45047</v>
      </c>
      <c r="O170">
        <v>45</v>
      </c>
      <c r="S170">
        <v>208</v>
      </c>
      <c r="T170">
        <v>70</v>
      </c>
      <c r="U170">
        <v>50</v>
      </c>
    </row>
    <row r="171" spans="2:21" x14ac:dyDescent="0.25">
      <c r="B171" s="6" t="s">
        <v>299</v>
      </c>
      <c r="C171" s="6" t="s">
        <v>300</v>
      </c>
      <c r="D171" s="6" t="s">
        <v>303</v>
      </c>
      <c r="E171" s="6" t="s">
        <v>302</v>
      </c>
      <c r="F171" s="6">
        <v>45.379987999999997</v>
      </c>
      <c r="G171" s="6">
        <v>-96.794134999999997</v>
      </c>
      <c r="H171" s="6" t="s">
        <v>275</v>
      </c>
      <c r="I171" s="4" t="s">
        <v>240</v>
      </c>
      <c r="J171" t="s">
        <v>75</v>
      </c>
      <c r="K171" t="s">
        <v>304</v>
      </c>
      <c r="L171" s="5">
        <v>516</v>
      </c>
      <c r="M171" s="1">
        <v>45214</v>
      </c>
      <c r="N171" s="1">
        <v>45255</v>
      </c>
      <c r="O171">
        <v>0</v>
      </c>
      <c r="P171" t="s">
        <v>145</v>
      </c>
      <c r="S171">
        <v>407</v>
      </c>
      <c r="T171">
        <v>77</v>
      </c>
      <c r="U171">
        <v>41</v>
      </c>
    </row>
    <row r="172" spans="2:21" x14ac:dyDescent="0.25">
      <c r="B172" s="6" t="s">
        <v>299</v>
      </c>
      <c r="C172" s="6" t="s">
        <v>300</v>
      </c>
      <c r="D172" s="6" t="s">
        <v>303</v>
      </c>
      <c r="E172" s="6" t="s">
        <v>302</v>
      </c>
      <c r="F172" s="6">
        <v>45.379987999999997</v>
      </c>
      <c r="G172" s="6">
        <v>-96.794134999999997</v>
      </c>
      <c r="H172" s="6" t="s">
        <v>275</v>
      </c>
      <c r="I172" s="4" t="s">
        <v>240</v>
      </c>
      <c r="J172" t="s">
        <v>75</v>
      </c>
      <c r="K172" t="s">
        <v>305</v>
      </c>
      <c r="L172" s="5">
        <v>382</v>
      </c>
      <c r="M172" s="1">
        <v>45214</v>
      </c>
      <c r="N172" s="1">
        <v>45255</v>
      </c>
    </row>
    <row r="173" spans="2:21" x14ac:dyDescent="0.25">
      <c r="B173" s="6" t="s">
        <v>299</v>
      </c>
      <c r="C173" s="6" t="s">
        <v>300</v>
      </c>
      <c r="D173" s="6" t="s">
        <v>303</v>
      </c>
      <c r="E173" s="6" t="s">
        <v>302</v>
      </c>
      <c r="F173" s="6">
        <v>45.379987999999997</v>
      </c>
      <c r="G173" s="6">
        <v>-96.794134999999997</v>
      </c>
      <c r="H173" s="6" t="s">
        <v>275</v>
      </c>
      <c r="I173" s="4" t="s">
        <v>240</v>
      </c>
      <c r="J173" t="s">
        <v>75</v>
      </c>
      <c r="K173" t="s">
        <v>306</v>
      </c>
      <c r="M173" s="1">
        <v>45214</v>
      </c>
      <c r="N173" s="1">
        <v>45255</v>
      </c>
    </row>
    <row r="174" spans="2:21" x14ac:dyDescent="0.25">
      <c r="B174" s="8" t="s">
        <v>299</v>
      </c>
      <c r="C174" s="8" t="s">
        <v>300</v>
      </c>
      <c r="D174" s="8" t="s">
        <v>303</v>
      </c>
      <c r="E174" s="8" t="s">
        <v>302</v>
      </c>
      <c r="F174" s="8">
        <v>45.379987999999997</v>
      </c>
      <c r="G174" s="8">
        <v>-96.794134999999997</v>
      </c>
      <c r="H174" s="8" t="s">
        <v>275</v>
      </c>
      <c r="I174" s="10" t="s">
        <v>240</v>
      </c>
      <c r="J174" s="11" t="s">
        <v>75</v>
      </c>
      <c r="K174" s="11" t="s">
        <v>307</v>
      </c>
      <c r="L174" s="12">
        <v>614</v>
      </c>
      <c r="M174" s="13">
        <v>45214</v>
      </c>
      <c r="N174" s="13">
        <v>45255</v>
      </c>
      <c r="O174" s="11"/>
      <c r="P174" s="11"/>
      <c r="Q174" s="11"/>
      <c r="R174" s="11"/>
      <c r="S174" s="11"/>
      <c r="T174" s="11"/>
      <c r="U174" s="11"/>
    </row>
    <row r="175" spans="2:21" hidden="1" x14ac:dyDescent="0.25">
      <c r="B175" s="30" t="s">
        <v>308</v>
      </c>
      <c r="C175" s="30" t="s">
        <v>261</v>
      </c>
      <c r="D175" s="30" t="s">
        <v>309</v>
      </c>
      <c r="E175" s="30" t="s">
        <v>310</v>
      </c>
      <c r="F175" s="30">
        <v>44.665036999999998</v>
      </c>
      <c r="G175" s="30">
        <v>-103.573125</v>
      </c>
      <c r="H175" s="30" t="s">
        <v>311</v>
      </c>
      <c r="I175" s="25" t="s">
        <v>312</v>
      </c>
      <c r="J175" s="24" t="s">
        <v>75</v>
      </c>
      <c r="K175" s="24" t="s">
        <v>304</v>
      </c>
      <c r="L175" s="26">
        <v>516</v>
      </c>
      <c r="M175" s="27">
        <v>44287</v>
      </c>
      <c r="N175" s="27">
        <v>45139</v>
      </c>
      <c r="O175" s="24">
        <v>310</v>
      </c>
      <c r="P175" s="24"/>
      <c r="Q175" s="24"/>
      <c r="R175" s="24"/>
      <c r="S175" s="24">
        <v>306</v>
      </c>
      <c r="T175" s="24">
        <v>68</v>
      </c>
      <c r="U175" s="24">
        <v>42</v>
      </c>
    </row>
    <row r="176" spans="2:21" x14ac:dyDescent="0.25">
      <c r="B176" s="20" t="s">
        <v>313</v>
      </c>
      <c r="C176" s="20" t="s">
        <v>314</v>
      </c>
      <c r="D176" s="20" t="s">
        <v>315</v>
      </c>
      <c r="E176" s="20" t="s">
        <v>316</v>
      </c>
      <c r="F176" s="20">
        <v>44.672642000000003</v>
      </c>
      <c r="G176" s="20">
        <v>-103.310658</v>
      </c>
      <c r="H176" s="20" t="s">
        <v>317</v>
      </c>
      <c r="I176" s="4" t="s">
        <v>318</v>
      </c>
      <c r="J176" t="s">
        <v>54</v>
      </c>
      <c r="K176" t="s">
        <v>55</v>
      </c>
      <c r="L176" s="5">
        <v>329</v>
      </c>
      <c r="M176" s="1">
        <v>45047</v>
      </c>
      <c r="N176" s="1">
        <v>45077</v>
      </c>
      <c r="O176">
        <v>0</v>
      </c>
      <c r="P176" t="s">
        <v>145</v>
      </c>
      <c r="S176">
        <v>57</v>
      </c>
      <c r="T176">
        <v>13</v>
      </c>
      <c r="U176">
        <v>10</v>
      </c>
    </row>
    <row r="177" spans="2:21" x14ac:dyDescent="0.25">
      <c r="B177" s="8" t="s">
        <v>313</v>
      </c>
      <c r="C177" s="8" t="s">
        <v>314</v>
      </c>
      <c r="D177" s="8" t="s">
        <v>315</v>
      </c>
      <c r="E177" s="8" t="s">
        <v>316</v>
      </c>
      <c r="F177" s="8">
        <v>44.672642000000003</v>
      </c>
      <c r="G177" s="8">
        <v>-103.310658</v>
      </c>
      <c r="H177" s="8" t="s">
        <v>317</v>
      </c>
      <c r="I177" s="10" t="s">
        <v>318</v>
      </c>
      <c r="J177" s="11" t="s">
        <v>132</v>
      </c>
      <c r="K177" s="11" t="s">
        <v>133</v>
      </c>
      <c r="L177" s="12"/>
      <c r="M177" s="13">
        <v>45078</v>
      </c>
      <c r="N177" s="13">
        <v>45107</v>
      </c>
      <c r="O177" s="11">
        <v>0</v>
      </c>
      <c r="P177" s="11" t="s">
        <v>145</v>
      </c>
      <c r="Q177" s="11"/>
      <c r="R177" s="11"/>
      <c r="S177" s="11">
        <v>134</v>
      </c>
      <c r="T177" s="11">
        <v>45</v>
      </c>
      <c r="U177" s="11">
        <v>33</v>
      </c>
    </row>
    <row r="178" spans="2:21" hidden="1" x14ac:dyDescent="0.25">
      <c r="B178" s="20" t="s">
        <v>319</v>
      </c>
      <c r="C178" s="20" t="s">
        <v>320</v>
      </c>
      <c r="D178" s="20" t="s">
        <v>321</v>
      </c>
      <c r="E178" s="20" t="s">
        <v>99</v>
      </c>
      <c r="F178" s="20">
        <v>43.312444999999997</v>
      </c>
      <c r="G178" s="20">
        <v>-97.384052999999994</v>
      </c>
      <c r="H178" s="20" t="s">
        <v>100</v>
      </c>
      <c r="I178" s="4">
        <v>2010</v>
      </c>
      <c r="J178" t="s">
        <v>54</v>
      </c>
      <c r="K178" t="s">
        <v>55</v>
      </c>
      <c r="L178" s="5">
        <v>329</v>
      </c>
      <c r="M178" s="1">
        <v>44808</v>
      </c>
      <c r="N178" s="1">
        <v>44814</v>
      </c>
      <c r="O178">
        <v>0</v>
      </c>
      <c r="P178" t="s">
        <v>145</v>
      </c>
      <c r="S178">
        <v>220</v>
      </c>
      <c r="T178">
        <v>53</v>
      </c>
      <c r="U178">
        <v>37</v>
      </c>
    </row>
    <row r="179" spans="2:21" hidden="1" x14ac:dyDescent="0.25">
      <c r="B179" s="8" t="s">
        <v>319</v>
      </c>
      <c r="C179" s="8" t="s">
        <v>320</v>
      </c>
      <c r="D179" s="8" t="s">
        <v>321</v>
      </c>
      <c r="E179" s="8" t="s">
        <v>99</v>
      </c>
      <c r="F179" s="8">
        <v>43.312444999999997</v>
      </c>
      <c r="G179" s="8">
        <v>-97.384052999999994</v>
      </c>
      <c r="H179" s="8" t="s">
        <v>100</v>
      </c>
      <c r="I179" s="10">
        <v>2010</v>
      </c>
      <c r="J179" s="11" t="s">
        <v>56</v>
      </c>
      <c r="K179" s="11" t="s">
        <v>57</v>
      </c>
      <c r="L179" s="12">
        <v>340</v>
      </c>
      <c r="M179" s="13">
        <v>44808</v>
      </c>
      <c r="N179" s="13">
        <v>44814</v>
      </c>
      <c r="O179" s="11">
        <v>0</v>
      </c>
      <c r="P179" s="11" t="s">
        <v>145</v>
      </c>
      <c r="Q179" s="11"/>
      <c r="R179" s="11"/>
      <c r="S179" s="11">
        <v>571</v>
      </c>
      <c r="T179" s="11">
        <v>198</v>
      </c>
      <c r="U179" s="11">
        <v>145</v>
      </c>
    </row>
    <row r="180" spans="2:21" x14ac:dyDescent="0.25">
      <c r="B180" s="20" t="s">
        <v>322</v>
      </c>
      <c r="C180" s="20" t="s">
        <v>323</v>
      </c>
      <c r="D180" s="20" t="s">
        <v>324</v>
      </c>
      <c r="E180" s="20" t="s">
        <v>325</v>
      </c>
      <c r="F180" s="20">
        <v>45.397055000000002</v>
      </c>
      <c r="G180" s="20">
        <v>-97.127134999999996</v>
      </c>
      <c r="H180" s="20" t="s">
        <v>223</v>
      </c>
      <c r="I180" s="4">
        <v>202207</v>
      </c>
      <c r="J180" t="s">
        <v>54</v>
      </c>
      <c r="K180" t="s">
        <v>55</v>
      </c>
      <c r="L180" s="5">
        <v>329</v>
      </c>
      <c r="M180" s="1">
        <v>45078</v>
      </c>
      <c r="N180" s="1">
        <v>45108</v>
      </c>
      <c r="O180">
        <v>18</v>
      </c>
      <c r="S180">
        <v>39</v>
      </c>
      <c r="T180">
        <v>9</v>
      </c>
      <c r="U180">
        <v>6</v>
      </c>
    </row>
    <row r="181" spans="2:21" hidden="1" x14ac:dyDescent="0.25">
      <c r="B181" s="8" t="s">
        <v>322</v>
      </c>
      <c r="C181" s="8" t="s">
        <v>323</v>
      </c>
      <c r="D181" s="8" t="s">
        <v>324</v>
      </c>
      <c r="E181" s="8" t="s">
        <v>325</v>
      </c>
      <c r="F181" s="8">
        <v>45.397055000000002</v>
      </c>
      <c r="G181" s="8">
        <v>-97.127134999999996</v>
      </c>
      <c r="H181" s="8" t="s">
        <v>223</v>
      </c>
      <c r="I181" s="10">
        <v>202207</v>
      </c>
      <c r="J181" s="11" t="s">
        <v>56</v>
      </c>
      <c r="K181" s="11" t="s">
        <v>57</v>
      </c>
      <c r="L181" s="12">
        <v>340</v>
      </c>
      <c r="M181" s="13">
        <v>44682</v>
      </c>
      <c r="N181" s="13">
        <v>45078</v>
      </c>
      <c r="O181" s="11">
        <v>18</v>
      </c>
      <c r="P181" s="11"/>
      <c r="Q181" s="11"/>
      <c r="R181" s="11"/>
      <c r="S181" s="11">
        <v>100</v>
      </c>
      <c r="T181" s="11">
        <v>34</v>
      </c>
      <c r="U181" s="11">
        <v>25</v>
      </c>
    </row>
    <row r="182" spans="2:21" hidden="1" x14ac:dyDescent="0.25">
      <c r="B182" s="20" t="s">
        <v>326</v>
      </c>
      <c r="C182" s="20" t="s">
        <v>327</v>
      </c>
      <c r="D182" s="20" t="s">
        <v>328</v>
      </c>
      <c r="E182" s="20" t="s">
        <v>178</v>
      </c>
      <c r="F182" s="20">
        <v>42.942016000000002</v>
      </c>
      <c r="G182" s="20">
        <v>-98.084417000000002</v>
      </c>
      <c r="H182" s="20" t="s">
        <v>113</v>
      </c>
      <c r="I182" s="4">
        <v>20211917</v>
      </c>
      <c r="J182" t="s">
        <v>54</v>
      </c>
      <c r="K182" t="s">
        <v>55</v>
      </c>
      <c r="L182" s="5">
        <v>329</v>
      </c>
      <c r="M182" s="1">
        <v>44317</v>
      </c>
      <c r="N182" s="1">
        <v>44484</v>
      </c>
      <c r="O182">
        <v>222</v>
      </c>
    </row>
    <row r="183" spans="2:21" hidden="1" x14ac:dyDescent="0.25">
      <c r="B183" s="6" t="s">
        <v>326</v>
      </c>
      <c r="C183" s="6" t="s">
        <v>327</v>
      </c>
      <c r="D183" s="6" t="s">
        <v>328</v>
      </c>
      <c r="E183" s="6" t="s">
        <v>178</v>
      </c>
      <c r="F183" s="6">
        <v>42.942016000000002</v>
      </c>
      <c r="G183" s="6">
        <v>-98.084417000000002</v>
      </c>
      <c r="H183" s="6" t="s">
        <v>113</v>
      </c>
      <c r="I183" s="4">
        <v>20211917</v>
      </c>
      <c r="J183" t="s">
        <v>56</v>
      </c>
      <c r="K183" t="s">
        <v>57</v>
      </c>
      <c r="L183" s="5">
        <v>340</v>
      </c>
      <c r="M183" s="1">
        <v>44378</v>
      </c>
      <c r="N183" s="1">
        <v>44489</v>
      </c>
      <c r="O183">
        <v>222</v>
      </c>
      <c r="S183">
        <v>1205</v>
      </c>
      <c r="T183">
        <v>405</v>
      </c>
      <c r="U183">
        <v>291</v>
      </c>
    </row>
    <row r="184" spans="2:21" hidden="1" x14ac:dyDescent="0.25">
      <c r="B184" s="8" t="s">
        <v>326</v>
      </c>
      <c r="C184" s="8" t="s">
        <v>329</v>
      </c>
      <c r="D184" s="8" t="s">
        <v>328</v>
      </c>
      <c r="E184" s="8" t="s">
        <v>178</v>
      </c>
      <c r="F184" s="8">
        <v>42.941783999999998</v>
      </c>
      <c r="G184" s="8">
        <v>-98.080903000000006</v>
      </c>
      <c r="H184" s="8" t="s">
        <v>113</v>
      </c>
      <c r="I184" s="10">
        <v>20211916</v>
      </c>
      <c r="J184" s="11" t="s">
        <v>54</v>
      </c>
      <c r="K184" s="11" t="s">
        <v>55</v>
      </c>
      <c r="L184" s="12">
        <v>329</v>
      </c>
      <c r="M184" s="13">
        <v>44317</v>
      </c>
      <c r="N184" s="13">
        <v>44409</v>
      </c>
      <c r="O184" s="11">
        <v>112</v>
      </c>
      <c r="P184" s="11"/>
      <c r="Q184" s="11"/>
      <c r="R184" s="11"/>
      <c r="S184" s="11"/>
      <c r="T184" s="11"/>
      <c r="U184" s="11"/>
    </row>
    <row r="185" spans="2:21" hidden="1" x14ac:dyDescent="0.25">
      <c r="B185" s="30" t="s">
        <v>326</v>
      </c>
      <c r="C185" s="30" t="s">
        <v>329</v>
      </c>
      <c r="D185" s="30" t="s">
        <v>328</v>
      </c>
      <c r="E185" s="30" t="s">
        <v>178</v>
      </c>
      <c r="F185" s="30">
        <v>42.941783999999998</v>
      </c>
      <c r="G185" s="30">
        <v>-98.080903000000006</v>
      </c>
      <c r="H185" s="30" t="s">
        <v>113</v>
      </c>
      <c r="I185" s="25">
        <v>20211916</v>
      </c>
      <c r="J185" s="24" t="s">
        <v>56</v>
      </c>
      <c r="K185" s="24" t="s">
        <v>57</v>
      </c>
      <c r="L185" s="26">
        <v>340</v>
      </c>
      <c r="M185" s="27">
        <v>44431</v>
      </c>
      <c r="N185" s="27">
        <v>44479</v>
      </c>
      <c r="O185" s="24">
        <v>112</v>
      </c>
      <c r="P185" s="24"/>
      <c r="Q185" s="24"/>
      <c r="R185" s="24"/>
      <c r="S185" s="24">
        <v>829</v>
      </c>
      <c r="T185" s="24">
        <v>289</v>
      </c>
      <c r="U185" s="24">
        <v>216</v>
      </c>
    </row>
    <row r="186" spans="2:21" hidden="1" x14ac:dyDescent="0.25">
      <c r="B186" s="20" t="s">
        <v>330</v>
      </c>
      <c r="C186" s="20" t="s">
        <v>331</v>
      </c>
      <c r="D186" s="20" t="s">
        <v>332</v>
      </c>
      <c r="E186" s="20" t="s">
        <v>333</v>
      </c>
      <c r="F186" s="20">
        <v>45.250387000000003</v>
      </c>
      <c r="G186" s="20">
        <v>-99.839172000000005</v>
      </c>
      <c r="H186" s="20" t="s">
        <v>334</v>
      </c>
      <c r="I186" s="4">
        <v>2011</v>
      </c>
      <c r="J186" t="s">
        <v>54</v>
      </c>
      <c r="K186" t="s">
        <v>55</v>
      </c>
      <c r="L186" s="5">
        <v>329</v>
      </c>
      <c r="M186" s="1">
        <v>44774</v>
      </c>
      <c r="N186" s="1">
        <v>44803</v>
      </c>
      <c r="O186">
        <v>0</v>
      </c>
      <c r="P186" t="s">
        <v>145</v>
      </c>
      <c r="S186">
        <v>295</v>
      </c>
      <c r="T186">
        <v>65</v>
      </c>
      <c r="U186">
        <v>44</v>
      </c>
    </row>
    <row r="187" spans="2:21" hidden="1" x14ac:dyDescent="0.25">
      <c r="B187" s="6" t="s">
        <v>330</v>
      </c>
      <c r="C187" s="6" t="s">
        <v>331</v>
      </c>
      <c r="D187" s="6" t="s">
        <v>332</v>
      </c>
      <c r="E187" s="6" t="s">
        <v>333</v>
      </c>
      <c r="F187" s="6">
        <v>45.250387000000003</v>
      </c>
      <c r="G187" s="6">
        <v>-99.839172000000005</v>
      </c>
      <c r="H187" s="6" t="s">
        <v>334</v>
      </c>
      <c r="I187" s="4">
        <v>2011</v>
      </c>
      <c r="J187" t="s">
        <v>56</v>
      </c>
      <c r="K187" t="s">
        <v>57</v>
      </c>
      <c r="L187" s="5">
        <v>340</v>
      </c>
      <c r="M187" s="1">
        <v>44774</v>
      </c>
      <c r="N187" s="1">
        <v>44798</v>
      </c>
      <c r="O187">
        <v>0</v>
      </c>
      <c r="P187" t="s">
        <v>145</v>
      </c>
      <c r="S187">
        <v>717.1</v>
      </c>
      <c r="T187">
        <v>242.7</v>
      </c>
      <c r="U187">
        <v>172.6</v>
      </c>
    </row>
    <row r="188" spans="2:21" hidden="1" x14ac:dyDescent="0.25">
      <c r="B188" s="6" t="s">
        <v>330</v>
      </c>
      <c r="C188" s="6" t="s">
        <v>331</v>
      </c>
      <c r="D188" s="6" t="s">
        <v>332</v>
      </c>
      <c r="E188" s="6" t="s">
        <v>333</v>
      </c>
      <c r="F188" s="6">
        <v>45.234704000000001</v>
      </c>
      <c r="G188" s="6">
        <v>-99.833923999999996</v>
      </c>
      <c r="H188" s="6" t="s">
        <v>334</v>
      </c>
      <c r="I188" s="4">
        <v>2012</v>
      </c>
      <c r="J188" t="s">
        <v>54</v>
      </c>
      <c r="K188" t="s">
        <v>55</v>
      </c>
      <c r="L188" s="5">
        <v>329</v>
      </c>
      <c r="M188" s="1">
        <v>44743</v>
      </c>
      <c r="N188" s="1">
        <v>44798</v>
      </c>
      <c r="O188">
        <v>0</v>
      </c>
      <c r="P188" t="s">
        <v>145</v>
      </c>
      <c r="S188">
        <v>211</v>
      </c>
      <c r="T188">
        <v>46.8</v>
      </c>
      <c r="U188">
        <v>32.200000000000003</v>
      </c>
    </row>
    <row r="189" spans="2:21" hidden="1" x14ac:dyDescent="0.25">
      <c r="B189" s="6" t="s">
        <v>330</v>
      </c>
      <c r="C189" s="6" t="s">
        <v>331</v>
      </c>
      <c r="D189" s="6" t="s">
        <v>332</v>
      </c>
      <c r="E189" s="6" t="s">
        <v>333</v>
      </c>
      <c r="F189" s="6">
        <v>45.234704000000001</v>
      </c>
      <c r="G189" s="6">
        <v>-99.833923999999996</v>
      </c>
      <c r="H189" s="6" t="s">
        <v>334</v>
      </c>
      <c r="I189" s="4">
        <v>2012</v>
      </c>
      <c r="J189" t="s">
        <v>56</v>
      </c>
      <c r="K189" t="s">
        <v>57</v>
      </c>
      <c r="L189" s="5">
        <v>340</v>
      </c>
      <c r="M189" s="1">
        <v>44774</v>
      </c>
      <c r="N189" s="1">
        <v>44798</v>
      </c>
      <c r="O189">
        <v>0</v>
      </c>
      <c r="P189" t="s">
        <v>145</v>
      </c>
      <c r="S189">
        <v>519.6</v>
      </c>
      <c r="T189">
        <v>176.7</v>
      </c>
      <c r="U189">
        <v>126.3</v>
      </c>
    </row>
    <row r="190" spans="2:21" hidden="1" x14ac:dyDescent="0.25">
      <c r="B190" s="6" t="s">
        <v>330</v>
      </c>
      <c r="C190" s="6" t="s">
        <v>331</v>
      </c>
      <c r="D190" s="6" t="s">
        <v>332</v>
      </c>
      <c r="E190" s="6" t="s">
        <v>333</v>
      </c>
      <c r="F190" s="6">
        <v>45.243166000000002</v>
      </c>
      <c r="G190" s="6">
        <v>-99.834352999999993</v>
      </c>
      <c r="H190" s="6" t="s">
        <v>334</v>
      </c>
      <c r="I190" s="4">
        <v>2013</v>
      </c>
      <c r="J190" t="s">
        <v>54</v>
      </c>
      <c r="K190" t="s">
        <v>55</v>
      </c>
      <c r="L190" s="5">
        <v>329</v>
      </c>
      <c r="M190" s="1">
        <v>44774</v>
      </c>
      <c r="N190" s="1">
        <v>44798</v>
      </c>
      <c r="O190">
        <v>0</v>
      </c>
      <c r="P190" t="s">
        <v>145</v>
      </c>
      <c r="S190">
        <v>176.1</v>
      </c>
      <c r="T190">
        <v>39.4</v>
      </c>
      <c r="U190">
        <v>27.3</v>
      </c>
    </row>
    <row r="191" spans="2:21" hidden="1" x14ac:dyDescent="0.25">
      <c r="B191" s="8" t="s">
        <v>330</v>
      </c>
      <c r="C191" s="8" t="s">
        <v>331</v>
      </c>
      <c r="D191" s="8" t="s">
        <v>332</v>
      </c>
      <c r="E191" s="8" t="s">
        <v>333</v>
      </c>
      <c r="F191" s="8">
        <v>45.243166000000002</v>
      </c>
      <c r="G191" s="8">
        <v>-99.834352999999993</v>
      </c>
      <c r="H191" s="8" t="s">
        <v>334</v>
      </c>
      <c r="I191" s="10">
        <v>2013</v>
      </c>
      <c r="J191" s="11" t="s">
        <v>56</v>
      </c>
      <c r="K191" s="11" t="s">
        <v>57</v>
      </c>
      <c r="L191" s="12">
        <v>340</v>
      </c>
      <c r="M191" s="13">
        <v>44774</v>
      </c>
      <c r="N191" s="13">
        <v>44798</v>
      </c>
      <c r="O191" s="11">
        <v>0</v>
      </c>
      <c r="P191" s="11" t="s">
        <v>145</v>
      </c>
      <c r="Q191" s="11"/>
      <c r="R191" s="11"/>
      <c r="S191" s="11">
        <v>437</v>
      </c>
      <c r="T191" s="11">
        <v>148.9</v>
      </c>
      <c r="U191" s="11">
        <v>106.8</v>
      </c>
    </row>
    <row r="192" spans="2:21" x14ac:dyDescent="0.25">
      <c r="B192" s="20" t="s">
        <v>330</v>
      </c>
      <c r="C192" s="20" t="s">
        <v>335</v>
      </c>
      <c r="D192" s="20" t="s">
        <v>336</v>
      </c>
      <c r="E192" s="20" t="s">
        <v>333</v>
      </c>
      <c r="F192" s="20">
        <v>45.257340999999997</v>
      </c>
      <c r="G192" s="20">
        <v>-99.838065</v>
      </c>
      <c r="H192" s="20" t="s">
        <v>334</v>
      </c>
      <c r="I192" s="4" t="s">
        <v>337</v>
      </c>
      <c r="J192" t="s">
        <v>54</v>
      </c>
      <c r="K192" t="s">
        <v>55</v>
      </c>
      <c r="L192" s="5">
        <v>329</v>
      </c>
      <c r="M192" s="1">
        <v>45078</v>
      </c>
      <c r="N192" s="1">
        <v>45131</v>
      </c>
      <c r="O192">
        <v>155</v>
      </c>
      <c r="S192">
        <v>607.70000000000005</v>
      </c>
      <c r="T192">
        <v>182.4</v>
      </c>
      <c r="U192">
        <v>129.1</v>
      </c>
    </row>
    <row r="193" spans="2:21" x14ac:dyDescent="0.25">
      <c r="B193" s="8" t="s">
        <v>330</v>
      </c>
      <c r="C193" s="8" t="s">
        <v>335</v>
      </c>
      <c r="D193" s="8" t="s">
        <v>336</v>
      </c>
      <c r="E193" s="8" t="s">
        <v>333</v>
      </c>
      <c r="F193" s="8">
        <v>45.257340999999997</v>
      </c>
      <c r="G193" s="8">
        <v>-99.838065</v>
      </c>
      <c r="H193" s="8" t="s">
        <v>334</v>
      </c>
      <c r="I193" s="10" t="s">
        <v>337</v>
      </c>
      <c r="J193" s="11" t="s">
        <v>56</v>
      </c>
      <c r="K193" s="11" t="s">
        <v>57</v>
      </c>
      <c r="L193" s="12">
        <v>340</v>
      </c>
      <c r="M193" s="13">
        <v>45131</v>
      </c>
      <c r="N193" s="13">
        <v>45133</v>
      </c>
      <c r="O193" s="11">
        <v>155</v>
      </c>
      <c r="P193" s="11"/>
      <c r="Q193" s="11"/>
      <c r="R193" s="11"/>
      <c r="S193" s="11">
        <v>807</v>
      </c>
      <c r="T193" s="11">
        <v>273.5</v>
      </c>
      <c r="U193" s="11">
        <v>194.7</v>
      </c>
    </row>
    <row r="194" spans="2:21" hidden="1" x14ac:dyDescent="0.25">
      <c r="B194" s="20" t="s">
        <v>338</v>
      </c>
      <c r="C194" s="20" t="s">
        <v>339</v>
      </c>
      <c r="D194" s="20" t="s">
        <v>340</v>
      </c>
      <c r="E194" s="20" t="s">
        <v>69</v>
      </c>
      <c r="F194" s="20">
        <v>43.474753</v>
      </c>
      <c r="G194" s="20">
        <v>-98.306946999999994</v>
      </c>
      <c r="H194" s="20" t="s">
        <v>113</v>
      </c>
      <c r="I194" s="4" t="s">
        <v>341</v>
      </c>
      <c r="J194" t="s">
        <v>54</v>
      </c>
      <c r="K194" t="s">
        <v>55</v>
      </c>
      <c r="L194" s="5">
        <v>329</v>
      </c>
      <c r="M194" s="1">
        <v>44682</v>
      </c>
      <c r="N194" s="1">
        <v>44888</v>
      </c>
      <c r="O194">
        <v>0</v>
      </c>
      <c r="P194" t="s">
        <v>145</v>
      </c>
      <c r="S194">
        <v>339</v>
      </c>
      <c r="T194">
        <v>51</v>
      </c>
      <c r="U194">
        <v>28</v>
      </c>
    </row>
    <row r="195" spans="2:21" hidden="1" x14ac:dyDescent="0.25">
      <c r="B195" s="8" t="s">
        <v>338</v>
      </c>
      <c r="C195" s="8" t="s">
        <v>339</v>
      </c>
      <c r="D195" s="8" t="s">
        <v>340</v>
      </c>
      <c r="E195" s="8" t="s">
        <v>69</v>
      </c>
      <c r="F195" s="8">
        <v>43.474753</v>
      </c>
      <c r="G195" s="8">
        <v>-98.306946999999994</v>
      </c>
      <c r="H195" s="8" t="s">
        <v>113</v>
      </c>
      <c r="I195" s="10" t="s">
        <v>341</v>
      </c>
      <c r="J195" s="11" t="s">
        <v>56</v>
      </c>
      <c r="K195" s="11" t="s">
        <v>57</v>
      </c>
      <c r="L195" s="12">
        <v>340</v>
      </c>
      <c r="M195" s="13">
        <v>44749</v>
      </c>
      <c r="N195" s="13">
        <v>44922</v>
      </c>
      <c r="O195" s="11">
        <v>0</v>
      </c>
      <c r="P195" s="11" t="s">
        <v>145</v>
      </c>
      <c r="Q195" s="11"/>
      <c r="R195" s="11"/>
      <c r="S195" s="11">
        <v>622</v>
      </c>
      <c r="T195" s="11">
        <v>186</v>
      </c>
      <c r="U195" s="11">
        <v>112</v>
      </c>
    </row>
    <row r="196" spans="2:21" hidden="1" x14ac:dyDescent="0.25">
      <c r="B196" s="20" t="s">
        <v>338</v>
      </c>
      <c r="C196" s="20" t="s">
        <v>342</v>
      </c>
      <c r="D196" s="20" t="s">
        <v>340</v>
      </c>
      <c r="E196" s="20" t="s">
        <v>69</v>
      </c>
      <c r="F196" s="20">
        <v>43.490566999999999</v>
      </c>
      <c r="G196" s="20">
        <v>-98.267360999999994</v>
      </c>
      <c r="H196" s="20" t="s">
        <v>113</v>
      </c>
      <c r="I196" s="4" t="s">
        <v>343</v>
      </c>
      <c r="J196" t="s">
        <v>54</v>
      </c>
      <c r="K196" t="s">
        <v>55</v>
      </c>
      <c r="L196" s="5">
        <v>329</v>
      </c>
      <c r="M196" s="1">
        <v>44682</v>
      </c>
      <c r="N196" s="1">
        <v>44890</v>
      </c>
      <c r="O196">
        <v>0</v>
      </c>
      <c r="P196" t="s">
        <v>145</v>
      </c>
      <c r="S196">
        <v>308</v>
      </c>
      <c r="T196">
        <v>90</v>
      </c>
      <c r="U196">
        <v>55</v>
      </c>
    </row>
    <row r="197" spans="2:21" hidden="1" x14ac:dyDescent="0.25">
      <c r="B197" s="8" t="s">
        <v>338</v>
      </c>
      <c r="C197" s="8" t="s">
        <v>342</v>
      </c>
      <c r="D197" s="8" t="s">
        <v>340</v>
      </c>
      <c r="E197" s="8" t="s">
        <v>69</v>
      </c>
      <c r="F197" s="8">
        <v>43.490566999999999</v>
      </c>
      <c r="G197" s="8">
        <v>-98.267360999999994</v>
      </c>
      <c r="H197" s="8" t="s">
        <v>113</v>
      </c>
      <c r="I197" s="10" t="s">
        <v>343</v>
      </c>
      <c r="J197" s="11" t="s">
        <v>56</v>
      </c>
      <c r="K197" s="11" t="s">
        <v>57</v>
      </c>
      <c r="L197" s="12">
        <v>340</v>
      </c>
      <c r="M197" s="13">
        <v>44732</v>
      </c>
      <c r="N197" s="13">
        <v>44928</v>
      </c>
      <c r="O197" s="11">
        <v>0</v>
      </c>
      <c r="P197" s="11" t="s">
        <v>145</v>
      </c>
      <c r="Q197" s="11"/>
      <c r="R197" s="11"/>
      <c r="S197" s="11">
        <v>176</v>
      </c>
      <c r="T197" s="11">
        <v>28</v>
      </c>
      <c r="U197" s="11">
        <v>16</v>
      </c>
    </row>
    <row r="198" spans="2:21" x14ac:dyDescent="0.25">
      <c r="B198" s="20" t="s">
        <v>344</v>
      </c>
      <c r="C198" s="20" t="s">
        <v>345</v>
      </c>
      <c r="D198" s="20" t="s">
        <v>346</v>
      </c>
      <c r="E198" s="20" t="s">
        <v>347</v>
      </c>
      <c r="F198" s="20">
        <v>45.655549999999998</v>
      </c>
      <c r="G198" s="20">
        <v>-97.453809000000007</v>
      </c>
      <c r="H198" s="20" t="s">
        <v>169</v>
      </c>
      <c r="I198" s="4" t="s">
        <v>348</v>
      </c>
      <c r="J198" t="s">
        <v>54</v>
      </c>
      <c r="K198" t="s">
        <v>55</v>
      </c>
      <c r="L198" s="5">
        <v>329</v>
      </c>
      <c r="M198" s="1">
        <v>45111</v>
      </c>
      <c r="N198" s="1">
        <v>45119</v>
      </c>
      <c r="O198">
        <v>77.42</v>
      </c>
      <c r="S198">
        <v>296.5</v>
      </c>
      <c r="T198">
        <v>83.5</v>
      </c>
      <c r="U198">
        <v>56.5</v>
      </c>
    </row>
    <row r="199" spans="2:21" x14ac:dyDescent="0.25">
      <c r="B199" s="8" t="s">
        <v>344</v>
      </c>
      <c r="C199" s="8" t="s">
        <v>345</v>
      </c>
      <c r="D199" s="8" t="s">
        <v>346</v>
      </c>
      <c r="E199" s="8" t="s">
        <v>347</v>
      </c>
      <c r="F199" s="8">
        <v>45.655549999999998</v>
      </c>
      <c r="G199" s="8">
        <v>-97.453809000000007</v>
      </c>
      <c r="H199" s="8" t="s">
        <v>169</v>
      </c>
      <c r="I199" s="10" t="s">
        <v>348</v>
      </c>
      <c r="J199" s="11" t="s">
        <v>56</v>
      </c>
      <c r="K199" s="11" t="s">
        <v>57</v>
      </c>
      <c r="L199" s="12">
        <v>340</v>
      </c>
      <c r="M199" s="13">
        <v>45139</v>
      </c>
      <c r="N199" s="13">
        <v>45146</v>
      </c>
      <c r="O199" s="11">
        <v>77.42</v>
      </c>
      <c r="P199" s="11"/>
      <c r="Q199" s="11"/>
      <c r="R199" s="11"/>
      <c r="S199" s="11">
        <v>438</v>
      </c>
      <c r="T199" s="11">
        <v>138.19999999999999</v>
      </c>
      <c r="U199" s="11">
        <v>94.7</v>
      </c>
    </row>
    <row r="200" spans="2:21" x14ac:dyDescent="0.25">
      <c r="B200" s="20" t="s">
        <v>344</v>
      </c>
      <c r="C200" s="20" t="s">
        <v>349</v>
      </c>
      <c r="D200" s="20" t="s">
        <v>346</v>
      </c>
      <c r="E200" s="20" t="s">
        <v>347</v>
      </c>
      <c r="F200" s="20">
        <v>45.613238000000003</v>
      </c>
      <c r="G200" s="20">
        <v>-97.446682999999993</v>
      </c>
      <c r="H200" s="20" t="s">
        <v>169</v>
      </c>
      <c r="I200" s="4" t="s">
        <v>350</v>
      </c>
      <c r="J200" t="s">
        <v>54</v>
      </c>
      <c r="K200" t="s">
        <v>55</v>
      </c>
      <c r="L200" s="5">
        <v>329</v>
      </c>
      <c r="M200" s="1">
        <v>45145</v>
      </c>
      <c r="N200" s="1">
        <v>45146</v>
      </c>
      <c r="O200">
        <v>94.1</v>
      </c>
      <c r="S200">
        <v>206.5</v>
      </c>
      <c r="T200">
        <v>40</v>
      </c>
      <c r="U200">
        <v>25.8</v>
      </c>
    </row>
    <row r="201" spans="2:21" x14ac:dyDescent="0.25">
      <c r="B201" s="8" t="s">
        <v>344</v>
      </c>
      <c r="C201" s="8" t="s">
        <v>349</v>
      </c>
      <c r="D201" s="8" t="s">
        <v>346</v>
      </c>
      <c r="E201" s="8" t="s">
        <v>347</v>
      </c>
      <c r="F201" s="8">
        <v>45.613238000000003</v>
      </c>
      <c r="G201" s="8">
        <v>-97.446682999999993</v>
      </c>
      <c r="H201" s="8" t="s">
        <v>169</v>
      </c>
      <c r="I201" s="10" t="s">
        <v>350</v>
      </c>
      <c r="J201" s="11" t="s">
        <v>56</v>
      </c>
      <c r="K201" s="11" t="s">
        <v>57</v>
      </c>
      <c r="L201" s="12">
        <v>340</v>
      </c>
      <c r="M201" s="13">
        <v>45145</v>
      </c>
      <c r="N201" s="13">
        <v>45148</v>
      </c>
      <c r="O201" s="11">
        <v>94.1</v>
      </c>
      <c r="P201" s="11"/>
      <c r="Q201" s="11"/>
      <c r="R201" s="11"/>
      <c r="S201" s="11">
        <v>456.4</v>
      </c>
      <c r="T201" s="11">
        <v>148.80000000000001</v>
      </c>
      <c r="U201" s="11">
        <v>101.1</v>
      </c>
    </row>
    <row r="202" spans="2:21" hidden="1" x14ac:dyDescent="0.25">
      <c r="B202" s="20" t="s">
        <v>344</v>
      </c>
      <c r="C202" s="20" t="s">
        <v>69</v>
      </c>
      <c r="D202" s="20" t="s">
        <v>351</v>
      </c>
      <c r="E202" s="20" t="s">
        <v>347</v>
      </c>
      <c r="F202" s="20">
        <v>45.601360999999997</v>
      </c>
      <c r="G202" s="20">
        <v>-97.399608000000001</v>
      </c>
      <c r="H202" s="20" t="s">
        <v>169</v>
      </c>
      <c r="I202" s="4">
        <v>2002</v>
      </c>
      <c r="J202" t="s">
        <v>54</v>
      </c>
      <c r="K202" t="s">
        <v>55</v>
      </c>
      <c r="L202" s="5">
        <v>329</v>
      </c>
      <c r="M202" s="1">
        <v>44852</v>
      </c>
      <c r="N202" s="1">
        <v>45083</v>
      </c>
      <c r="O202">
        <v>151</v>
      </c>
      <c r="S202">
        <v>323.8</v>
      </c>
      <c r="T202">
        <v>61.2</v>
      </c>
      <c r="U202">
        <v>39.1</v>
      </c>
    </row>
    <row r="203" spans="2:21" hidden="1" x14ac:dyDescent="0.25">
      <c r="B203" s="8" t="s">
        <v>344</v>
      </c>
      <c r="C203" s="8" t="s">
        <v>69</v>
      </c>
      <c r="D203" s="8" t="s">
        <v>351</v>
      </c>
      <c r="E203" s="8" t="s">
        <v>347</v>
      </c>
      <c r="F203" s="8">
        <v>45.601360999999997</v>
      </c>
      <c r="G203" s="8">
        <v>-97.399608000000001</v>
      </c>
      <c r="H203" s="8" t="s">
        <v>169</v>
      </c>
      <c r="I203" s="10">
        <v>2002</v>
      </c>
      <c r="J203" s="11" t="s">
        <v>56</v>
      </c>
      <c r="K203" s="11" t="s">
        <v>57</v>
      </c>
      <c r="L203" s="12">
        <v>340</v>
      </c>
      <c r="M203" s="13">
        <v>44852</v>
      </c>
      <c r="N203" s="13">
        <v>45082</v>
      </c>
      <c r="O203" s="11">
        <v>151</v>
      </c>
      <c r="P203" s="11"/>
      <c r="Q203" s="11"/>
      <c r="R203" s="11"/>
      <c r="S203" s="11">
        <v>702.6</v>
      </c>
      <c r="T203" s="11">
        <v>227.4</v>
      </c>
      <c r="U203" s="11">
        <v>153</v>
      </c>
    </row>
    <row r="204" spans="2:21" hidden="1" x14ac:dyDescent="0.25">
      <c r="B204" s="20" t="s">
        <v>352</v>
      </c>
      <c r="C204" s="20" t="s">
        <v>353</v>
      </c>
      <c r="D204" s="20" t="s">
        <v>354</v>
      </c>
      <c r="E204" s="20" t="s">
        <v>355</v>
      </c>
      <c r="F204" s="20">
        <v>43.126795000000001</v>
      </c>
      <c r="G204" s="20">
        <v>-97.492557000000005</v>
      </c>
      <c r="H204" s="20" t="s">
        <v>137</v>
      </c>
      <c r="I204" s="4" t="s">
        <v>356</v>
      </c>
      <c r="J204" t="s">
        <v>83</v>
      </c>
      <c r="K204" t="s">
        <v>84</v>
      </c>
      <c r="L204" s="5">
        <v>328</v>
      </c>
      <c r="M204" s="1">
        <v>44682</v>
      </c>
      <c r="N204" s="1">
        <v>44841</v>
      </c>
      <c r="O204">
        <v>0</v>
      </c>
      <c r="P204" t="s">
        <v>145</v>
      </c>
    </row>
    <row r="205" spans="2:21" hidden="1" x14ac:dyDescent="0.25">
      <c r="B205" s="6" t="s">
        <v>352</v>
      </c>
      <c r="C205" s="6" t="s">
        <v>353</v>
      </c>
      <c r="D205" s="6" t="s">
        <v>354</v>
      </c>
      <c r="E205" s="6" t="s">
        <v>355</v>
      </c>
      <c r="F205" s="6">
        <v>43.126795000000001</v>
      </c>
      <c r="G205" s="6">
        <v>-97.492557000000005</v>
      </c>
      <c r="H205" s="6" t="s">
        <v>137</v>
      </c>
      <c r="I205" s="4" t="s">
        <v>356</v>
      </c>
      <c r="J205" t="s">
        <v>54</v>
      </c>
      <c r="K205" t="s">
        <v>55</v>
      </c>
      <c r="L205" s="5">
        <v>329</v>
      </c>
      <c r="M205" s="1">
        <v>44682</v>
      </c>
      <c r="N205" s="1">
        <v>44841</v>
      </c>
      <c r="O205">
        <v>0</v>
      </c>
      <c r="P205" t="s">
        <v>145</v>
      </c>
      <c r="S205">
        <v>93</v>
      </c>
      <c r="T205">
        <v>22</v>
      </c>
      <c r="U205">
        <v>16</v>
      </c>
    </row>
    <row r="206" spans="2:21" hidden="1" x14ac:dyDescent="0.25">
      <c r="B206" s="6" t="s">
        <v>352</v>
      </c>
      <c r="C206" s="6" t="s">
        <v>353</v>
      </c>
      <c r="D206" s="6" t="s">
        <v>354</v>
      </c>
      <c r="E206" s="6" t="s">
        <v>355</v>
      </c>
      <c r="F206" s="6">
        <v>43.126795000000001</v>
      </c>
      <c r="G206" s="6">
        <v>-97.492557000000005</v>
      </c>
      <c r="H206" s="6" t="s">
        <v>137</v>
      </c>
      <c r="I206" s="4" t="s">
        <v>356</v>
      </c>
      <c r="J206" t="s">
        <v>56</v>
      </c>
      <c r="K206" t="s">
        <v>57</v>
      </c>
      <c r="L206" s="5">
        <v>340</v>
      </c>
      <c r="M206" s="1">
        <v>44762</v>
      </c>
      <c r="N206" s="1">
        <v>44932</v>
      </c>
      <c r="O206">
        <v>0</v>
      </c>
      <c r="P206" t="s">
        <v>145</v>
      </c>
      <c r="S206">
        <v>220</v>
      </c>
      <c r="T206">
        <v>75</v>
      </c>
      <c r="U206">
        <v>55</v>
      </c>
    </row>
    <row r="207" spans="2:21" hidden="1" x14ac:dyDescent="0.25">
      <c r="B207" s="8" t="s">
        <v>352</v>
      </c>
      <c r="C207" s="8" t="s">
        <v>353</v>
      </c>
      <c r="D207" s="8" t="s">
        <v>354</v>
      </c>
      <c r="E207" s="8" t="s">
        <v>355</v>
      </c>
      <c r="F207" s="8">
        <v>43.126795000000001</v>
      </c>
      <c r="G207" s="8">
        <v>-97.492557000000005</v>
      </c>
      <c r="H207" s="8" t="s">
        <v>137</v>
      </c>
      <c r="I207" s="10" t="s">
        <v>356</v>
      </c>
      <c r="J207" s="11" t="s">
        <v>105</v>
      </c>
      <c r="K207" s="11" t="s">
        <v>59</v>
      </c>
      <c r="L207" s="12">
        <v>556</v>
      </c>
      <c r="M207" s="13">
        <v>44682</v>
      </c>
      <c r="N207" s="13">
        <v>44841</v>
      </c>
      <c r="O207" s="11">
        <v>0</v>
      </c>
      <c r="P207" s="11" t="s">
        <v>145</v>
      </c>
      <c r="Q207" s="11"/>
      <c r="R207" s="11"/>
      <c r="S207" s="11"/>
      <c r="T207" s="11"/>
      <c r="U207" s="11"/>
    </row>
    <row r="208" spans="2:21" hidden="1" x14ac:dyDescent="0.25">
      <c r="B208" s="20" t="s">
        <v>357</v>
      </c>
      <c r="C208" s="20" t="s">
        <v>358</v>
      </c>
      <c r="D208" s="20" t="s">
        <v>359</v>
      </c>
      <c r="E208" s="20" t="s">
        <v>360</v>
      </c>
      <c r="F208" s="20">
        <v>45.700735000000002</v>
      </c>
      <c r="G208" s="20">
        <v>-97.865036000000003</v>
      </c>
      <c r="H208" s="20" t="s">
        <v>169</v>
      </c>
      <c r="I208" s="4">
        <v>2003</v>
      </c>
      <c r="J208" t="s">
        <v>54</v>
      </c>
      <c r="K208" t="s">
        <v>55</v>
      </c>
      <c r="L208" s="5">
        <v>329</v>
      </c>
      <c r="M208" s="1">
        <v>44788</v>
      </c>
      <c r="N208" s="1">
        <v>44789</v>
      </c>
      <c r="O208">
        <v>676</v>
      </c>
      <c r="S208">
        <v>1209.5</v>
      </c>
      <c r="T208">
        <v>181.8</v>
      </c>
      <c r="U208">
        <v>100</v>
      </c>
    </row>
    <row r="209" spans="2:21" hidden="1" x14ac:dyDescent="0.25">
      <c r="B209" s="8" t="s">
        <v>357</v>
      </c>
      <c r="C209" s="8" t="s">
        <v>358</v>
      </c>
      <c r="D209" s="8" t="s">
        <v>359</v>
      </c>
      <c r="E209" s="8" t="s">
        <v>360</v>
      </c>
      <c r="F209" s="8">
        <v>45.700735000000002</v>
      </c>
      <c r="G209" s="8">
        <v>-97.865036000000003</v>
      </c>
      <c r="H209" s="8" t="s">
        <v>169</v>
      </c>
      <c r="I209" s="10">
        <v>2003</v>
      </c>
      <c r="J209" s="11" t="s">
        <v>56</v>
      </c>
      <c r="K209" s="11" t="s">
        <v>57</v>
      </c>
      <c r="L209" s="12">
        <v>340</v>
      </c>
      <c r="M209" s="13">
        <v>44690</v>
      </c>
      <c r="N209" s="13">
        <v>44791</v>
      </c>
      <c r="O209" s="11">
        <v>1000</v>
      </c>
      <c r="P209" s="11"/>
      <c r="Q209" s="11"/>
      <c r="R209" s="11"/>
      <c r="S209" s="11">
        <v>2206.1999999999998</v>
      </c>
      <c r="T209" s="11">
        <v>656.4</v>
      </c>
      <c r="U209" s="11">
        <v>391.5</v>
      </c>
    </row>
    <row r="210" spans="2:21" x14ac:dyDescent="0.25">
      <c r="B210" s="20" t="s">
        <v>361</v>
      </c>
      <c r="C210" s="20" t="s">
        <v>122</v>
      </c>
      <c r="D210" s="20" t="s">
        <v>362</v>
      </c>
      <c r="E210" s="20" t="s">
        <v>222</v>
      </c>
      <c r="F210" s="20">
        <v>44.823754000000001</v>
      </c>
      <c r="G210" s="20">
        <v>-97.206113999999999</v>
      </c>
      <c r="H210" s="20" t="s">
        <v>363</v>
      </c>
      <c r="I210" s="4" t="s">
        <v>364</v>
      </c>
      <c r="J210" t="s">
        <v>83</v>
      </c>
      <c r="K210" t="s">
        <v>84</v>
      </c>
      <c r="L210" s="5">
        <v>328</v>
      </c>
      <c r="M210" s="1">
        <v>45108</v>
      </c>
      <c r="N210" s="1">
        <v>45146</v>
      </c>
      <c r="O210">
        <v>64</v>
      </c>
      <c r="Q210">
        <v>84</v>
      </c>
      <c r="R210">
        <v>84</v>
      </c>
    </row>
    <row r="211" spans="2:21" x14ac:dyDescent="0.25">
      <c r="B211" s="6" t="s">
        <v>361</v>
      </c>
      <c r="C211" s="6" t="s">
        <v>122</v>
      </c>
      <c r="D211" s="6" t="s">
        <v>362</v>
      </c>
      <c r="E211" s="6" t="s">
        <v>222</v>
      </c>
      <c r="F211" s="6">
        <v>44.823754000000001</v>
      </c>
      <c r="G211" s="6">
        <v>-97.206113999999999</v>
      </c>
      <c r="H211" s="6" t="s">
        <v>363</v>
      </c>
      <c r="I211" s="4" t="s">
        <v>364</v>
      </c>
      <c r="J211" t="s">
        <v>54</v>
      </c>
      <c r="K211" t="s">
        <v>55</v>
      </c>
      <c r="L211" s="5">
        <v>329</v>
      </c>
      <c r="M211" s="1">
        <v>45108</v>
      </c>
      <c r="N211" s="1">
        <v>45146</v>
      </c>
      <c r="O211">
        <v>64</v>
      </c>
    </row>
    <row r="212" spans="2:21" x14ac:dyDescent="0.25">
      <c r="B212" s="6" t="s">
        <v>361</v>
      </c>
      <c r="C212" s="6" t="s">
        <v>122</v>
      </c>
      <c r="D212" s="6" t="s">
        <v>362</v>
      </c>
      <c r="E212" s="6" t="s">
        <v>222</v>
      </c>
      <c r="F212" s="6">
        <v>44.823754000000001</v>
      </c>
      <c r="G212" s="6">
        <v>-97.206113999999999</v>
      </c>
      <c r="H212" s="6" t="s">
        <v>363</v>
      </c>
      <c r="I212" s="4" t="s">
        <v>364</v>
      </c>
      <c r="J212" t="s">
        <v>56</v>
      </c>
      <c r="K212" t="s">
        <v>57</v>
      </c>
      <c r="L212" s="5">
        <v>340</v>
      </c>
      <c r="M212" s="1">
        <v>45135</v>
      </c>
      <c r="N212" s="1">
        <v>45148</v>
      </c>
      <c r="O212">
        <v>64</v>
      </c>
      <c r="S212">
        <v>87</v>
      </c>
      <c r="T212">
        <v>26</v>
      </c>
      <c r="U212">
        <v>19</v>
      </c>
    </row>
    <row r="213" spans="2:21" x14ac:dyDescent="0.25">
      <c r="B213" s="6" t="s">
        <v>361</v>
      </c>
      <c r="C213" s="6" t="s">
        <v>122</v>
      </c>
      <c r="D213" s="6" t="s">
        <v>362</v>
      </c>
      <c r="E213" s="6" t="s">
        <v>222</v>
      </c>
      <c r="F213" s="6">
        <v>44.823754000000001</v>
      </c>
      <c r="G213" s="6">
        <v>-97.206113999999999</v>
      </c>
      <c r="H213" s="6" t="s">
        <v>363</v>
      </c>
      <c r="I213" s="4" t="s">
        <v>364</v>
      </c>
      <c r="J213" t="s">
        <v>105</v>
      </c>
      <c r="K213" t="s">
        <v>59</v>
      </c>
      <c r="L213" s="5">
        <v>556</v>
      </c>
      <c r="M213" s="1">
        <v>45202</v>
      </c>
      <c r="N213" s="1">
        <v>45245</v>
      </c>
      <c r="O213">
        <v>64</v>
      </c>
    </row>
    <row r="214" spans="2:21" x14ac:dyDescent="0.25">
      <c r="B214" s="6" t="s">
        <v>361</v>
      </c>
      <c r="C214" s="6" t="s">
        <v>122</v>
      </c>
      <c r="D214" s="6" t="s">
        <v>362</v>
      </c>
      <c r="E214" s="6" t="s">
        <v>222</v>
      </c>
      <c r="F214" s="6">
        <v>44.821370000000002</v>
      </c>
      <c r="G214" s="6">
        <v>-97.202697000000001</v>
      </c>
      <c r="H214" s="6" t="s">
        <v>363</v>
      </c>
      <c r="I214" s="4" t="s">
        <v>365</v>
      </c>
      <c r="J214" t="s">
        <v>83</v>
      </c>
      <c r="K214" t="s">
        <v>84</v>
      </c>
      <c r="L214" s="5">
        <v>328</v>
      </c>
      <c r="M214" s="1">
        <v>45717</v>
      </c>
      <c r="N214" s="1">
        <v>45756</v>
      </c>
      <c r="O214">
        <v>20</v>
      </c>
    </row>
    <row r="215" spans="2:21" x14ac:dyDescent="0.25">
      <c r="B215" s="6" t="s">
        <v>361</v>
      </c>
      <c r="C215" s="6" t="s">
        <v>122</v>
      </c>
      <c r="D215" s="6" t="s">
        <v>362</v>
      </c>
      <c r="E215" s="6" t="s">
        <v>222</v>
      </c>
      <c r="F215" s="6">
        <v>44.821370000000002</v>
      </c>
      <c r="G215" s="6">
        <v>-97.202697000000001</v>
      </c>
      <c r="H215" s="6" t="s">
        <v>363</v>
      </c>
      <c r="I215" s="4" t="s">
        <v>365</v>
      </c>
      <c r="J215" t="s">
        <v>54</v>
      </c>
      <c r="K215" t="s">
        <v>55</v>
      </c>
      <c r="L215" s="5">
        <v>329</v>
      </c>
      <c r="M215" s="1">
        <v>45717</v>
      </c>
      <c r="N215" s="1">
        <v>45756</v>
      </c>
      <c r="O215">
        <v>20</v>
      </c>
      <c r="S215">
        <v>55</v>
      </c>
      <c r="T215">
        <v>12</v>
      </c>
      <c r="U215">
        <v>8</v>
      </c>
    </row>
    <row r="216" spans="2:21" x14ac:dyDescent="0.25">
      <c r="B216" s="8" t="s">
        <v>361</v>
      </c>
      <c r="C216" s="8" t="s">
        <v>122</v>
      </c>
      <c r="D216" s="8" t="s">
        <v>362</v>
      </c>
      <c r="E216" s="8" t="s">
        <v>222</v>
      </c>
      <c r="F216" s="8">
        <v>44.821370000000002</v>
      </c>
      <c r="G216" s="8">
        <v>-97.202697000000001</v>
      </c>
      <c r="H216" s="8" t="s">
        <v>363</v>
      </c>
      <c r="I216" s="10" t="s">
        <v>365</v>
      </c>
      <c r="J216" s="11" t="s">
        <v>132</v>
      </c>
      <c r="K216" s="11" t="s">
        <v>133</v>
      </c>
      <c r="L216" s="12"/>
      <c r="M216" s="13">
        <v>45721</v>
      </c>
      <c r="N216" s="13">
        <v>45743</v>
      </c>
      <c r="O216" s="11">
        <v>20</v>
      </c>
      <c r="P216" s="11"/>
      <c r="Q216" s="11"/>
      <c r="R216" s="11"/>
      <c r="S216" s="11">
        <v>119</v>
      </c>
      <c r="T216" s="11">
        <v>39</v>
      </c>
      <c r="U216" s="11">
        <v>28</v>
      </c>
    </row>
    <row r="217" spans="2:21" hidden="1" x14ac:dyDescent="0.25">
      <c r="B217" s="20" t="s">
        <v>366</v>
      </c>
      <c r="C217" s="20" t="s">
        <v>367</v>
      </c>
      <c r="D217" s="20" t="s">
        <v>368</v>
      </c>
      <c r="E217" s="20" t="s">
        <v>69</v>
      </c>
      <c r="F217" s="20">
        <v>43.783549999999998</v>
      </c>
      <c r="G217" s="20">
        <v>-98.135919999999999</v>
      </c>
      <c r="H217" s="20" t="s">
        <v>189</v>
      </c>
      <c r="I217" s="4" t="s">
        <v>144</v>
      </c>
      <c r="J217" t="s">
        <v>54</v>
      </c>
      <c r="K217" t="s">
        <v>55</v>
      </c>
      <c r="L217" s="5">
        <v>329</v>
      </c>
      <c r="M217" s="1">
        <v>44287</v>
      </c>
      <c r="N217" s="1">
        <v>44409</v>
      </c>
      <c r="O217">
        <v>0</v>
      </c>
      <c r="P217" t="s">
        <v>145</v>
      </c>
      <c r="S217">
        <v>887</v>
      </c>
      <c r="T217">
        <v>109</v>
      </c>
      <c r="U217">
        <v>49</v>
      </c>
    </row>
    <row r="218" spans="2:21" hidden="1" x14ac:dyDescent="0.25">
      <c r="B218" s="8" t="s">
        <v>366</v>
      </c>
      <c r="C218" s="8" t="s">
        <v>367</v>
      </c>
      <c r="D218" s="8" t="s">
        <v>368</v>
      </c>
      <c r="E218" s="8" t="s">
        <v>69</v>
      </c>
      <c r="F218" s="8">
        <v>43.783549999999998</v>
      </c>
      <c r="G218" s="8">
        <v>-98.135919999999999</v>
      </c>
      <c r="H218" s="8" t="s">
        <v>189</v>
      </c>
      <c r="I218" s="10" t="s">
        <v>144</v>
      </c>
      <c r="J218" s="11" t="s">
        <v>56</v>
      </c>
      <c r="K218" s="11" t="s">
        <v>57</v>
      </c>
      <c r="L218" s="12">
        <v>340</v>
      </c>
      <c r="M218" s="13">
        <v>44287</v>
      </c>
      <c r="N218" s="13">
        <v>44409</v>
      </c>
      <c r="O218" s="11">
        <v>0</v>
      </c>
      <c r="P218" s="11" t="s">
        <v>145</v>
      </c>
      <c r="Q218" s="11"/>
      <c r="R218" s="11"/>
      <c r="S218" s="11">
        <v>1405</v>
      </c>
      <c r="T218" s="11">
        <v>382</v>
      </c>
      <c r="U218" s="11">
        <v>194</v>
      </c>
    </row>
    <row r="219" spans="2:21" x14ac:dyDescent="0.25">
      <c r="B219" s="20" t="s">
        <v>369</v>
      </c>
      <c r="C219" s="20" t="s">
        <v>370</v>
      </c>
      <c r="D219" s="20" t="s">
        <v>371</v>
      </c>
      <c r="E219" s="20" t="s">
        <v>347</v>
      </c>
      <c r="F219" s="20">
        <v>45.585132000000002</v>
      </c>
      <c r="G219" s="20">
        <v>-97.370344000000003</v>
      </c>
      <c r="H219" s="20" t="s">
        <v>169</v>
      </c>
      <c r="I219" s="4" t="s">
        <v>372</v>
      </c>
      <c r="J219" t="s">
        <v>54</v>
      </c>
      <c r="K219" t="s">
        <v>55</v>
      </c>
      <c r="L219" s="5">
        <v>329</v>
      </c>
      <c r="M219" s="1">
        <v>45152</v>
      </c>
      <c r="N219" s="1">
        <v>45152</v>
      </c>
      <c r="O219">
        <v>183</v>
      </c>
      <c r="S219">
        <v>313.5</v>
      </c>
      <c r="T219">
        <v>67.900000000000006</v>
      </c>
      <c r="U219">
        <v>46.2</v>
      </c>
    </row>
    <row r="220" spans="2:21" x14ac:dyDescent="0.25">
      <c r="B220" s="8" t="s">
        <v>369</v>
      </c>
      <c r="C220" s="8" t="s">
        <v>370</v>
      </c>
      <c r="D220" s="8" t="s">
        <v>371</v>
      </c>
      <c r="E220" s="8" t="s">
        <v>347</v>
      </c>
      <c r="F220" s="8">
        <v>45.585132000000002</v>
      </c>
      <c r="G220" s="8">
        <v>-97.370344000000003</v>
      </c>
      <c r="H220" s="8" t="s">
        <v>169</v>
      </c>
      <c r="I220" s="10" t="s">
        <v>372</v>
      </c>
      <c r="J220" s="11" t="s">
        <v>56</v>
      </c>
      <c r="K220" s="11" t="s">
        <v>57</v>
      </c>
      <c r="L220" s="12">
        <v>340</v>
      </c>
      <c r="M220" s="13">
        <v>45112</v>
      </c>
      <c r="N220" s="13">
        <v>45126</v>
      </c>
      <c r="O220" s="11">
        <v>183</v>
      </c>
      <c r="P220" s="11"/>
      <c r="Q220" s="11"/>
      <c r="R220" s="11"/>
      <c r="S220" s="11">
        <v>756.8</v>
      </c>
      <c r="T220" s="11">
        <v>255.4</v>
      </c>
      <c r="U220" s="11">
        <v>181</v>
      </c>
    </row>
    <row r="221" spans="2:21" hidden="1" x14ac:dyDescent="0.25">
      <c r="B221" s="20" t="s">
        <v>373</v>
      </c>
      <c r="C221" s="20" t="s">
        <v>374</v>
      </c>
      <c r="D221" s="20" t="s">
        <v>375</v>
      </c>
      <c r="E221" s="20" t="s">
        <v>376</v>
      </c>
      <c r="F221" s="20">
        <v>43.742550000000001</v>
      </c>
      <c r="G221" s="20">
        <v>-97.307012999999998</v>
      </c>
      <c r="H221" s="20" t="s">
        <v>377</v>
      </c>
      <c r="I221" s="4" t="s">
        <v>378</v>
      </c>
      <c r="J221" t="s">
        <v>54</v>
      </c>
      <c r="K221" t="s">
        <v>55</v>
      </c>
      <c r="L221" s="5">
        <v>329</v>
      </c>
      <c r="M221" s="1">
        <v>44287</v>
      </c>
      <c r="N221" s="1">
        <v>44409</v>
      </c>
      <c r="O221">
        <v>0</v>
      </c>
      <c r="P221" t="s">
        <v>145</v>
      </c>
      <c r="S221">
        <v>650</v>
      </c>
      <c r="T221">
        <v>93</v>
      </c>
      <c r="U221">
        <v>49</v>
      </c>
    </row>
    <row r="222" spans="2:21" hidden="1" x14ac:dyDescent="0.25">
      <c r="B222" s="8" t="s">
        <v>373</v>
      </c>
      <c r="C222" s="8" t="s">
        <v>374</v>
      </c>
      <c r="D222" s="8" t="s">
        <v>375</v>
      </c>
      <c r="E222" s="8" t="s">
        <v>376</v>
      </c>
      <c r="F222" s="8">
        <v>43.742550000000001</v>
      </c>
      <c r="G222" s="8">
        <v>-97.307012999999998</v>
      </c>
      <c r="H222" s="8" t="s">
        <v>377</v>
      </c>
      <c r="I222" s="10" t="s">
        <v>378</v>
      </c>
      <c r="J222" s="11" t="s">
        <v>56</v>
      </c>
      <c r="K222" s="11" t="s">
        <v>57</v>
      </c>
      <c r="L222" s="12">
        <v>340</v>
      </c>
      <c r="M222" s="13">
        <v>44287</v>
      </c>
      <c r="N222" s="13">
        <v>44385</v>
      </c>
      <c r="O222" s="11">
        <v>0</v>
      </c>
      <c r="P222" s="11" t="s">
        <v>145</v>
      </c>
      <c r="Q222" s="11"/>
      <c r="R222" s="11"/>
      <c r="S222" s="11">
        <v>501</v>
      </c>
      <c r="T222" s="11">
        <v>157</v>
      </c>
      <c r="U222" s="11">
        <v>101</v>
      </c>
    </row>
    <row r="223" spans="2:21" hidden="1" x14ac:dyDescent="0.25">
      <c r="B223" s="20" t="s">
        <v>379</v>
      </c>
      <c r="C223" s="20" t="s">
        <v>380</v>
      </c>
      <c r="D223" s="20" t="s">
        <v>381</v>
      </c>
      <c r="E223" s="20" t="s">
        <v>382</v>
      </c>
      <c r="F223" s="20">
        <v>43.604491000000003</v>
      </c>
      <c r="G223" s="20">
        <v>-98.774021000000005</v>
      </c>
      <c r="H223" s="20" t="s">
        <v>383</v>
      </c>
      <c r="I223" s="4">
        <v>20211012</v>
      </c>
      <c r="J223" t="s">
        <v>56</v>
      </c>
      <c r="K223" t="s">
        <v>57</v>
      </c>
      <c r="L223" s="5">
        <v>340</v>
      </c>
      <c r="M223" s="1">
        <v>44317</v>
      </c>
      <c r="N223" s="1">
        <v>44502</v>
      </c>
      <c r="O223">
        <v>0</v>
      </c>
      <c r="P223" t="s">
        <v>145</v>
      </c>
      <c r="S223">
        <v>88</v>
      </c>
      <c r="T223">
        <v>27</v>
      </c>
      <c r="U223">
        <v>16</v>
      </c>
    </row>
    <row r="224" spans="2:21" hidden="1" x14ac:dyDescent="0.25">
      <c r="B224" s="8" t="s">
        <v>379</v>
      </c>
      <c r="C224" s="8" t="s">
        <v>380</v>
      </c>
      <c r="D224" s="8" t="s">
        <v>381</v>
      </c>
      <c r="E224" s="8" t="s">
        <v>382</v>
      </c>
      <c r="F224" s="8">
        <v>43.597665999999997</v>
      </c>
      <c r="G224" s="8">
        <v>-98.764962999999995</v>
      </c>
      <c r="H224" s="8" t="s">
        <v>383</v>
      </c>
      <c r="I224" s="10">
        <v>20211012</v>
      </c>
      <c r="J224" s="11" t="s">
        <v>56</v>
      </c>
      <c r="K224" s="11" t="s">
        <v>57</v>
      </c>
      <c r="L224" s="12">
        <v>340</v>
      </c>
      <c r="M224" s="13">
        <v>44424</v>
      </c>
      <c r="N224" s="13">
        <v>44494</v>
      </c>
      <c r="O224" s="11">
        <v>0</v>
      </c>
      <c r="P224" s="11" t="s">
        <v>145</v>
      </c>
      <c r="Q224" s="11"/>
      <c r="R224" s="11"/>
      <c r="S224" s="11">
        <v>195</v>
      </c>
      <c r="T224" s="11">
        <v>58</v>
      </c>
      <c r="U224" s="11">
        <v>35</v>
      </c>
    </row>
    <row r="225" spans="2:22" hidden="1" x14ac:dyDescent="0.25">
      <c r="B225" s="30" t="s">
        <v>379</v>
      </c>
      <c r="C225" s="30" t="s">
        <v>126</v>
      </c>
      <c r="D225" s="30" t="s">
        <v>381</v>
      </c>
      <c r="E225" s="30" t="s">
        <v>69</v>
      </c>
      <c r="F225" s="30">
        <v>43.748218999999999</v>
      </c>
      <c r="G225" s="30">
        <v>-97.990437</v>
      </c>
      <c r="H225" s="30" t="s">
        <v>189</v>
      </c>
      <c r="I225" s="25" t="s">
        <v>384</v>
      </c>
      <c r="J225" s="24" t="s">
        <v>75</v>
      </c>
      <c r="K225" s="24" t="s">
        <v>304</v>
      </c>
      <c r="L225" s="26">
        <v>516</v>
      </c>
      <c r="M225" s="27">
        <v>44502</v>
      </c>
      <c r="N225" s="27">
        <v>44793</v>
      </c>
      <c r="O225" s="24">
        <v>301</v>
      </c>
      <c r="P225" s="24"/>
      <c r="Q225" s="24"/>
      <c r="R225" s="24"/>
      <c r="S225" s="24">
        <v>483.3</v>
      </c>
      <c r="T225" s="24">
        <v>67.7</v>
      </c>
      <c r="U225" s="24">
        <v>23.4</v>
      </c>
      <c r="V225" s="28" t="s">
        <v>385</v>
      </c>
    </row>
    <row r="226" spans="2:22" hidden="1" x14ac:dyDescent="0.25">
      <c r="B226" s="20" t="s">
        <v>386</v>
      </c>
      <c r="C226" s="20" t="s">
        <v>387</v>
      </c>
      <c r="D226" s="20" t="s">
        <v>388</v>
      </c>
      <c r="E226" s="20" t="s">
        <v>291</v>
      </c>
      <c r="F226" s="20">
        <v>44.599328999999997</v>
      </c>
      <c r="G226" s="20">
        <v>-97.118268999999998</v>
      </c>
      <c r="H226" s="20" t="s">
        <v>128</v>
      </c>
      <c r="I226" s="4" t="s">
        <v>378</v>
      </c>
      <c r="J226" t="s">
        <v>83</v>
      </c>
      <c r="K226" t="s">
        <v>84</v>
      </c>
      <c r="L226" s="5">
        <v>328</v>
      </c>
      <c r="M226" s="1">
        <v>44287</v>
      </c>
      <c r="N226" s="1">
        <v>44409</v>
      </c>
      <c r="O226">
        <v>0</v>
      </c>
      <c r="P226" t="s">
        <v>145</v>
      </c>
    </row>
    <row r="227" spans="2:22" hidden="1" x14ac:dyDescent="0.25">
      <c r="B227" s="6" t="s">
        <v>386</v>
      </c>
      <c r="C227" s="6" t="s">
        <v>387</v>
      </c>
      <c r="D227" s="6" t="s">
        <v>388</v>
      </c>
      <c r="E227" s="6" t="s">
        <v>291</v>
      </c>
      <c r="F227" s="6">
        <v>44.599328999999997</v>
      </c>
      <c r="G227" s="6">
        <v>-97.118268999999998</v>
      </c>
      <c r="H227" s="6" t="s">
        <v>128</v>
      </c>
      <c r="I227" s="4" t="s">
        <v>378</v>
      </c>
      <c r="J227" t="s">
        <v>54</v>
      </c>
      <c r="K227" t="s">
        <v>55</v>
      </c>
      <c r="L227" s="5">
        <v>329</v>
      </c>
      <c r="M227" s="1">
        <v>44287</v>
      </c>
      <c r="N227" s="1">
        <v>44409</v>
      </c>
      <c r="O227">
        <v>0</v>
      </c>
      <c r="P227" t="s">
        <v>145</v>
      </c>
      <c r="S227">
        <v>363</v>
      </c>
      <c r="T227">
        <v>61</v>
      </c>
      <c r="U227">
        <v>36</v>
      </c>
    </row>
    <row r="228" spans="2:22" hidden="1" x14ac:dyDescent="0.25">
      <c r="B228" s="8" t="s">
        <v>386</v>
      </c>
      <c r="C228" s="8" t="s">
        <v>387</v>
      </c>
      <c r="D228" s="8" t="s">
        <v>388</v>
      </c>
      <c r="E228" s="8" t="s">
        <v>291</v>
      </c>
      <c r="F228" s="8">
        <v>44.599328999999997</v>
      </c>
      <c r="G228" s="8">
        <v>-97.118268999999998</v>
      </c>
      <c r="H228" s="8" t="s">
        <v>128</v>
      </c>
      <c r="I228" s="10" t="s">
        <v>378</v>
      </c>
      <c r="J228" s="11" t="s">
        <v>56</v>
      </c>
      <c r="K228" s="11" t="s">
        <v>57</v>
      </c>
      <c r="L228" s="12">
        <v>340</v>
      </c>
      <c r="M228" s="13">
        <v>44287</v>
      </c>
      <c r="N228" s="13">
        <v>44409</v>
      </c>
      <c r="O228" s="11">
        <v>0</v>
      </c>
      <c r="P228" s="11" t="s">
        <v>145</v>
      </c>
      <c r="Q228" s="11"/>
      <c r="R228" s="11"/>
      <c r="S228" s="11">
        <v>154</v>
      </c>
      <c r="T228" s="11">
        <v>49</v>
      </c>
      <c r="U228" s="11">
        <v>33</v>
      </c>
    </row>
    <row r="229" spans="2:22" hidden="1" x14ac:dyDescent="0.25">
      <c r="B229" s="20" t="s">
        <v>389</v>
      </c>
      <c r="C229" s="20" t="s">
        <v>390</v>
      </c>
      <c r="D229" s="20" t="s">
        <v>391</v>
      </c>
      <c r="E229" s="20" t="s">
        <v>257</v>
      </c>
      <c r="F229" s="20">
        <v>44.031689</v>
      </c>
      <c r="G229" s="20">
        <v>-96.724134000000006</v>
      </c>
      <c r="H229" s="20" t="s">
        <v>258</v>
      </c>
      <c r="I229" s="4" t="s">
        <v>392</v>
      </c>
      <c r="J229" t="s">
        <v>54</v>
      </c>
      <c r="K229" t="s">
        <v>55</v>
      </c>
      <c r="L229" s="5">
        <v>329</v>
      </c>
      <c r="M229" s="1">
        <v>44682</v>
      </c>
      <c r="N229" s="1">
        <v>44875</v>
      </c>
      <c r="O229">
        <v>0</v>
      </c>
      <c r="P229" t="s">
        <v>145</v>
      </c>
      <c r="S229">
        <v>472</v>
      </c>
      <c r="T229">
        <v>84</v>
      </c>
      <c r="U229">
        <v>52</v>
      </c>
    </row>
    <row r="230" spans="2:22" hidden="1" x14ac:dyDescent="0.25">
      <c r="B230" s="6" t="s">
        <v>389</v>
      </c>
      <c r="C230" s="6" t="s">
        <v>390</v>
      </c>
      <c r="D230" s="6" t="s">
        <v>391</v>
      </c>
      <c r="E230" s="6" t="s">
        <v>257</v>
      </c>
      <c r="F230" s="6">
        <v>44.031689</v>
      </c>
      <c r="G230" s="6">
        <v>-96.724134000000006</v>
      </c>
      <c r="H230" s="6" t="s">
        <v>258</v>
      </c>
      <c r="I230" s="4" t="s">
        <v>392</v>
      </c>
      <c r="J230" t="s">
        <v>56</v>
      </c>
      <c r="K230" t="s">
        <v>57</v>
      </c>
      <c r="L230" s="5">
        <v>340</v>
      </c>
      <c r="M230" s="1">
        <v>44743</v>
      </c>
      <c r="N230" s="1">
        <v>44887</v>
      </c>
      <c r="O230">
        <v>0</v>
      </c>
      <c r="P230" t="s">
        <v>145</v>
      </c>
      <c r="S230">
        <v>900</v>
      </c>
      <c r="T230">
        <v>276</v>
      </c>
      <c r="U230">
        <v>180</v>
      </c>
    </row>
    <row r="231" spans="2:22" hidden="1" x14ac:dyDescent="0.25">
      <c r="B231" s="8" t="s">
        <v>389</v>
      </c>
      <c r="C231" s="8" t="s">
        <v>390</v>
      </c>
      <c r="D231" s="8" t="s">
        <v>391</v>
      </c>
      <c r="E231" s="8" t="s">
        <v>257</v>
      </c>
      <c r="F231" s="8">
        <v>44.031689</v>
      </c>
      <c r="G231" s="8">
        <v>-96.724134000000006</v>
      </c>
      <c r="H231" s="8" t="s">
        <v>258</v>
      </c>
      <c r="I231" s="10" t="s">
        <v>392</v>
      </c>
      <c r="J231" s="11" t="s">
        <v>105</v>
      </c>
      <c r="K231" s="11" t="s">
        <v>59</v>
      </c>
      <c r="L231" s="12">
        <v>556</v>
      </c>
      <c r="M231" s="13">
        <v>44682</v>
      </c>
      <c r="N231" s="13">
        <v>44875</v>
      </c>
      <c r="O231" s="11">
        <v>0</v>
      </c>
      <c r="P231" s="11" t="s">
        <v>145</v>
      </c>
      <c r="Q231" s="11"/>
      <c r="R231" s="11"/>
      <c r="S231" s="11"/>
      <c r="T231" s="11"/>
      <c r="U231" s="11"/>
    </row>
    <row r="232" spans="2:22" hidden="1" x14ac:dyDescent="0.25">
      <c r="B232" s="20" t="s">
        <v>393</v>
      </c>
      <c r="C232" s="20" t="s">
        <v>195</v>
      </c>
      <c r="D232" s="20" t="s">
        <v>394</v>
      </c>
      <c r="E232" s="20" t="s">
        <v>395</v>
      </c>
      <c r="F232" s="20">
        <v>45.548445999999998</v>
      </c>
      <c r="G232" s="20">
        <v>-97.105709000000004</v>
      </c>
      <c r="H232" s="20" t="s">
        <v>396</v>
      </c>
      <c r="I232" s="4">
        <v>202210</v>
      </c>
      <c r="J232" t="s">
        <v>54</v>
      </c>
      <c r="K232" t="s">
        <v>55</v>
      </c>
      <c r="L232" s="5">
        <v>329</v>
      </c>
      <c r="M232" s="1">
        <v>44682</v>
      </c>
      <c r="N232" s="1">
        <v>44845</v>
      </c>
      <c r="O232">
        <v>160</v>
      </c>
      <c r="S232">
        <v>301</v>
      </c>
      <c r="T232">
        <v>65</v>
      </c>
      <c r="U232">
        <v>44</v>
      </c>
    </row>
    <row r="233" spans="2:22" hidden="1" x14ac:dyDescent="0.25">
      <c r="B233" s="8" t="s">
        <v>393</v>
      </c>
      <c r="C233" s="8" t="s">
        <v>195</v>
      </c>
      <c r="D233" s="8" t="s">
        <v>394</v>
      </c>
      <c r="E233" s="8" t="s">
        <v>395</v>
      </c>
      <c r="F233" s="8">
        <v>45.548445999999998</v>
      </c>
      <c r="G233" s="8">
        <v>-97.105709000000004</v>
      </c>
      <c r="H233" s="8" t="s">
        <v>396</v>
      </c>
      <c r="I233" s="10">
        <v>202210</v>
      </c>
      <c r="J233" s="11" t="s">
        <v>56</v>
      </c>
      <c r="K233" s="11" t="s">
        <v>57</v>
      </c>
      <c r="L233" s="12">
        <v>340</v>
      </c>
      <c r="M233" s="13">
        <v>44652</v>
      </c>
      <c r="N233" s="13">
        <v>44823</v>
      </c>
      <c r="O233" s="11">
        <v>160</v>
      </c>
      <c r="P233" s="11"/>
      <c r="Q233" s="11"/>
      <c r="R233" s="11"/>
      <c r="S233" s="11">
        <v>720</v>
      </c>
      <c r="T233" s="11">
        <v>242</v>
      </c>
      <c r="U233" s="11">
        <v>171</v>
      </c>
    </row>
    <row r="234" spans="2:22" hidden="1" x14ac:dyDescent="0.25">
      <c r="B234" s="20" t="s">
        <v>397</v>
      </c>
      <c r="C234" s="20" t="s">
        <v>398</v>
      </c>
      <c r="D234" s="20" t="s">
        <v>399</v>
      </c>
      <c r="E234" s="20" t="s">
        <v>302</v>
      </c>
      <c r="F234" s="20">
        <v>45.206733</v>
      </c>
      <c r="G234" s="20">
        <v>-96.834397999999993</v>
      </c>
      <c r="H234" s="20" t="s">
        <v>400</v>
      </c>
      <c r="I234" s="4">
        <v>202205</v>
      </c>
      <c r="J234" t="s">
        <v>54</v>
      </c>
      <c r="K234" t="s">
        <v>55</v>
      </c>
      <c r="L234" s="5">
        <v>329</v>
      </c>
      <c r="M234" s="1">
        <v>44774</v>
      </c>
      <c r="N234" s="1">
        <v>45139</v>
      </c>
      <c r="O234">
        <v>27</v>
      </c>
      <c r="S234">
        <v>118</v>
      </c>
      <c r="T234">
        <v>39</v>
      </c>
      <c r="U234">
        <v>27</v>
      </c>
    </row>
    <row r="235" spans="2:22" hidden="1" x14ac:dyDescent="0.25">
      <c r="B235" s="8" t="s">
        <v>397</v>
      </c>
      <c r="C235" s="8" t="s">
        <v>398</v>
      </c>
      <c r="D235" s="8" t="s">
        <v>399</v>
      </c>
      <c r="E235" s="8" t="s">
        <v>302</v>
      </c>
      <c r="F235" s="8">
        <v>45.206733</v>
      </c>
      <c r="G235" s="8">
        <v>-96.834397999999993</v>
      </c>
      <c r="H235" s="8" t="s">
        <v>400</v>
      </c>
      <c r="I235" s="10">
        <v>202205</v>
      </c>
      <c r="J235" s="11" t="s">
        <v>56</v>
      </c>
      <c r="K235" s="11" t="s">
        <v>57</v>
      </c>
      <c r="L235" s="12">
        <v>340</v>
      </c>
      <c r="M235" s="13">
        <v>44718</v>
      </c>
      <c r="N235" s="13">
        <v>44885</v>
      </c>
      <c r="O235" s="11">
        <v>27</v>
      </c>
      <c r="P235" s="11"/>
      <c r="Q235" s="11"/>
      <c r="R235" s="11"/>
      <c r="S235" s="11">
        <v>54</v>
      </c>
      <c r="T235" s="11">
        <v>12</v>
      </c>
      <c r="U235" s="11">
        <v>8</v>
      </c>
    </row>
    <row r="236" spans="2:22" hidden="1" x14ac:dyDescent="0.25">
      <c r="B236" s="20" t="s">
        <v>397</v>
      </c>
      <c r="C236" s="20" t="s">
        <v>401</v>
      </c>
      <c r="D236" s="20" t="s">
        <v>402</v>
      </c>
      <c r="E236" s="20" t="s">
        <v>302</v>
      </c>
      <c r="F236" s="20">
        <v>45.192798000000003</v>
      </c>
      <c r="G236" s="20">
        <v>-96.825912000000002</v>
      </c>
      <c r="H236" s="20" t="s">
        <v>400</v>
      </c>
      <c r="I236" s="4">
        <v>2021200</v>
      </c>
      <c r="J236" t="s">
        <v>54</v>
      </c>
      <c r="K236" t="s">
        <v>55</v>
      </c>
      <c r="L236" s="5">
        <v>329</v>
      </c>
      <c r="M236" s="1">
        <v>44440</v>
      </c>
      <c r="N236" s="1">
        <v>44498</v>
      </c>
      <c r="O236">
        <v>20</v>
      </c>
      <c r="Q236">
        <v>420</v>
      </c>
      <c r="R236">
        <v>374</v>
      </c>
      <c r="S236">
        <v>97</v>
      </c>
      <c r="T236">
        <v>27</v>
      </c>
      <c r="U236">
        <v>18</v>
      </c>
    </row>
    <row r="237" spans="2:22" hidden="1" x14ac:dyDescent="0.25">
      <c r="B237" s="6" t="s">
        <v>397</v>
      </c>
      <c r="C237" s="6" t="s">
        <v>401</v>
      </c>
      <c r="D237" s="6" t="s">
        <v>402</v>
      </c>
      <c r="E237" s="6" t="s">
        <v>274</v>
      </c>
      <c r="F237" s="6">
        <v>45.220511999999999</v>
      </c>
      <c r="G237" s="6">
        <v>-96.840352999999993</v>
      </c>
      <c r="H237" s="6" t="s">
        <v>400</v>
      </c>
      <c r="I237" s="4">
        <v>2021200</v>
      </c>
      <c r="J237" t="s">
        <v>54</v>
      </c>
      <c r="K237" t="s">
        <v>55</v>
      </c>
      <c r="L237" s="5">
        <v>329</v>
      </c>
      <c r="M237" s="1">
        <v>44287</v>
      </c>
      <c r="N237" s="1">
        <v>44452</v>
      </c>
      <c r="O237">
        <v>15</v>
      </c>
      <c r="S237">
        <v>65</v>
      </c>
      <c r="T237">
        <v>18</v>
      </c>
      <c r="U237">
        <v>12</v>
      </c>
    </row>
    <row r="238" spans="2:22" hidden="1" x14ac:dyDescent="0.25">
      <c r="B238" s="6" t="s">
        <v>397</v>
      </c>
      <c r="C238" s="6" t="s">
        <v>401</v>
      </c>
      <c r="D238" s="6" t="s">
        <v>402</v>
      </c>
      <c r="E238" s="6" t="s">
        <v>302</v>
      </c>
      <c r="F238" s="6">
        <v>45.210529999999999</v>
      </c>
      <c r="G238" s="6">
        <v>-96.831704000000002</v>
      </c>
      <c r="H238" s="6" t="s">
        <v>400</v>
      </c>
      <c r="I238" s="4">
        <v>2021200</v>
      </c>
      <c r="J238" t="s">
        <v>54</v>
      </c>
      <c r="K238" t="s">
        <v>55</v>
      </c>
      <c r="L238" s="5">
        <v>329</v>
      </c>
      <c r="M238" s="1">
        <v>44470</v>
      </c>
      <c r="N238" s="1">
        <v>44484</v>
      </c>
      <c r="O238">
        <v>80</v>
      </c>
      <c r="S238">
        <v>309</v>
      </c>
      <c r="T238">
        <v>82</v>
      </c>
      <c r="U238">
        <v>52</v>
      </c>
    </row>
    <row r="239" spans="2:22" hidden="1" x14ac:dyDescent="0.25">
      <c r="B239" s="6" t="s">
        <v>397</v>
      </c>
      <c r="C239" s="6" t="s">
        <v>401</v>
      </c>
      <c r="D239" s="6" t="s">
        <v>402</v>
      </c>
      <c r="E239" s="6" t="s">
        <v>302</v>
      </c>
      <c r="F239" s="6">
        <v>45.180712</v>
      </c>
      <c r="G239" s="6">
        <v>-96.826802000000001</v>
      </c>
      <c r="H239" s="6" t="s">
        <v>400</v>
      </c>
      <c r="I239" s="4">
        <v>2021200</v>
      </c>
      <c r="J239" t="s">
        <v>54</v>
      </c>
      <c r="K239" t="s">
        <v>55</v>
      </c>
      <c r="L239" s="5">
        <v>329</v>
      </c>
      <c r="M239" s="1">
        <v>44440</v>
      </c>
      <c r="N239" s="1">
        <v>44874</v>
      </c>
      <c r="O239">
        <v>95</v>
      </c>
    </row>
    <row r="240" spans="2:22" hidden="1" x14ac:dyDescent="0.25">
      <c r="B240" s="6" t="s">
        <v>397</v>
      </c>
      <c r="C240" s="6" t="s">
        <v>401</v>
      </c>
      <c r="D240" s="6" t="s">
        <v>402</v>
      </c>
      <c r="E240" s="6" t="s">
        <v>302</v>
      </c>
      <c r="F240" s="6">
        <v>45.210529999999999</v>
      </c>
      <c r="G240" s="6">
        <v>-96.831704000000002</v>
      </c>
      <c r="H240" s="6" t="s">
        <v>400</v>
      </c>
      <c r="I240" s="4">
        <v>2021200</v>
      </c>
      <c r="J240" t="s">
        <v>56</v>
      </c>
      <c r="K240" t="s">
        <v>57</v>
      </c>
      <c r="L240" s="5">
        <v>340</v>
      </c>
      <c r="M240" s="1">
        <v>44470</v>
      </c>
      <c r="N240" s="1">
        <v>44487</v>
      </c>
      <c r="O240">
        <v>95</v>
      </c>
      <c r="S240">
        <v>386</v>
      </c>
      <c r="T240">
        <v>122</v>
      </c>
      <c r="U240">
        <v>79</v>
      </c>
    </row>
    <row r="241" spans="2:21" hidden="1" x14ac:dyDescent="0.25">
      <c r="B241" s="6" t="s">
        <v>397</v>
      </c>
      <c r="C241" s="6" t="s">
        <v>401</v>
      </c>
      <c r="D241" s="6" t="s">
        <v>402</v>
      </c>
      <c r="E241" s="6" t="s">
        <v>274</v>
      </c>
      <c r="F241" s="6">
        <v>45.220511999999999</v>
      </c>
      <c r="G241" s="6">
        <v>-96.840352999999993</v>
      </c>
      <c r="H241" s="6" t="s">
        <v>400</v>
      </c>
      <c r="I241" s="4">
        <v>2021200</v>
      </c>
      <c r="J241" t="s">
        <v>56</v>
      </c>
      <c r="K241" t="s">
        <v>57</v>
      </c>
      <c r="L241" s="5">
        <v>340</v>
      </c>
      <c r="M241" s="1">
        <v>44440</v>
      </c>
      <c r="N241" s="1">
        <v>44462</v>
      </c>
      <c r="O241">
        <v>15</v>
      </c>
      <c r="S241">
        <v>83</v>
      </c>
      <c r="T241">
        <v>27</v>
      </c>
      <c r="U241">
        <v>18</v>
      </c>
    </row>
    <row r="242" spans="2:21" hidden="1" x14ac:dyDescent="0.25">
      <c r="B242" s="6" t="s">
        <v>397</v>
      </c>
      <c r="C242" s="6" t="s">
        <v>401</v>
      </c>
      <c r="D242" s="6" t="s">
        <v>402</v>
      </c>
      <c r="E242" s="6" t="s">
        <v>302</v>
      </c>
      <c r="F242" s="6">
        <v>45.192798000000003</v>
      </c>
      <c r="G242" s="6">
        <v>-96.825912000000002</v>
      </c>
      <c r="H242" s="6" t="s">
        <v>400</v>
      </c>
      <c r="I242" s="4">
        <v>2021200</v>
      </c>
      <c r="J242" t="s">
        <v>56</v>
      </c>
      <c r="K242" t="s">
        <v>57</v>
      </c>
      <c r="L242" s="5">
        <v>340</v>
      </c>
      <c r="M242" s="1">
        <v>44348</v>
      </c>
      <c r="N242" s="1">
        <v>44467</v>
      </c>
      <c r="O242">
        <v>77</v>
      </c>
      <c r="S242">
        <v>123</v>
      </c>
      <c r="T242">
        <v>40</v>
      </c>
      <c r="U242">
        <v>27</v>
      </c>
    </row>
    <row r="243" spans="2:21" hidden="1" x14ac:dyDescent="0.25">
      <c r="B243" s="6" t="s">
        <v>397</v>
      </c>
      <c r="C243" s="6" t="s">
        <v>401</v>
      </c>
      <c r="D243" s="6" t="s">
        <v>402</v>
      </c>
      <c r="E243" s="6" t="s">
        <v>302</v>
      </c>
      <c r="F243" s="6">
        <v>45.192798000000003</v>
      </c>
      <c r="G243" s="6">
        <v>-96.825912000000002</v>
      </c>
      <c r="H243" s="6" t="s">
        <v>400</v>
      </c>
      <c r="I243" s="4">
        <v>2021200</v>
      </c>
      <c r="J243" t="s">
        <v>105</v>
      </c>
      <c r="K243" t="s">
        <v>59</v>
      </c>
      <c r="L243" s="5">
        <v>556</v>
      </c>
      <c r="M243" s="1">
        <v>44287</v>
      </c>
      <c r="N243" s="1">
        <v>44348</v>
      </c>
      <c r="O243">
        <v>0</v>
      </c>
      <c r="P243" t="s">
        <v>145</v>
      </c>
    </row>
    <row r="244" spans="2:21" hidden="1" x14ac:dyDescent="0.25">
      <c r="B244" s="6" t="s">
        <v>397</v>
      </c>
      <c r="C244" s="6" t="s">
        <v>401</v>
      </c>
      <c r="D244" s="6" t="s">
        <v>402</v>
      </c>
      <c r="E244" s="6" t="s">
        <v>302</v>
      </c>
      <c r="F244" s="6">
        <v>45.180712</v>
      </c>
      <c r="G244" s="6">
        <v>-96.826802000000001</v>
      </c>
      <c r="H244" s="6" t="s">
        <v>400</v>
      </c>
      <c r="I244" s="4">
        <v>202201</v>
      </c>
      <c r="J244" t="s">
        <v>54</v>
      </c>
      <c r="K244" t="s">
        <v>55</v>
      </c>
      <c r="L244" s="5">
        <v>329</v>
      </c>
      <c r="M244" s="1">
        <v>44805</v>
      </c>
      <c r="N244" s="1">
        <v>45170</v>
      </c>
      <c r="O244">
        <v>210</v>
      </c>
      <c r="S244">
        <v>204</v>
      </c>
      <c r="T244">
        <v>41</v>
      </c>
      <c r="U244">
        <v>27</v>
      </c>
    </row>
    <row r="245" spans="2:21" hidden="1" x14ac:dyDescent="0.25">
      <c r="B245" s="8" t="s">
        <v>397</v>
      </c>
      <c r="C245" s="8" t="s">
        <v>401</v>
      </c>
      <c r="D245" s="8" t="s">
        <v>402</v>
      </c>
      <c r="E245" s="8" t="s">
        <v>302</v>
      </c>
      <c r="F245" s="8">
        <v>45.180712</v>
      </c>
      <c r="G245" s="8">
        <v>-96.826802000000001</v>
      </c>
      <c r="H245" s="8" t="s">
        <v>400</v>
      </c>
      <c r="I245" s="10">
        <v>202201</v>
      </c>
      <c r="J245" s="11" t="s">
        <v>56</v>
      </c>
      <c r="K245" s="11" t="s">
        <v>57</v>
      </c>
      <c r="L245" s="12">
        <v>340</v>
      </c>
      <c r="M245" s="13">
        <v>44805</v>
      </c>
      <c r="N245" s="13">
        <v>45170</v>
      </c>
      <c r="O245" s="11">
        <v>187</v>
      </c>
      <c r="P245" s="11"/>
      <c r="Q245" s="11"/>
      <c r="R245" s="11"/>
      <c r="S245" s="11">
        <v>461</v>
      </c>
      <c r="T245" s="11">
        <v>152</v>
      </c>
      <c r="U245" s="11">
        <v>27</v>
      </c>
    </row>
    <row r="246" spans="2:21" x14ac:dyDescent="0.25">
      <c r="B246" s="20" t="s">
        <v>397</v>
      </c>
      <c r="C246" s="20" t="s">
        <v>403</v>
      </c>
      <c r="D246" s="20" t="s">
        <v>404</v>
      </c>
      <c r="E246" s="20" t="s">
        <v>274</v>
      </c>
      <c r="F246" s="20">
        <v>45.191873999999999</v>
      </c>
      <c r="G246" s="20">
        <v>-96.827167000000003</v>
      </c>
      <c r="H246" s="20" t="s">
        <v>400</v>
      </c>
      <c r="I246" s="4" t="s">
        <v>240</v>
      </c>
      <c r="J246" t="s">
        <v>54</v>
      </c>
      <c r="K246" t="s">
        <v>55</v>
      </c>
      <c r="L246" s="5">
        <v>329</v>
      </c>
      <c r="M246" s="1">
        <v>45017</v>
      </c>
      <c r="N246" s="1">
        <v>45383</v>
      </c>
      <c r="O246">
        <v>101</v>
      </c>
    </row>
    <row r="247" spans="2:21" hidden="1" x14ac:dyDescent="0.25">
      <c r="B247" s="8" t="s">
        <v>397</v>
      </c>
      <c r="C247" s="8" t="s">
        <v>403</v>
      </c>
      <c r="D247" s="8" t="s">
        <v>404</v>
      </c>
      <c r="E247" s="8" t="s">
        <v>274</v>
      </c>
      <c r="F247" s="8">
        <v>45.175505000000001</v>
      </c>
      <c r="G247" s="8">
        <v>-96.798634000000007</v>
      </c>
      <c r="H247" s="8" t="s">
        <v>400</v>
      </c>
      <c r="I247" s="10" t="s">
        <v>240</v>
      </c>
      <c r="J247" s="11" t="s">
        <v>56</v>
      </c>
      <c r="K247" s="11" t="s">
        <v>57</v>
      </c>
      <c r="L247" s="12">
        <v>340</v>
      </c>
      <c r="M247" s="13">
        <v>44805</v>
      </c>
      <c r="N247" s="13">
        <v>45153</v>
      </c>
      <c r="O247" s="11">
        <v>101</v>
      </c>
      <c r="P247" s="11"/>
      <c r="Q247" s="11"/>
      <c r="R247" s="11"/>
      <c r="S247" s="11"/>
      <c r="T247" s="11"/>
      <c r="U247" s="11"/>
    </row>
    <row r="248" spans="2:21" hidden="1" x14ac:dyDescent="0.25">
      <c r="B248" s="20" t="s">
        <v>405</v>
      </c>
      <c r="C248" s="20" t="s">
        <v>406</v>
      </c>
      <c r="D248" s="20" t="s">
        <v>407</v>
      </c>
      <c r="E248" s="20" t="s">
        <v>408</v>
      </c>
      <c r="F248" s="20">
        <v>45.233482000000002</v>
      </c>
      <c r="G248" s="20">
        <v>-97.999503000000004</v>
      </c>
      <c r="H248" s="20" t="s">
        <v>409</v>
      </c>
      <c r="I248" s="4">
        <v>2022001</v>
      </c>
      <c r="J248" t="s">
        <v>54</v>
      </c>
      <c r="K248" t="s">
        <v>55</v>
      </c>
      <c r="L248" s="5">
        <v>329</v>
      </c>
      <c r="M248" s="1">
        <v>44317</v>
      </c>
      <c r="N248" s="1">
        <v>44682</v>
      </c>
      <c r="O248">
        <v>440</v>
      </c>
      <c r="S248">
        <v>675</v>
      </c>
      <c r="T248">
        <v>130</v>
      </c>
      <c r="U248">
        <v>84</v>
      </c>
    </row>
    <row r="249" spans="2:21" hidden="1" x14ac:dyDescent="0.25">
      <c r="B249" s="8" t="s">
        <v>405</v>
      </c>
      <c r="C249" s="8" t="s">
        <v>406</v>
      </c>
      <c r="D249" s="8" t="s">
        <v>407</v>
      </c>
      <c r="E249" s="8" t="s">
        <v>408</v>
      </c>
      <c r="F249" s="8">
        <v>45.233482000000002</v>
      </c>
      <c r="G249" s="8">
        <v>-97.999503000000004</v>
      </c>
      <c r="H249" s="8" t="s">
        <v>409</v>
      </c>
      <c r="I249" s="10">
        <v>2022001</v>
      </c>
      <c r="J249" s="11" t="s">
        <v>56</v>
      </c>
      <c r="K249" s="11" t="s">
        <v>57</v>
      </c>
      <c r="L249" s="12">
        <v>340</v>
      </c>
      <c r="M249" s="13">
        <v>44317</v>
      </c>
      <c r="N249" s="13">
        <v>44440</v>
      </c>
      <c r="O249" s="11">
        <v>440</v>
      </c>
      <c r="P249" s="11"/>
      <c r="Q249" s="11"/>
      <c r="R249" s="11"/>
      <c r="S249" s="11">
        <v>1486</v>
      </c>
      <c r="T249" s="11">
        <v>484</v>
      </c>
      <c r="U249" s="11">
        <v>328</v>
      </c>
    </row>
    <row r="250" spans="2:21" x14ac:dyDescent="0.25">
      <c r="B250" s="20" t="s">
        <v>410</v>
      </c>
      <c r="C250" s="20" t="s">
        <v>331</v>
      </c>
      <c r="D250" s="20" t="s">
        <v>411</v>
      </c>
      <c r="E250" s="20" t="s">
        <v>412</v>
      </c>
      <c r="F250" s="20">
        <v>45.764279000000002</v>
      </c>
      <c r="G250" s="20">
        <v>-98.088162999999994</v>
      </c>
      <c r="H250" s="20" t="s">
        <v>169</v>
      </c>
      <c r="I250" s="4" t="s">
        <v>103</v>
      </c>
      <c r="J250" t="s">
        <v>54</v>
      </c>
      <c r="K250" t="s">
        <v>55</v>
      </c>
      <c r="L250" s="5">
        <v>329</v>
      </c>
      <c r="M250" s="1">
        <v>45051</v>
      </c>
      <c r="N250" s="1">
        <v>45135</v>
      </c>
      <c r="O250">
        <v>170</v>
      </c>
    </row>
    <row r="251" spans="2:21" x14ac:dyDescent="0.25">
      <c r="B251" s="6" t="s">
        <v>410</v>
      </c>
      <c r="C251" s="6" t="s">
        <v>331</v>
      </c>
      <c r="D251" s="6" t="s">
        <v>411</v>
      </c>
      <c r="E251" s="6" t="s">
        <v>412</v>
      </c>
      <c r="F251" s="6">
        <v>45.764279000000002</v>
      </c>
      <c r="G251" s="6">
        <v>-98.088162999999994</v>
      </c>
      <c r="H251" s="6" t="s">
        <v>169</v>
      </c>
      <c r="I251" s="4" t="s">
        <v>103</v>
      </c>
      <c r="J251" t="s">
        <v>56</v>
      </c>
      <c r="K251" t="s">
        <v>57</v>
      </c>
      <c r="L251" s="5">
        <v>340</v>
      </c>
      <c r="M251" s="1">
        <v>45051</v>
      </c>
      <c r="N251" s="1">
        <v>45141</v>
      </c>
      <c r="O251">
        <v>170</v>
      </c>
      <c r="S251">
        <v>431</v>
      </c>
      <c r="T251">
        <v>116</v>
      </c>
      <c r="U251">
        <v>63</v>
      </c>
    </row>
    <row r="252" spans="2:21" x14ac:dyDescent="0.25">
      <c r="B252" s="8" t="s">
        <v>410</v>
      </c>
      <c r="C252" s="8" t="s">
        <v>331</v>
      </c>
      <c r="D252" s="8" t="s">
        <v>411</v>
      </c>
      <c r="E252" s="8" t="s">
        <v>412</v>
      </c>
      <c r="F252" s="8">
        <v>45.764279000000002</v>
      </c>
      <c r="G252" s="8">
        <v>-98.088162999999994</v>
      </c>
      <c r="H252" s="8" t="s">
        <v>169</v>
      </c>
      <c r="I252" s="10" t="s">
        <v>103</v>
      </c>
      <c r="J252" s="11" t="s">
        <v>105</v>
      </c>
      <c r="K252" s="11" t="s">
        <v>59</v>
      </c>
      <c r="L252" s="12">
        <v>556</v>
      </c>
      <c r="M252" s="13">
        <v>45047</v>
      </c>
      <c r="N252" s="13">
        <v>45146</v>
      </c>
      <c r="O252" s="11">
        <v>170</v>
      </c>
      <c r="P252" s="11"/>
      <c r="Q252" s="11"/>
      <c r="R252" s="11"/>
      <c r="S252" s="11"/>
      <c r="T252" s="11"/>
      <c r="U252" s="11"/>
    </row>
    <row r="253" spans="2:21" hidden="1" x14ac:dyDescent="0.25">
      <c r="B253" s="20" t="s">
        <v>413</v>
      </c>
      <c r="C253" s="20" t="s">
        <v>272</v>
      </c>
      <c r="D253" s="20" t="s">
        <v>414</v>
      </c>
      <c r="E253" s="20" t="s">
        <v>415</v>
      </c>
      <c r="F253" s="20">
        <v>43.195866000000002</v>
      </c>
      <c r="G253" s="20">
        <v>-96.731522999999996</v>
      </c>
      <c r="H253" s="20" t="s">
        <v>416</v>
      </c>
      <c r="I253" s="4" t="s">
        <v>417</v>
      </c>
      <c r="J253" t="s">
        <v>54</v>
      </c>
      <c r="K253" t="s">
        <v>55</v>
      </c>
      <c r="L253" s="5">
        <v>329</v>
      </c>
      <c r="M253" s="1">
        <v>44287</v>
      </c>
      <c r="N253" s="1">
        <v>44409</v>
      </c>
      <c r="O253">
        <v>0</v>
      </c>
      <c r="P253" t="s">
        <v>145</v>
      </c>
      <c r="Q253">
        <v>99.5</v>
      </c>
      <c r="R253">
        <v>99.5</v>
      </c>
      <c r="S253">
        <v>239</v>
      </c>
      <c r="T253">
        <v>46</v>
      </c>
      <c r="U253">
        <v>29</v>
      </c>
    </row>
    <row r="254" spans="2:21" hidden="1" x14ac:dyDescent="0.25">
      <c r="B254" s="6" t="s">
        <v>413</v>
      </c>
      <c r="C254" s="6" t="s">
        <v>272</v>
      </c>
      <c r="D254" s="6" t="s">
        <v>414</v>
      </c>
      <c r="E254" s="6" t="s">
        <v>415</v>
      </c>
      <c r="F254" s="6">
        <v>43.195866000000002</v>
      </c>
      <c r="G254" s="6">
        <v>-96.731522999999996</v>
      </c>
      <c r="H254" s="6" t="s">
        <v>416</v>
      </c>
      <c r="I254" s="4" t="s">
        <v>417</v>
      </c>
      <c r="J254" t="s">
        <v>56</v>
      </c>
      <c r="K254" t="s">
        <v>57</v>
      </c>
      <c r="L254" s="5">
        <v>340</v>
      </c>
      <c r="M254" s="1">
        <v>44287</v>
      </c>
      <c r="N254" s="1">
        <v>44409</v>
      </c>
      <c r="O254">
        <v>0</v>
      </c>
      <c r="P254" t="s">
        <v>145</v>
      </c>
      <c r="S254">
        <v>523</v>
      </c>
      <c r="T254">
        <v>215</v>
      </c>
      <c r="U254">
        <v>143</v>
      </c>
    </row>
    <row r="255" spans="2:21" x14ac:dyDescent="0.25">
      <c r="B255" s="6" t="s">
        <v>413</v>
      </c>
      <c r="C255" s="6" t="s">
        <v>272</v>
      </c>
      <c r="D255" s="6" t="s">
        <v>414</v>
      </c>
      <c r="E255" s="6" t="s">
        <v>415</v>
      </c>
      <c r="F255" s="6">
        <v>43.108694</v>
      </c>
      <c r="G255" s="6">
        <v>-96.640501999999998</v>
      </c>
      <c r="H255" s="6" t="s">
        <v>418</v>
      </c>
      <c r="I255" s="4" t="s">
        <v>419</v>
      </c>
      <c r="J255" t="s">
        <v>83</v>
      </c>
      <c r="K255" t="s">
        <v>84</v>
      </c>
      <c r="L255" s="5">
        <v>328</v>
      </c>
      <c r="M255" s="1">
        <v>45413</v>
      </c>
      <c r="N255" s="1">
        <v>45695</v>
      </c>
      <c r="O255">
        <v>99.5</v>
      </c>
    </row>
    <row r="256" spans="2:21" x14ac:dyDescent="0.25">
      <c r="B256" s="6" t="s">
        <v>413</v>
      </c>
      <c r="C256" s="6" t="s">
        <v>272</v>
      </c>
      <c r="D256" s="6" t="s">
        <v>414</v>
      </c>
      <c r="E256" s="6" t="s">
        <v>415</v>
      </c>
      <c r="F256" s="6">
        <v>43.108694</v>
      </c>
      <c r="G256" s="6">
        <v>-96.640501999999998</v>
      </c>
      <c r="H256" s="6" t="s">
        <v>418</v>
      </c>
      <c r="I256" s="4" t="s">
        <v>419</v>
      </c>
      <c r="J256" t="s">
        <v>54</v>
      </c>
      <c r="K256" t="s">
        <v>55</v>
      </c>
      <c r="L256" s="5">
        <v>329</v>
      </c>
      <c r="M256" s="1">
        <v>45413</v>
      </c>
      <c r="N256" s="1">
        <v>45695</v>
      </c>
      <c r="O256">
        <v>99.5</v>
      </c>
      <c r="S256">
        <v>296</v>
      </c>
      <c r="T256">
        <v>56</v>
      </c>
      <c r="U256">
        <v>36</v>
      </c>
    </row>
    <row r="257" spans="2:21" x14ac:dyDescent="0.25">
      <c r="B257" s="8" t="s">
        <v>413</v>
      </c>
      <c r="C257" s="8" t="s">
        <v>272</v>
      </c>
      <c r="D257" s="8" t="s">
        <v>414</v>
      </c>
      <c r="E257" s="8" t="s">
        <v>415</v>
      </c>
      <c r="F257" s="8">
        <v>43.108694</v>
      </c>
      <c r="G257" s="8">
        <v>-96.640501999999998</v>
      </c>
      <c r="H257" s="8" t="s">
        <v>418</v>
      </c>
      <c r="I257" s="10" t="s">
        <v>419</v>
      </c>
      <c r="J257" s="11" t="s">
        <v>132</v>
      </c>
      <c r="K257" s="11" t="s">
        <v>133</v>
      </c>
      <c r="L257" s="12"/>
      <c r="M257" s="13">
        <v>45413</v>
      </c>
      <c r="N257" s="13">
        <v>45422</v>
      </c>
      <c r="O257" s="11">
        <v>99.5</v>
      </c>
      <c r="P257" s="11"/>
      <c r="Q257" s="11"/>
      <c r="R257" s="11"/>
      <c r="S257" s="11">
        <v>641</v>
      </c>
      <c r="T257" s="11">
        <v>207</v>
      </c>
      <c r="U257" s="11">
        <v>139</v>
      </c>
    </row>
    <row r="258" spans="2:21" hidden="1" x14ac:dyDescent="0.25">
      <c r="B258" s="20" t="s">
        <v>420</v>
      </c>
      <c r="C258" s="20" t="s">
        <v>421</v>
      </c>
      <c r="D258" s="20" t="s">
        <v>422</v>
      </c>
      <c r="E258" s="20" t="s">
        <v>80</v>
      </c>
      <c r="F258" s="20">
        <v>43.831767999999997</v>
      </c>
      <c r="G258" s="20">
        <v>-96.500404000000003</v>
      </c>
      <c r="H258" s="20" t="s">
        <v>423</v>
      </c>
      <c r="I258" s="4" t="s">
        <v>129</v>
      </c>
      <c r="J258" t="s">
        <v>54</v>
      </c>
      <c r="K258" t="s">
        <v>55</v>
      </c>
      <c r="L258" s="5">
        <v>329</v>
      </c>
      <c r="M258" s="1">
        <v>44287</v>
      </c>
      <c r="N258" s="1">
        <v>44409</v>
      </c>
      <c r="O258">
        <v>0</v>
      </c>
      <c r="P258" t="s">
        <v>145</v>
      </c>
      <c r="S258">
        <v>513</v>
      </c>
      <c r="T258">
        <v>113</v>
      </c>
      <c r="U258">
        <v>78</v>
      </c>
    </row>
    <row r="259" spans="2:21" hidden="1" x14ac:dyDescent="0.25">
      <c r="B259" s="8" t="s">
        <v>420</v>
      </c>
      <c r="C259" s="8" t="s">
        <v>421</v>
      </c>
      <c r="D259" s="8" t="s">
        <v>422</v>
      </c>
      <c r="E259" s="8" t="s">
        <v>80</v>
      </c>
      <c r="F259" s="8">
        <v>43.831767999999997</v>
      </c>
      <c r="G259" s="8">
        <v>-96.500404000000003</v>
      </c>
      <c r="H259" s="8" t="s">
        <v>423</v>
      </c>
      <c r="I259" s="10" t="s">
        <v>129</v>
      </c>
      <c r="J259" s="11" t="s">
        <v>56</v>
      </c>
      <c r="K259" s="11" t="s">
        <v>57</v>
      </c>
      <c r="L259" s="12">
        <v>340</v>
      </c>
      <c r="M259" s="13">
        <v>44287</v>
      </c>
      <c r="N259" s="13">
        <v>44409</v>
      </c>
      <c r="O259" s="11">
        <v>0</v>
      </c>
      <c r="P259" s="11" t="s">
        <v>145</v>
      </c>
      <c r="Q259" s="11"/>
      <c r="R259" s="11"/>
      <c r="S259" s="11">
        <v>249</v>
      </c>
      <c r="T259" s="11">
        <v>104</v>
      </c>
      <c r="U259" s="11">
        <v>74</v>
      </c>
    </row>
    <row r="260" spans="2:21" hidden="1" x14ac:dyDescent="0.25">
      <c r="B260" s="20" t="s">
        <v>424</v>
      </c>
      <c r="C260" s="20" t="s">
        <v>425</v>
      </c>
      <c r="D260" s="20" t="s">
        <v>426</v>
      </c>
      <c r="E260" s="20" t="s">
        <v>427</v>
      </c>
      <c r="F260" s="20">
        <v>43.821427999999997</v>
      </c>
      <c r="G260" s="20">
        <v>-97.156839000000005</v>
      </c>
      <c r="H260" s="20" t="s">
        <v>156</v>
      </c>
      <c r="I260" s="4" t="s">
        <v>428</v>
      </c>
      <c r="J260" t="s">
        <v>56</v>
      </c>
      <c r="K260" t="s">
        <v>57</v>
      </c>
      <c r="L260" s="5">
        <v>340</v>
      </c>
      <c r="M260" s="1">
        <v>44409</v>
      </c>
      <c r="N260" s="1">
        <v>44528</v>
      </c>
      <c r="O260">
        <v>0</v>
      </c>
      <c r="P260" t="s">
        <v>145</v>
      </c>
      <c r="S260">
        <v>861</v>
      </c>
      <c r="T260">
        <v>267</v>
      </c>
      <c r="U260">
        <v>169</v>
      </c>
    </row>
    <row r="261" spans="2:21" hidden="1" x14ac:dyDescent="0.25">
      <c r="B261" s="6" t="s">
        <v>424</v>
      </c>
      <c r="C261" s="6" t="s">
        <v>425</v>
      </c>
      <c r="D261" s="6" t="s">
        <v>426</v>
      </c>
      <c r="E261" s="6" t="s">
        <v>427</v>
      </c>
      <c r="F261" s="6">
        <v>43.772395000000003</v>
      </c>
      <c r="G261" s="6">
        <v>-97.474423000000002</v>
      </c>
      <c r="H261" s="6" t="s">
        <v>192</v>
      </c>
      <c r="I261" s="4" t="s">
        <v>429</v>
      </c>
      <c r="J261" t="s">
        <v>54</v>
      </c>
      <c r="K261" t="s">
        <v>55</v>
      </c>
      <c r="L261" s="5">
        <v>329</v>
      </c>
      <c r="M261" s="1">
        <v>44682</v>
      </c>
      <c r="N261" s="1">
        <v>44872</v>
      </c>
      <c r="O261">
        <v>0</v>
      </c>
      <c r="P261" t="s">
        <v>145</v>
      </c>
      <c r="S261">
        <v>462</v>
      </c>
      <c r="T261">
        <v>77</v>
      </c>
      <c r="U261">
        <v>46</v>
      </c>
    </row>
    <row r="262" spans="2:21" hidden="1" x14ac:dyDescent="0.25">
      <c r="B262" s="6" t="s">
        <v>424</v>
      </c>
      <c r="C262" s="6" t="s">
        <v>425</v>
      </c>
      <c r="D262" s="6" t="s">
        <v>426</v>
      </c>
      <c r="E262" s="6" t="s">
        <v>427</v>
      </c>
      <c r="F262" s="6">
        <v>43.772395000000003</v>
      </c>
      <c r="G262" s="6">
        <v>-97.474423000000002</v>
      </c>
      <c r="H262" s="6" t="s">
        <v>192</v>
      </c>
      <c r="I262" s="4" t="s">
        <v>429</v>
      </c>
      <c r="J262" t="s">
        <v>56</v>
      </c>
      <c r="K262" t="s">
        <v>57</v>
      </c>
      <c r="L262" s="5">
        <v>340</v>
      </c>
      <c r="M262" s="1">
        <v>44713</v>
      </c>
      <c r="N262" s="1">
        <v>44896</v>
      </c>
      <c r="O262">
        <v>0</v>
      </c>
      <c r="P262" t="s">
        <v>145</v>
      </c>
      <c r="S262">
        <v>913</v>
      </c>
      <c r="T262">
        <v>283</v>
      </c>
      <c r="U262">
        <v>180</v>
      </c>
    </row>
    <row r="263" spans="2:21" hidden="1" x14ac:dyDescent="0.25">
      <c r="B263" s="8" t="s">
        <v>424</v>
      </c>
      <c r="C263" s="8" t="s">
        <v>425</v>
      </c>
      <c r="D263" s="8" t="s">
        <v>426</v>
      </c>
      <c r="E263" s="8" t="s">
        <v>427</v>
      </c>
      <c r="F263" s="8">
        <v>43.772395000000003</v>
      </c>
      <c r="G263" s="8">
        <v>-97.474423000000002</v>
      </c>
      <c r="H263" s="8" t="s">
        <v>192</v>
      </c>
      <c r="I263" s="10" t="s">
        <v>429</v>
      </c>
      <c r="J263" s="11" t="s">
        <v>105</v>
      </c>
      <c r="K263" s="11" t="s">
        <v>59</v>
      </c>
      <c r="L263" s="12">
        <v>556</v>
      </c>
      <c r="M263" s="13">
        <v>44896</v>
      </c>
      <c r="N263" s="13">
        <v>44925</v>
      </c>
      <c r="O263" s="11">
        <v>0</v>
      </c>
      <c r="P263" s="11" t="s">
        <v>145</v>
      </c>
      <c r="Q263" s="11"/>
      <c r="R263" s="11"/>
      <c r="S263" s="11"/>
      <c r="T263" s="11"/>
      <c r="U263" s="11"/>
    </row>
    <row r="264" spans="2:21" x14ac:dyDescent="0.25">
      <c r="B264" s="20" t="s">
        <v>424</v>
      </c>
      <c r="C264" s="20" t="s">
        <v>430</v>
      </c>
      <c r="D264" s="20" t="s">
        <v>431</v>
      </c>
      <c r="E264" s="20" t="s">
        <v>432</v>
      </c>
      <c r="F264" s="20">
        <v>42.896971000000001</v>
      </c>
      <c r="G264" s="20">
        <v>-97.708185</v>
      </c>
      <c r="H264" s="20" t="s">
        <v>433</v>
      </c>
      <c r="I264" s="4" t="s">
        <v>434</v>
      </c>
      <c r="J264" t="s">
        <v>83</v>
      </c>
      <c r="K264" t="s">
        <v>84</v>
      </c>
      <c r="L264" s="5">
        <v>328</v>
      </c>
      <c r="M264" s="1">
        <v>44986</v>
      </c>
      <c r="N264" s="1">
        <v>45121</v>
      </c>
      <c r="O264">
        <v>252</v>
      </c>
      <c r="Q264">
        <v>432</v>
      </c>
      <c r="R264">
        <v>432</v>
      </c>
    </row>
    <row r="265" spans="2:21" x14ac:dyDescent="0.25">
      <c r="B265" s="6" t="s">
        <v>424</v>
      </c>
      <c r="C265" s="6" t="s">
        <v>430</v>
      </c>
      <c r="D265" s="6" t="s">
        <v>431</v>
      </c>
      <c r="E265" s="6" t="s">
        <v>432</v>
      </c>
      <c r="F265" s="6">
        <v>42.896971000000001</v>
      </c>
      <c r="G265" s="6">
        <v>-97.708185</v>
      </c>
      <c r="H265" s="6" t="s">
        <v>433</v>
      </c>
      <c r="I265" s="4" t="s">
        <v>434</v>
      </c>
      <c r="J265" t="s">
        <v>54</v>
      </c>
      <c r="K265" t="s">
        <v>55</v>
      </c>
      <c r="L265" s="5">
        <v>329</v>
      </c>
      <c r="M265" s="1">
        <v>44986</v>
      </c>
      <c r="N265" s="1">
        <v>45146</v>
      </c>
      <c r="O265">
        <v>252</v>
      </c>
      <c r="S265">
        <v>720</v>
      </c>
      <c r="T265">
        <v>142</v>
      </c>
      <c r="U265">
        <v>93</v>
      </c>
    </row>
    <row r="266" spans="2:21" x14ac:dyDescent="0.25">
      <c r="B266" s="6" t="s">
        <v>424</v>
      </c>
      <c r="C266" s="6" t="s">
        <v>430</v>
      </c>
      <c r="D266" s="6" t="s">
        <v>431</v>
      </c>
      <c r="E266" s="6" t="s">
        <v>432</v>
      </c>
      <c r="F266" s="6">
        <v>42.896971000000001</v>
      </c>
      <c r="G266" s="6">
        <v>-97.708185</v>
      </c>
      <c r="H266" s="6" t="s">
        <v>433</v>
      </c>
      <c r="I266" s="4" t="s">
        <v>434</v>
      </c>
      <c r="J266" t="s">
        <v>56</v>
      </c>
      <c r="K266" t="s">
        <v>57</v>
      </c>
      <c r="L266" s="5">
        <v>340</v>
      </c>
      <c r="M266" s="1">
        <v>45117</v>
      </c>
      <c r="N266" s="1">
        <v>45135</v>
      </c>
      <c r="O266">
        <v>252</v>
      </c>
      <c r="S266">
        <v>1482</v>
      </c>
      <c r="T266">
        <v>473</v>
      </c>
      <c r="U266">
        <v>323</v>
      </c>
    </row>
    <row r="267" spans="2:21" x14ac:dyDescent="0.25">
      <c r="B267" s="6" t="s">
        <v>424</v>
      </c>
      <c r="C267" s="6" t="s">
        <v>430</v>
      </c>
      <c r="D267" s="6" t="s">
        <v>431</v>
      </c>
      <c r="E267" s="6" t="s">
        <v>432</v>
      </c>
      <c r="F267" s="6">
        <v>42.896971000000001</v>
      </c>
      <c r="G267" s="6">
        <v>-97.708185</v>
      </c>
      <c r="H267" s="6" t="s">
        <v>433</v>
      </c>
      <c r="I267" s="4" t="s">
        <v>434</v>
      </c>
      <c r="J267" t="s">
        <v>132</v>
      </c>
      <c r="K267" t="s">
        <v>133</v>
      </c>
      <c r="M267" s="1">
        <v>45017</v>
      </c>
      <c r="N267" s="1">
        <v>45138</v>
      </c>
      <c r="O267">
        <v>252</v>
      </c>
      <c r="S267">
        <v>1320</v>
      </c>
      <c r="T267">
        <v>451</v>
      </c>
      <c r="U267">
        <v>324</v>
      </c>
    </row>
    <row r="268" spans="2:21" x14ac:dyDescent="0.25">
      <c r="B268" s="6" t="s">
        <v>424</v>
      </c>
      <c r="C268" s="6" t="s">
        <v>430</v>
      </c>
      <c r="D268" s="6" t="s">
        <v>431</v>
      </c>
      <c r="E268" s="6" t="s">
        <v>432</v>
      </c>
      <c r="F268" s="6">
        <v>42.886735999999999</v>
      </c>
      <c r="G268" s="6">
        <v>-97.712297000000007</v>
      </c>
      <c r="H268" s="6" t="s">
        <v>433</v>
      </c>
      <c r="I268" s="4" t="s">
        <v>435</v>
      </c>
      <c r="J268" t="s">
        <v>54</v>
      </c>
      <c r="K268" t="s">
        <v>55</v>
      </c>
      <c r="L268" s="5">
        <v>329</v>
      </c>
      <c r="M268" s="1">
        <v>45474</v>
      </c>
      <c r="N268" s="1">
        <v>45736</v>
      </c>
      <c r="O268">
        <v>180</v>
      </c>
      <c r="S268">
        <v>604</v>
      </c>
      <c r="T268">
        <v>136</v>
      </c>
      <c r="U268">
        <v>94</v>
      </c>
    </row>
    <row r="269" spans="2:21" x14ac:dyDescent="0.25">
      <c r="B269" s="8" t="s">
        <v>424</v>
      </c>
      <c r="C269" s="8" t="s">
        <v>430</v>
      </c>
      <c r="D269" s="8" t="s">
        <v>431</v>
      </c>
      <c r="E269" s="8" t="s">
        <v>432</v>
      </c>
      <c r="F269" s="8">
        <v>42.886735999999999</v>
      </c>
      <c r="G269" s="8">
        <v>-97.712297000000007</v>
      </c>
      <c r="H269" s="8" t="s">
        <v>433</v>
      </c>
      <c r="I269" s="10" t="s">
        <v>435</v>
      </c>
      <c r="J269" s="11" t="s">
        <v>56</v>
      </c>
      <c r="K269" s="11" t="s">
        <v>57</v>
      </c>
      <c r="L269" s="12">
        <v>340</v>
      </c>
      <c r="M269" s="13">
        <v>45488</v>
      </c>
      <c r="N269" s="13">
        <v>45543</v>
      </c>
      <c r="O269" s="11">
        <v>180</v>
      </c>
      <c r="P269" s="11"/>
      <c r="Q269" s="11"/>
      <c r="R269" s="11"/>
      <c r="S269" s="11">
        <v>1502</v>
      </c>
      <c r="T269" s="11">
        <v>514</v>
      </c>
      <c r="U269" s="11">
        <v>368</v>
      </c>
    </row>
    <row r="270" spans="2:21" hidden="1" x14ac:dyDescent="0.25">
      <c r="B270" s="20" t="s">
        <v>436</v>
      </c>
      <c r="C270" s="20" t="s">
        <v>437</v>
      </c>
      <c r="D270" s="20" t="s">
        <v>438</v>
      </c>
      <c r="E270" s="20" t="s">
        <v>263</v>
      </c>
      <c r="F270" s="20">
        <v>43.925998</v>
      </c>
      <c r="G270" s="20">
        <v>-97.758298999999994</v>
      </c>
      <c r="H270" s="20" t="s">
        <v>189</v>
      </c>
      <c r="I270" s="4" t="s">
        <v>439</v>
      </c>
      <c r="J270" t="s">
        <v>54</v>
      </c>
      <c r="K270" t="s">
        <v>55</v>
      </c>
      <c r="L270" s="5">
        <v>329</v>
      </c>
      <c r="M270" s="1">
        <v>44682</v>
      </c>
      <c r="N270" s="1">
        <v>44844</v>
      </c>
      <c r="O270">
        <v>72</v>
      </c>
      <c r="S270">
        <v>150</v>
      </c>
      <c r="T270">
        <v>21</v>
      </c>
      <c r="U270">
        <v>11</v>
      </c>
    </row>
    <row r="271" spans="2:21" hidden="1" x14ac:dyDescent="0.25">
      <c r="B271" s="8" t="s">
        <v>436</v>
      </c>
      <c r="C271" s="8" t="s">
        <v>437</v>
      </c>
      <c r="D271" s="8" t="s">
        <v>438</v>
      </c>
      <c r="E271" s="8" t="s">
        <v>263</v>
      </c>
      <c r="F271" s="8">
        <v>43.925998</v>
      </c>
      <c r="G271" s="8">
        <v>-97.758298999999994</v>
      </c>
      <c r="H271" s="8" t="s">
        <v>189</v>
      </c>
      <c r="I271" s="10" t="s">
        <v>439</v>
      </c>
      <c r="J271" s="11" t="s">
        <v>56</v>
      </c>
      <c r="K271" s="11" t="s">
        <v>57</v>
      </c>
      <c r="L271" s="12">
        <v>340</v>
      </c>
      <c r="M271" s="13">
        <v>44662</v>
      </c>
      <c r="N271" s="13">
        <v>44798</v>
      </c>
      <c r="O271" s="11">
        <v>72</v>
      </c>
      <c r="P271" s="11"/>
      <c r="Q271" s="11"/>
      <c r="R271" s="11"/>
      <c r="S271" s="11">
        <v>256</v>
      </c>
      <c r="T271" s="11">
        <v>72</v>
      </c>
      <c r="U271" s="11">
        <v>41</v>
      </c>
    </row>
    <row r="272" spans="2:21" x14ac:dyDescent="0.25">
      <c r="B272" s="20" t="s">
        <v>440</v>
      </c>
      <c r="C272" s="20" t="s">
        <v>441</v>
      </c>
      <c r="D272" s="20" t="s">
        <v>442</v>
      </c>
      <c r="E272" s="20" t="s">
        <v>200</v>
      </c>
      <c r="F272" s="20">
        <v>43.311976999999999</v>
      </c>
      <c r="G272" s="20">
        <v>-97.235207000000003</v>
      </c>
      <c r="H272" s="20" t="s">
        <v>100</v>
      </c>
      <c r="I272" s="4" t="s">
        <v>240</v>
      </c>
      <c r="J272" t="s">
        <v>54</v>
      </c>
      <c r="K272" t="s">
        <v>55</v>
      </c>
      <c r="L272" s="5">
        <v>329</v>
      </c>
      <c r="M272" s="1">
        <v>44986</v>
      </c>
      <c r="N272" s="1">
        <v>45153</v>
      </c>
      <c r="O272">
        <v>160</v>
      </c>
      <c r="S272">
        <v>384</v>
      </c>
      <c r="T272">
        <v>62</v>
      </c>
      <c r="U272">
        <v>36</v>
      </c>
    </row>
    <row r="273" spans="2:21" x14ac:dyDescent="0.25">
      <c r="B273" s="6" t="s">
        <v>440</v>
      </c>
      <c r="C273" s="6" t="s">
        <v>441</v>
      </c>
      <c r="D273" s="6" t="s">
        <v>442</v>
      </c>
      <c r="E273" s="6" t="s">
        <v>200</v>
      </c>
      <c r="F273" s="6">
        <v>43.334135000000003</v>
      </c>
      <c r="G273" s="6">
        <v>-97.243799999999993</v>
      </c>
      <c r="H273" s="6" t="s">
        <v>100</v>
      </c>
      <c r="I273" s="4" t="s">
        <v>240</v>
      </c>
      <c r="J273" t="s">
        <v>54</v>
      </c>
      <c r="K273" t="s">
        <v>443</v>
      </c>
      <c r="L273" s="5">
        <v>332</v>
      </c>
      <c r="M273" s="1">
        <v>44986</v>
      </c>
      <c r="N273" s="1">
        <v>45352</v>
      </c>
    </row>
    <row r="274" spans="2:21" x14ac:dyDescent="0.25">
      <c r="B274" s="8" t="s">
        <v>440</v>
      </c>
      <c r="C274" s="8" t="s">
        <v>441</v>
      </c>
      <c r="D274" s="8" t="s">
        <v>442</v>
      </c>
      <c r="E274" s="8" t="s">
        <v>200</v>
      </c>
      <c r="F274" s="8">
        <v>43.311976999999999</v>
      </c>
      <c r="G274" s="8">
        <v>-97.235207000000003</v>
      </c>
      <c r="H274" s="8" t="s">
        <v>100</v>
      </c>
      <c r="I274" s="10" t="s">
        <v>240</v>
      </c>
      <c r="J274" s="11" t="s">
        <v>56</v>
      </c>
      <c r="K274" s="11" t="s">
        <v>57</v>
      </c>
      <c r="L274" s="12">
        <v>340</v>
      </c>
      <c r="M274" s="13">
        <v>45047</v>
      </c>
      <c r="N274" s="13">
        <v>45158</v>
      </c>
      <c r="O274" s="11">
        <v>160</v>
      </c>
      <c r="P274" s="11"/>
      <c r="Q274" s="11"/>
      <c r="R274" s="11"/>
      <c r="S274" s="11">
        <v>688</v>
      </c>
      <c r="T274" s="11">
        <v>203</v>
      </c>
      <c r="U274" s="11">
        <v>126</v>
      </c>
    </row>
    <row r="275" spans="2:21" x14ac:dyDescent="0.25">
      <c r="B275" s="20" t="s">
        <v>440</v>
      </c>
      <c r="C275" s="20" t="s">
        <v>444</v>
      </c>
      <c r="D275" s="20" t="s">
        <v>445</v>
      </c>
      <c r="E275" s="20" t="s">
        <v>99</v>
      </c>
      <c r="F275" s="20">
        <v>43.310749999999999</v>
      </c>
      <c r="G275" s="20">
        <v>-97.215205999999995</v>
      </c>
      <c r="H275" s="20" t="s">
        <v>100</v>
      </c>
      <c r="I275" s="4" t="s">
        <v>292</v>
      </c>
      <c r="J275" t="s">
        <v>54</v>
      </c>
      <c r="K275" t="s">
        <v>55</v>
      </c>
      <c r="L275" s="5">
        <v>329</v>
      </c>
      <c r="M275" s="1">
        <v>44986</v>
      </c>
      <c r="N275" s="1">
        <v>45153</v>
      </c>
      <c r="O275">
        <v>172</v>
      </c>
      <c r="S275">
        <v>325</v>
      </c>
      <c r="T275">
        <v>61</v>
      </c>
      <c r="U275">
        <v>38</v>
      </c>
    </row>
    <row r="276" spans="2:21" x14ac:dyDescent="0.25">
      <c r="B276" s="8" t="s">
        <v>440</v>
      </c>
      <c r="C276" s="8" t="s">
        <v>444</v>
      </c>
      <c r="D276" s="8" t="s">
        <v>445</v>
      </c>
      <c r="E276" s="8" t="s">
        <v>99</v>
      </c>
      <c r="F276" s="8">
        <v>43.310749999999999</v>
      </c>
      <c r="G276" s="8">
        <v>-97.215205999999995</v>
      </c>
      <c r="H276" s="8" t="s">
        <v>100</v>
      </c>
      <c r="I276" s="10" t="s">
        <v>292</v>
      </c>
      <c r="J276" s="11" t="s">
        <v>56</v>
      </c>
      <c r="K276" s="11" t="s">
        <v>57</v>
      </c>
      <c r="L276" s="12">
        <v>340</v>
      </c>
      <c r="M276" s="13">
        <v>45047</v>
      </c>
      <c r="N276" s="13">
        <v>45154</v>
      </c>
      <c r="O276" s="11">
        <v>172</v>
      </c>
      <c r="P276" s="11"/>
      <c r="Q276" s="11"/>
      <c r="R276" s="11"/>
      <c r="S276" s="11"/>
      <c r="T276" s="11"/>
      <c r="U276" s="11"/>
    </row>
    <row r="277" spans="2:21" hidden="1" x14ac:dyDescent="0.25">
      <c r="B277" s="20" t="s">
        <v>446</v>
      </c>
      <c r="C277" s="20" t="s">
        <v>329</v>
      </c>
      <c r="D277" s="20" t="s">
        <v>447</v>
      </c>
      <c r="E277" s="20" t="s">
        <v>239</v>
      </c>
      <c r="F277" s="20">
        <v>43.583599</v>
      </c>
      <c r="G277" s="20">
        <v>-97.941361999999998</v>
      </c>
      <c r="H277" s="20" t="s">
        <v>64</v>
      </c>
      <c r="I277" s="4" t="s">
        <v>448</v>
      </c>
      <c r="J277" t="s">
        <v>75</v>
      </c>
      <c r="K277" t="s">
        <v>304</v>
      </c>
      <c r="L277" s="5">
        <v>516</v>
      </c>
      <c r="M277" s="1">
        <v>44417</v>
      </c>
      <c r="N277" s="1">
        <v>44805</v>
      </c>
      <c r="O277">
        <v>0</v>
      </c>
      <c r="P277" t="s">
        <v>145</v>
      </c>
    </row>
    <row r="278" spans="2:21" hidden="1" x14ac:dyDescent="0.25">
      <c r="B278" s="6" t="s">
        <v>446</v>
      </c>
      <c r="C278" s="6" t="s">
        <v>329</v>
      </c>
      <c r="D278" s="6" t="s">
        <v>447</v>
      </c>
      <c r="E278" s="6" t="s">
        <v>239</v>
      </c>
      <c r="F278" s="6">
        <v>43.583599</v>
      </c>
      <c r="G278" s="6">
        <v>-97.941361999999998</v>
      </c>
      <c r="H278" s="6" t="s">
        <v>64</v>
      </c>
      <c r="I278" s="4" t="s">
        <v>448</v>
      </c>
      <c r="J278" t="s">
        <v>75</v>
      </c>
      <c r="K278" t="s">
        <v>305</v>
      </c>
      <c r="L278" s="5">
        <v>382</v>
      </c>
      <c r="M278" s="1">
        <v>44389</v>
      </c>
      <c r="N278" s="1">
        <v>44522</v>
      </c>
    </row>
    <row r="279" spans="2:21" hidden="1" x14ac:dyDescent="0.25">
      <c r="B279" s="8" t="s">
        <v>446</v>
      </c>
      <c r="C279" s="8" t="s">
        <v>329</v>
      </c>
      <c r="D279" s="8" t="s">
        <v>447</v>
      </c>
      <c r="E279" s="8" t="s">
        <v>239</v>
      </c>
      <c r="F279" s="8">
        <v>43.583599</v>
      </c>
      <c r="G279" s="8">
        <v>-97.941361999999998</v>
      </c>
      <c r="H279" s="8" t="s">
        <v>64</v>
      </c>
      <c r="I279" s="10" t="s">
        <v>448</v>
      </c>
      <c r="J279" s="11" t="s">
        <v>132</v>
      </c>
      <c r="K279" s="11" t="s">
        <v>133</v>
      </c>
      <c r="L279" s="12"/>
      <c r="M279" s="13">
        <v>44395</v>
      </c>
      <c r="N279" s="13">
        <v>44823</v>
      </c>
      <c r="O279" s="11">
        <v>79</v>
      </c>
      <c r="P279" s="11"/>
      <c r="Q279" s="11"/>
      <c r="R279" s="11"/>
      <c r="S279" s="11">
        <v>214</v>
      </c>
      <c r="T279" s="11">
        <v>38</v>
      </c>
      <c r="U279" s="11">
        <v>18</v>
      </c>
    </row>
    <row r="280" spans="2:21" hidden="1" x14ac:dyDescent="0.25">
      <c r="B280" s="20" t="s">
        <v>449</v>
      </c>
      <c r="C280" s="20" t="s">
        <v>67</v>
      </c>
      <c r="D280" s="20" t="s">
        <v>450</v>
      </c>
      <c r="E280" s="20" t="s">
        <v>188</v>
      </c>
      <c r="F280" s="20">
        <v>43.678409000000002</v>
      </c>
      <c r="G280" s="20">
        <v>-97.977238999999997</v>
      </c>
      <c r="H280" s="20" t="s">
        <v>64</v>
      </c>
      <c r="I280" s="4">
        <v>2021005</v>
      </c>
      <c r="J280" t="s">
        <v>83</v>
      </c>
      <c r="K280" t="s">
        <v>84</v>
      </c>
      <c r="L280" s="5">
        <v>328</v>
      </c>
      <c r="M280" s="1">
        <v>44317</v>
      </c>
      <c r="N280" s="1">
        <v>45154</v>
      </c>
      <c r="O280">
        <v>0</v>
      </c>
    </row>
    <row r="281" spans="2:21" hidden="1" x14ac:dyDescent="0.25">
      <c r="B281" s="6" t="s">
        <v>449</v>
      </c>
      <c r="C281" s="6" t="s">
        <v>67</v>
      </c>
      <c r="D281" s="6" t="s">
        <v>450</v>
      </c>
      <c r="E281" s="6" t="s">
        <v>188</v>
      </c>
      <c r="F281" s="6">
        <v>43.678409000000002</v>
      </c>
      <c r="G281" s="6">
        <v>-97.977238999999997</v>
      </c>
      <c r="H281" s="6" t="s">
        <v>64</v>
      </c>
      <c r="I281" s="4">
        <v>2021005</v>
      </c>
      <c r="J281" t="s">
        <v>54</v>
      </c>
      <c r="K281" t="s">
        <v>55</v>
      </c>
      <c r="L281" s="5">
        <v>329</v>
      </c>
      <c r="M281" s="1">
        <v>44317</v>
      </c>
      <c r="N281" s="1">
        <v>45154</v>
      </c>
      <c r="O281">
        <v>0</v>
      </c>
    </row>
    <row r="282" spans="2:21" hidden="1" x14ac:dyDescent="0.25">
      <c r="B282" s="6" t="s">
        <v>449</v>
      </c>
      <c r="C282" s="6" t="s">
        <v>67</v>
      </c>
      <c r="D282" s="6" t="s">
        <v>450</v>
      </c>
      <c r="E282" s="6" t="s">
        <v>188</v>
      </c>
      <c r="F282" s="6">
        <v>43.678409000000002</v>
      </c>
      <c r="G282" s="6">
        <v>-97.977238999999997</v>
      </c>
      <c r="H282" s="6" t="s">
        <v>64</v>
      </c>
      <c r="I282" s="4">
        <v>2021005</v>
      </c>
      <c r="J282" t="s">
        <v>56</v>
      </c>
      <c r="K282" t="s">
        <v>57</v>
      </c>
      <c r="L282" s="5">
        <v>340</v>
      </c>
      <c r="M282" s="1">
        <v>44317</v>
      </c>
      <c r="N282" s="1">
        <v>45147</v>
      </c>
      <c r="O282">
        <v>0</v>
      </c>
    </row>
    <row r="283" spans="2:21" hidden="1" x14ac:dyDescent="0.25">
      <c r="B283" s="8" t="s">
        <v>449</v>
      </c>
      <c r="C283" s="8" t="s">
        <v>67</v>
      </c>
      <c r="D283" s="8" t="s">
        <v>450</v>
      </c>
      <c r="E283" s="8" t="s">
        <v>188</v>
      </c>
      <c r="F283" s="8">
        <v>43.678409000000002</v>
      </c>
      <c r="G283" s="8">
        <v>-97.977238999999997</v>
      </c>
      <c r="H283" s="8" t="s">
        <v>64</v>
      </c>
      <c r="I283" s="10">
        <v>2021005</v>
      </c>
      <c r="J283" s="11" t="s">
        <v>105</v>
      </c>
      <c r="K283" s="11" t="s">
        <v>59</v>
      </c>
      <c r="L283" s="12">
        <v>556</v>
      </c>
      <c r="M283" s="13">
        <v>44317</v>
      </c>
      <c r="N283" s="13">
        <v>45146</v>
      </c>
      <c r="O283" s="11">
        <v>0</v>
      </c>
      <c r="P283" s="11"/>
      <c r="Q283" s="11"/>
      <c r="R283" s="11"/>
      <c r="S283" s="11"/>
      <c r="T283" s="11"/>
      <c r="U283" s="11"/>
    </row>
    <row r="284" spans="2:21" hidden="1" x14ac:dyDescent="0.25">
      <c r="B284" s="20" t="s">
        <v>451</v>
      </c>
      <c r="C284" s="20" t="s">
        <v>452</v>
      </c>
      <c r="D284" s="20" t="s">
        <v>453</v>
      </c>
      <c r="E284" s="20" t="s">
        <v>454</v>
      </c>
      <c r="F284" s="20">
        <v>44.758721999999999</v>
      </c>
      <c r="G284" s="20">
        <v>-98.289100000000005</v>
      </c>
      <c r="H284" s="20" t="s">
        <v>409</v>
      </c>
      <c r="I284" s="4" t="s">
        <v>341</v>
      </c>
      <c r="J284" t="s">
        <v>54</v>
      </c>
      <c r="K284" t="s">
        <v>55</v>
      </c>
      <c r="L284" s="5">
        <v>328</v>
      </c>
      <c r="M284" s="1">
        <v>44703</v>
      </c>
      <c r="N284" s="1">
        <v>44879</v>
      </c>
      <c r="O284">
        <v>0</v>
      </c>
      <c r="P284" t="s">
        <v>145</v>
      </c>
      <c r="S284">
        <v>1153</v>
      </c>
      <c r="T284">
        <v>193</v>
      </c>
      <c r="U284">
        <v>65</v>
      </c>
    </row>
    <row r="285" spans="2:21" hidden="1" x14ac:dyDescent="0.25">
      <c r="B285" s="8" t="s">
        <v>451</v>
      </c>
      <c r="C285" s="8" t="s">
        <v>452</v>
      </c>
      <c r="D285" s="8" t="s">
        <v>453</v>
      </c>
      <c r="E285" s="8" t="s">
        <v>454</v>
      </c>
      <c r="F285" s="8">
        <v>44.758721999999999</v>
      </c>
      <c r="G285" s="8">
        <v>-98.289100000000005</v>
      </c>
      <c r="H285" s="8" t="s">
        <v>409</v>
      </c>
      <c r="I285" s="10" t="s">
        <v>341</v>
      </c>
      <c r="J285" s="11" t="s">
        <v>56</v>
      </c>
      <c r="K285" s="11" t="s">
        <v>57</v>
      </c>
      <c r="L285" s="12">
        <v>329</v>
      </c>
      <c r="M285" s="13">
        <v>44703</v>
      </c>
      <c r="N285" s="13">
        <v>44879</v>
      </c>
      <c r="O285" s="11">
        <v>0</v>
      </c>
      <c r="P285" s="11" t="s">
        <v>145</v>
      </c>
      <c r="Q285" s="11"/>
      <c r="R285" s="11"/>
      <c r="S285" s="11">
        <v>1164</v>
      </c>
      <c r="T285" s="11">
        <v>257</v>
      </c>
      <c r="U285" s="11">
        <v>88</v>
      </c>
    </row>
    <row r="286" spans="2:21" hidden="1" x14ac:dyDescent="0.25">
      <c r="B286" s="20" t="s">
        <v>455</v>
      </c>
      <c r="C286" s="20" t="s">
        <v>456</v>
      </c>
      <c r="D286" s="20" t="s">
        <v>457</v>
      </c>
      <c r="E286" s="20" t="s">
        <v>458</v>
      </c>
      <c r="F286" s="20">
        <v>43.152321000000001</v>
      </c>
      <c r="G286" s="20">
        <v>-97.096791999999994</v>
      </c>
      <c r="H286" s="20" t="s">
        <v>100</v>
      </c>
      <c r="I286" s="4" t="s">
        <v>459</v>
      </c>
      <c r="J286" t="s">
        <v>54</v>
      </c>
      <c r="K286" t="s">
        <v>55</v>
      </c>
      <c r="L286" s="5">
        <v>329</v>
      </c>
      <c r="M286" s="1">
        <v>44287</v>
      </c>
      <c r="N286" s="1">
        <v>44409</v>
      </c>
      <c r="O286">
        <v>0</v>
      </c>
      <c r="P286" t="s">
        <v>145</v>
      </c>
      <c r="S286">
        <v>864</v>
      </c>
      <c r="T286">
        <v>115</v>
      </c>
      <c r="U286">
        <v>57</v>
      </c>
    </row>
    <row r="287" spans="2:21" hidden="1" x14ac:dyDescent="0.25">
      <c r="B287" s="8" t="s">
        <v>455</v>
      </c>
      <c r="C287" s="8" t="s">
        <v>456</v>
      </c>
      <c r="D287" s="8" t="s">
        <v>457</v>
      </c>
      <c r="E287" s="8" t="s">
        <v>458</v>
      </c>
      <c r="F287" s="8">
        <v>43.152321000000001</v>
      </c>
      <c r="G287" s="8">
        <v>-97.096791999999994</v>
      </c>
      <c r="H287" s="8" t="s">
        <v>100</v>
      </c>
      <c r="I287" s="10" t="s">
        <v>459</v>
      </c>
      <c r="J287" s="11" t="s">
        <v>56</v>
      </c>
      <c r="K287" s="11" t="s">
        <v>57</v>
      </c>
      <c r="L287" s="12">
        <v>340</v>
      </c>
      <c r="M287" s="13">
        <v>44287</v>
      </c>
      <c r="N287" s="13">
        <v>44409</v>
      </c>
      <c r="O287" s="11">
        <v>0</v>
      </c>
      <c r="P287" s="11" t="s">
        <v>145</v>
      </c>
      <c r="Q287" s="11"/>
      <c r="R287" s="11"/>
      <c r="S287" s="11">
        <v>254</v>
      </c>
      <c r="T287" s="11">
        <v>79</v>
      </c>
      <c r="U287" s="11">
        <v>51</v>
      </c>
    </row>
    <row r="288" spans="2:21" hidden="1" x14ac:dyDescent="0.25">
      <c r="B288" s="20" t="s">
        <v>460</v>
      </c>
      <c r="C288" s="20" t="s">
        <v>461</v>
      </c>
      <c r="D288" s="20" t="s">
        <v>462</v>
      </c>
      <c r="E288" s="20" t="s">
        <v>463</v>
      </c>
      <c r="F288" s="20">
        <v>45.424764000000003</v>
      </c>
      <c r="G288" s="20">
        <v>-98.181145999999998</v>
      </c>
      <c r="H288" s="20" t="s">
        <v>233</v>
      </c>
      <c r="I288" s="4">
        <v>2004</v>
      </c>
      <c r="J288" t="s">
        <v>54</v>
      </c>
      <c r="K288" t="s">
        <v>55</v>
      </c>
      <c r="L288" s="5">
        <v>329</v>
      </c>
      <c r="M288" s="1">
        <v>44747</v>
      </c>
      <c r="N288" s="1">
        <v>44862</v>
      </c>
      <c r="O288">
        <v>141</v>
      </c>
      <c r="S288">
        <v>227.4</v>
      </c>
      <c r="T288">
        <v>30.5</v>
      </c>
      <c r="U288">
        <v>15.2</v>
      </c>
    </row>
    <row r="289" spans="2:21" hidden="1" x14ac:dyDescent="0.25">
      <c r="B289" s="8" t="s">
        <v>460</v>
      </c>
      <c r="C289" s="8" t="s">
        <v>461</v>
      </c>
      <c r="D289" s="8" t="s">
        <v>462</v>
      </c>
      <c r="E289" s="8" t="s">
        <v>463</v>
      </c>
      <c r="F289" s="8">
        <v>45.424764000000003</v>
      </c>
      <c r="G289" s="8">
        <v>-98.181145999999998</v>
      </c>
      <c r="H289" s="8" t="s">
        <v>233</v>
      </c>
      <c r="I289" s="10">
        <v>2004</v>
      </c>
      <c r="J289" s="11" t="s">
        <v>56</v>
      </c>
      <c r="K289" s="11" t="s">
        <v>57</v>
      </c>
      <c r="L289" s="12">
        <v>340</v>
      </c>
      <c r="M289" s="13">
        <v>44747</v>
      </c>
      <c r="N289" s="13">
        <v>44832</v>
      </c>
      <c r="O289" s="11">
        <v>141</v>
      </c>
      <c r="P289" s="11"/>
      <c r="Q289" s="11"/>
      <c r="R289" s="11"/>
      <c r="S289" s="11">
        <v>382.1</v>
      </c>
      <c r="T289" s="11">
        <v>108.3</v>
      </c>
      <c r="U289" s="11">
        <v>59.5</v>
      </c>
    </row>
    <row r="290" spans="2:21" x14ac:dyDescent="0.25">
      <c r="B290" s="20" t="s">
        <v>465</v>
      </c>
      <c r="C290" s="20" t="s">
        <v>466</v>
      </c>
      <c r="D290" s="20" t="s">
        <v>467</v>
      </c>
      <c r="E290" s="20" t="s">
        <v>468</v>
      </c>
      <c r="F290" s="20">
        <v>45.367956999999997</v>
      </c>
      <c r="G290" s="20">
        <v>-96.877460999999997</v>
      </c>
      <c r="H290" s="20" t="s">
        <v>275</v>
      </c>
      <c r="I290" s="4">
        <v>202402</v>
      </c>
      <c r="J290" t="s">
        <v>56</v>
      </c>
      <c r="K290" t="s">
        <v>57</v>
      </c>
      <c r="L290" s="5">
        <v>340</v>
      </c>
      <c r="M290" s="1">
        <v>45413</v>
      </c>
      <c r="N290" s="1">
        <v>45413</v>
      </c>
      <c r="O290">
        <v>0</v>
      </c>
      <c r="P290" t="s">
        <v>145</v>
      </c>
      <c r="S290">
        <v>492</v>
      </c>
      <c r="T290">
        <v>157</v>
      </c>
      <c r="U290">
        <v>107</v>
      </c>
    </row>
    <row r="291" spans="2:21" x14ac:dyDescent="0.25">
      <c r="B291" s="8" t="s">
        <v>465</v>
      </c>
      <c r="C291" s="8" t="s">
        <v>466</v>
      </c>
      <c r="D291" s="8" t="s">
        <v>467</v>
      </c>
      <c r="E291" s="8" t="s">
        <v>468</v>
      </c>
      <c r="F291" s="8">
        <v>45.367956999999997</v>
      </c>
      <c r="G291" s="8">
        <v>-96.877460999999997</v>
      </c>
      <c r="H291" s="8" t="s">
        <v>275</v>
      </c>
      <c r="I291" s="10">
        <v>202402</v>
      </c>
      <c r="J291" s="11" t="s">
        <v>132</v>
      </c>
      <c r="K291" s="11" t="s">
        <v>133</v>
      </c>
      <c r="L291" s="12"/>
      <c r="M291" s="13">
        <v>45474</v>
      </c>
      <c r="N291" s="13">
        <v>46935</v>
      </c>
      <c r="O291" s="11">
        <v>0</v>
      </c>
      <c r="P291" s="11" t="s">
        <v>145</v>
      </c>
      <c r="Q291" s="11"/>
      <c r="R291" s="11"/>
      <c r="S291" s="11">
        <v>117</v>
      </c>
      <c r="T291" s="11">
        <v>36</v>
      </c>
      <c r="U291" s="11">
        <v>25</v>
      </c>
    </row>
    <row r="292" spans="2:21" x14ac:dyDescent="0.25">
      <c r="B292" s="20" t="s">
        <v>469</v>
      </c>
      <c r="C292" s="20" t="s">
        <v>470</v>
      </c>
      <c r="D292" s="20" t="s">
        <v>471</v>
      </c>
      <c r="E292" s="20" t="s">
        <v>472</v>
      </c>
      <c r="F292" s="20">
        <v>43.321773999999998</v>
      </c>
      <c r="G292" s="20">
        <v>-100.44682299999999</v>
      </c>
      <c r="H292" s="20" t="s">
        <v>473</v>
      </c>
      <c r="I292" s="4" t="s">
        <v>474</v>
      </c>
      <c r="J292" t="s">
        <v>75</v>
      </c>
      <c r="K292" t="s">
        <v>475</v>
      </c>
      <c r="L292" s="5">
        <v>914</v>
      </c>
      <c r="M292" s="1">
        <v>45069</v>
      </c>
      <c r="N292" s="1">
        <v>45369</v>
      </c>
    </row>
    <row r="293" spans="2:21" x14ac:dyDescent="0.25">
      <c r="B293" s="8" t="s">
        <v>469</v>
      </c>
      <c r="C293" s="8" t="s">
        <v>470</v>
      </c>
      <c r="D293" s="8" t="s">
        <v>471</v>
      </c>
      <c r="E293" s="8" t="s">
        <v>472</v>
      </c>
      <c r="F293" s="8">
        <v>43.321773999999998</v>
      </c>
      <c r="G293" s="8">
        <v>-100.44682299999999</v>
      </c>
      <c r="H293" s="8" t="s">
        <v>473</v>
      </c>
      <c r="I293" s="10" t="s">
        <v>474</v>
      </c>
      <c r="J293" s="11" t="s">
        <v>105</v>
      </c>
      <c r="K293" s="11" t="s">
        <v>59</v>
      </c>
      <c r="L293" s="12">
        <v>556</v>
      </c>
      <c r="M293" s="13">
        <v>45122</v>
      </c>
      <c r="N293" s="13">
        <v>45380</v>
      </c>
      <c r="O293" s="11">
        <v>400</v>
      </c>
      <c r="P293" s="11"/>
      <c r="Q293" s="11"/>
      <c r="R293" s="11"/>
      <c r="S293" s="11">
        <v>1025</v>
      </c>
      <c r="T293" s="11">
        <v>163</v>
      </c>
      <c r="U293" s="11">
        <v>84</v>
      </c>
    </row>
    <row r="294" spans="2:21" x14ac:dyDescent="0.25">
      <c r="B294" s="20" t="s">
        <v>476</v>
      </c>
      <c r="C294" s="20" t="s">
        <v>201</v>
      </c>
      <c r="D294" s="20" t="s">
        <v>477</v>
      </c>
      <c r="E294" s="20" t="s">
        <v>478</v>
      </c>
      <c r="F294" s="20">
        <v>43.062289</v>
      </c>
      <c r="G294" s="20">
        <v>-97.649383999999998</v>
      </c>
      <c r="H294" s="20" t="s">
        <v>137</v>
      </c>
      <c r="I294" s="4" t="s">
        <v>479</v>
      </c>
      <c r="J294" t="s">
        <v>54</v>
      </c>
      <c r="K294" t="s">
        <v>55</v>
      </c>
      <c r="L294" s="5">
        <v>329</v>
      </c>
      <c r="M294" s="1">
        <v>45505</v>
      </c>
      <c r="N294" s="1">
        <v>45708</v>
      </c>
      <c r="O294">
        <v>30</v>
      </c>
      <c r="S294">
        <v>300</v>
      </c>
      <c r="T294">
        <v>105</v>
      </c>
      <c r="U294">
        <v>77</v>
      </c>
    </row>
    <row r="295" spans="2:21" x14ac:dyDescent="0.25">
      <c r="B295" s="6" t="s">
        <v>476</v>
      </c>
      <c r="C295" s="6" t="s">
        <v>201</v>
      </c>
      <c r="D295" s="6" t="s">
        <v>477</v>
      </c>
      <c r="E295" s="6" t="s">
        <v>478</v>
      </c>
      <c r="F295" s="6">
        <v>43.062289</v>
      </c>
      <c r="G295" s="6">
        <v>-97.649383999999998</v>
      </c>
      <c r="H295" s="6" t="s">
        <v>137</v>
      </c>
      <c r="I295" s="4" t="s">
        <v>479</v>
      </c>
      <c r="J295" t="s">
        <v>56</v>
      </c>
      <c r="K295" t="s">
        <v>57</v>
      </c>
      <c r="L295" s="5">
        <v>340</v>
      </c>
      <c r="M295" s="1">
        <v>45526</v>
      </c>
      <c r="N295" s="1">
        <v>45550</v>
      </c>
      <c r="O295">
        <v>30</v>
      </c>
      <c r="S295">
        <v>272</v>
      </c>
      <c r="T295">
        <v>93</v>
      </c>
      <c r="U295">
        <v>68</v>
      </c>
    </row>
    <row r="296" spans="2:21" x14ac:dyDescent="0.25">
      <c r="B296" s="8" t="s">
        <v>476</v>
      </c>
      <c r="C296" s="8" t="s">
        <v>201</v>
      </c>
      <c r="D296" s="8" t="s">
        <v>477</v>
      </c>
      <c r="E296" s="8" t="s">
        <v>478</v>
      </c>
      <c r="F296" s="8">
        <v>43.062289</v>
      </c>
      <c r="G296" s="8">
        <v>-97.649383999999998</v>
      </c>
      <c r="H296" s="8" t="s">
        <v>137</v>
      </c>
      <c r="I296" s="10" t="s">
        <v>479</v>
      </c>
      <c r="J296" s="11" t="s">
        <v>105</v>
      </c>
      <c r="K296" s="11" t="s">
        <v>59</v>
      </c>
      <c r="L296" s="12">
        <v>556</v>
      </c>
      <c r="M296" s="13">
        <v>45505</v>
      </c>
      <c r="N296" s="13">
        <v>45708</v>
      </c>
      <c r="O296" s="11">
        <v>30</v>
      </c>
      <c r="P296" s="11"/>
      <c r="Q296" s="11"/>
      <c r="R296" s="11"/>
      <c r="S296" s="11"/>
      <c r="T296" s="11"/>
      <c r="U296" s="11"/>
    </row>
    <row r="297" spans="2:21" x14ac:dyDescent="0.25">
      <c r="B297" s="20" t="s">
        <v>480</v>
      </c>
      <c r="C297" s="20" t="s">
        <v>481</v>
      </c>
      <c r="D297" s="20" t="s">
        <v>482</v>
      </c>
      <c r="E297" s="20" t="s">
        <v>483</v>
      </c>
      <c r="F297" s="20">
        <v>44.651564</v>
      </c>
      <c r="G297" s="20">
        <v>-101.342377</v>
      </c>
      <c r="H297" s="20" t="s">
        <v>484</v>
      </c>
      <c r="I297" s="4" t="s">
        <v>485</v>
      </c>
      <c r="J297" t="s">
        <v>54</v>
      </c>
      <c r="K297" t="s">
        <v>55</v>
      </c>
      <c r="L297" s="5">
        <v>329</v>
      </c>
      <c r="M297" s="1">
        <v>45383</v>
      </c>
      <c r="N297" s="1">
        <v>45413</v>
      </c>
      <c r="O297">
        <v>0</v>
      </c>
      <c r="P297" t="s">
        <v>145</v>
      </c>
      <c r="S297">
        <v>1218</v>
      </c>
      <c r="T297">
        <v>421</v>
      </c>
      <c r="U297">
        <v>324</v>
      </c>
    </row>
    <row r="298" spans="2:21" x14ac:dyDescent="0.25">
      <c r="B298" s="8" t="s">
        <v>480</v>
      </c>
      <c r="C298" s="8" t="s">
        <v>481</v>
      </c>
      <c r="D298" s="8" t="s">
        <v>482</v>
      </c>
      <c r="E298" s="8" t="s">
        <v>483</v>
      </c>
      <c r="F298" s="8">
        <v>44.651564</v>
      </c>
      <c r="G298" s="8">
        <v>-101.342377</v>
      </c>
      <c r="H298" s="8" t="s">
        <v>484</v>
      </c>
      <c r="I298" s="10" t="s">
        <v>485</v>
      </c>
      <c r="J298" s="11" t="s">
        <v>56</v>
      </c>
      <c r="K298" s="11" t="s">
        <v>57</v>
      </c>
      <c r="L298" s="12">
        <v>340</v>
      </c>
      <c r="M298" s="13">
        <v>45383</v>
      </c>
      <c r="N298" s="13">
        <v>45401</v>
      </c>
      <c r="O298" s="11">
        <v>0</v>
      </c>
      <c r="P298" s="11" t="s">
        <v>145</v>
      </c>
      <c r="Q298" s="11"/>
      <c r="R298" s="11"/>
      <c r="S298" s="11">
        <v>1735</v>
      </c>
      <c r="T298" s="11">
        <v>633</v>
      </c>
      <c r="U298" s="11">
        <v>489</v>
      </c>
    </row>
    <row r="299" spans="2:21" x14ac:dyDescent="0.25">
      <c r="B299" s="20" t="s">
        <v>480</v>
      </c>
      <c r="C299" s="20" t="s">
        <v>255</v>
      </c>
      <c r="D299" s="20" t="s">
        <v>482</v>
      </c>
      <c r="E299" s="20" t="s">
        <v>483</v>
      </c>
      <c r="F299" s="20">
        <v>44.556004999999999</v>
      </c>
      <c r="G299" s="20">
        <v>-101.320891</v>
      </c>
      <c r="H299" s="20" t="s">
        <v>484</v>
      </c>
      <c r="I299" s="4" t="s">
        <v>486</v>
      </c>
      <c r="J299" t="s">
        <v>54</v>
      </c>
      <c r="K299" t="s">
        <v>55</v>
      </c>
      <c r="L299" s="5">
        <v>329</v>
      </c>
      <c r="M299" s="1">
        <v>45413</v>
      </c>
      <c r="N299" s="1">
        <v>45424</v>
      </c>
      <c r="O299">
        <v>0</v>
      </c>
      <c r="P299" t="s">
        <v>145</v>
      </c>
      <c r="S299">
        <v>600</v>
      </c>
      <c r="T299">
        <v>176</v>
      </c>
      <c r="U299">
        <v>133</v>
      </c>
    </row>
    <row r="300" spans="2:21" x14ac:dyDescent="0.25">
      <c r="B300" s="8" t="s">
        <v>480</v>
      </c>
      <c r="C300" s="8" t="s">
        <v>255</v>
      </c>
      <c r="D300" s="8" t="s">
        <v>482</v>
      </c>
      <c r="E300" s="8" t="s">
        <v>483</v>
      </c>
      <c r="F300" s="8">
        <v>44.556004999999999</v>
      </c>
      <c r="G300" s="8">
        <v>-101.320891</v>
      </c>
      <c r="H300" s="8" t="s">
        <v>484</v>
      </c>
      <c r="I300" s="10" t="s">
        <v>486</v>
      </c>
      <c r="J300" s="11" t="s">
        <v>56</v>
      </c>
      <c r="K300" s="11" t="s">
        <v>57</v>
      </c>
      <c r="L300" s="12">
        <v>340</v>
      </c>
      <c r="M300" s="13">
        <v>45413</v>
      </c>
      <c r="N300" s="13">
        <v>45424</v>
      </c>
      <c r="O300" s="11">
        <v>0</v>
      </c>
      <c r="P300" s="11" t="s">
        <v>145</v>
      </c>
      <c r="Q300" s="11"/>
      <c r="R300" s="11"/>
      <c r="S300" s="11">
        <v>1291</v>
      </c>
      <c r="T300" s="11">
        <v>753</v>
      </c>
      <c r="U300" s="11">
        <v>582</v>
      </c>
    </row>
    <row r="301" spans="2:21" x14ac:dyDescent="0.25">
      <c r="B301" s="20" t="s">
        <v>487</v>
      </c>
      <c r="C301" s="20" t="s">
        <v>97</v>
      </c>
      <c r="D301" s="20" t="s">
        <v>488</v>
      </c>
      <c r="E301" s="20" t="s">
        <v>227</v>
      </c>
      <c r="F301" s="20">
        <v>43.807540000000003</v>
      </c>
      <c r="G301" s="20">
        <v>-96.816321000000002</v>
      </c>
      <c r="H301" s="20" t="s">
        <v>156</v>
      </c>
      <c r="I301" s="4" t="s">
        <v>489</v>
      </c>
      <c r="J301" t="s">
        <v>54</v>
      </c>
      <c r="K301" t="s">
        <v>55</v>
      </c>
      <c r="L301" s="5">
        <v>329</v>
      </c>
      <c r="M301" s="1">
        <v>45544</v>
      </c>
      <c r="N301" s="1">
        <v>45554</v>
      </c>
      <c r="O301">
        <v>104</v>
      </c>
      <c r="S301">
        <v>364</v>
      </c>
      <c r="T301">
        <v>81</v>
      </c>
      <c r="U301">
        <v>56</v>
      </c>
    </row>
    <row r="302" spans="2:21" x14ac:dyDescent="0.25">
      <c r="B302" s="8" t="s">
        <v>487</v>
      </c>
      <c r="C302" s="8" t="s">
        <v>97</v>
      </c>
      <c r="D302" s="8" t="s">
        <v>488</v>
      </c>
      <c r="E302" s="8" t="s">
        <v>227</v>
      </c>
      <c r="F302" s="8">
        <v>43.807540000000003</v>
      </c>
      <c r="G302" s="8">
        <v>-96.816321000000002</v>
      </c>
      <c r="H302" s="8" t="s">
        <v>156</v>
      </c>
      <c r="I302" s="10" t="s">
        <v>489</v>
      </c>
      <c r="J302" s="11" t="s">
        <v>56</v>
      </c>
      <c r="K302" s="11" t="s">
        <v>57</v>
      </c>
      <c r="L302" s="12">
        <v>340</v>
      </c>
      <c r="M302" s="13">
        <v>45544</v>
      </c>
      <c r="N302" s="13">
        <v>45554</v>
      </c>
      <c r="O302" s="11">
        <v>104</v>
      </c>
      <c r="P302" s="11"/>
      <c r="Q302" s="11"/>
      <c r="R302" s="11"/>
      <c r="S302" s="11">
        <v>831</v>
      </c>
      <c r="T302" s="11">
        <v>274</v>
      </c>
      <c r="U302" s="11">
        <v>196</v>
      </c>
    </row>
    <row r="303" spans="2:21" x14ac:dyDescent="0.25">
      <c r="B303" s="20" t="s">
        <v>490</v>
      </c>
      <c r="C303" s="20" t="s">
        <v>261</v>
      </c>
      <c r="D303" s="20" t="s">
        <v>491</v>
      </c>
      <c r="E303" s="20" t="s">
        <v>492</v>
      </c>
      <c r="F303" s="20">
        <v>42.988413999999999</v>
      </c>
      <c r="G303" s="20">
        <v>-97.539907999999997</v>
      </c>
      <c r="H303" s="20" t="s">
        <v>137</v>
      </c>
      <c r="I303" s="4" t="s">
        <v>493</v>
      </c>
      <c r="J303" t="s">
        <v>54</v>
      </c>
      <c r="K303" t="s">
        <v>55</v>
      </c>
      <c r="L303" s="5">
        <v>329</v>
      </c>
      <c r="M303" s="1">
        <v>45474</v>
      </c>
      <c r="N303" s="1">
        <v>45546</v>
      </c>
      <c r="O303">
        <v>160</v>
      </c>
      <c r="S303">
        <v>527</v>
      </c>
      <c r="T303">
        <v>116</v>
      </c>
      <c r="U303">
        <v>80</v>
      </c>
    </row>
    <row r="304" spans="2:21" x14ac:dyDescent="0.25">
      <c r="B304" s="8" t="s">
        <v>490</v>
      </c>
      <c r="C304" s="8" t="s">
        <v>261</v>
      </c>
      <c r="D304" s="8" t="s">
        <v>491</v>
      </c>
      <c r="E304" s="8" t="s">
        <v>492</v>
      </c>
      <c r="F304" s="8">
        <v>42.988413999999999</v>
      </c>
      <c r="G304" s="8">
        <v>-97.539907999999997</v>
      </c>
      <c r="H304" s="8" t="s">
        <v>137</v>
      </c>
      <c r="I304" s="10" t="s">
        <v>493</v>
      </c>
      <c r="J304" s="11" t="s">
        <v>56</v>
      </c>
      <c r="K304" s="11" t="s">
        <v>57</v>
      </c>
      <c r="L304" s="12">
        <v>340</v>
      </c>
      <c r="M304" s="13">
        <v>45463</v>
      </c>
      <c r="N304" s="13">
        <v>45534</v>
      </c>
      <c r="O304" s="11">
        <v>160</v>
      </c>
      <c r="P304" s="11"/>
      <c r="Q304" s="11"/>
      <c r="R304" s="11"/>
      <c r="S304" s="11">
        <v>1177</v>
      </c>
      <c r="T304" s="11">
        <v>391</v>
      </c>
      <c r="U304" s="11">
        <v>278</v>
      </c>
    </row>
    <row r="305" spans="2:21" x14ac:dyDescent="0.25">
      <c r="B305" s="20" t="s">
        <v>494</v>
      </c>
      <c r="C305" s="20" t="s">
        <v>50</v>
      </c>
      <c r="D305" s="20" t="s">
        <v>495</v>
      </c>
      <c r="E305" s="20" t="s">
        <v>52</v>
      </c>
      <c r="F305" s="20">
        <v>44.076729</v>
      </c>
      <c r="G305" s="20">
        <v>-97.964685000000003</v>
      </c>
      <c r="H305" s="20" t="s">
        <v>53</v>
      </c>
      <c r="I305" s="4" t="s">
        <v>496</v>
      </c>
      <c r="J305" t="s">
        <v>54</v>
      </c>
      <c r="K305" t="s">
        <v>55</v>
      </c>
      <c r="L305" s="5">
        <v>329</v>
      </c>
      <c r="M305" s="1">
        <v>45839</v>
      </c>
      <c r="N305" s="1">
        <v>45931</v>
      </c>
      <c r="O305">
        <v>0</v>
      </c>
      <c r="P305" t="s">
        <v>145</v>
      </c>
      <c r="S305">
        <v>221</v>
      </c>
      <c r="T305">
        <v>57</v>
      </c>
      <c r="U305">
        <v>36</v>
      </c>
    </row>
    <row r="306" spans="2:21" x14ac:dyDescent="0.25">
      <c r="B306" s="8" t="s">
        <v>494</v>
      </c>
      <c r="C306" s="8" t="s">
        <v>50</v>
      </c>
      <c r="D306" s="8" t="s">
        <v>495</v>
      </c>
      <c r="E306" s="8" t="s">
        <v>52</v>
      </c>
      <c r="F306" s="8">
        <v>44.076729</v>
      </c>
      <c r="G306" s="8">
        <v>-97.964685000000003</v>
      </c>
      <c r="H306" s="8" t="s">
        <v>53</v>
      </c>
      <c r="I306" s="10" t="s">
        <v>496</v>
      </c>
      <c r="J306" s="11" t="s">
        <v>56</v>
      </c>
      <c r="K306" s="11" t="s">
        <v>57</v>
      </c>
      <c r="L306" s="12">
        <v>340</v>
      </c>
      <c r="M306" s="13">
        <v>45839</v>
      </c>
      <c r="N306" s="13">
        <v>45931</v>
      </c>
      <c r="O306" s="11">
        <v>0</v>
      </c>
      <c r="P306" s="11" t="s">
        <v>145</v>
      </c>
      <c r="Q306" s="11"/>
      <c r="R306" s="11"/>
      <c r="S306" s="11">
        <v>274</v>
      </c>
      <c r="T306" s="11">
        <v>85</v>
      </c>
      <c r="U306" s="11">
        <v>54</v>
      </c>
    </row>
    <row r="307" spans="2:21" x14ac:dyDescent="0.25">
      <c r="B307" s="30" t="s">
        <v>497</v>
      </c>
      <c r="C307" s="30" t="s">
        <v>67</v>
      </c>
      <c r="D307" s="30" t="s">
        <v>498</v>
      </c>
      <c r="E307" s="30" t="s">
        <v>499</v>
      </c>
      <c r="F307" s="30">
        <v>43.541685000000001</v>
      </c>
      <c r="G307" s="30">
        <v>-97.554135000000002</v>
      </c>
      <c r="H307" s="30" t="s">
        <v>192</v>
      </c>
      <c r="I307" s="25" t="s">
        <v>500</v>
      </c>
      <c r="J307" s="24" t="s">
        <v>75</v>
      </c>
      <c r="K307" s="24" t="s">
        <v>475</v>
      </c>
      <c r="L307" s="26">
        <v>914</v>
      </c>
      <c r="M307" s="27">
        <v>45446</v>
      </c>
      <c r="N307" s="27">
        <v>45509</v>
      </c>
      <c r="O307" s="24">
        <v>0</v>
      </c>
      <c r="P307" s="24" t="s">
        <v>145</v>
      </c>
      <c r="Q307" s="24"/>
      <c r="R307" s="24"/>
      <c r="S307" s="24">
        <v>601</v>
      </c>
      <c r="T307" s="24">
        <v>52</v>
      </c>
      <c r="U307" s="24">
        <v>29</v>
      </c>
    </row>
    <row r="308" spans="2:21" x14ac:dyDescent="0.25">
      <c r="B308" s="20" t="s">
        <v>501</v>
      </c>
      <c r="C308" s="20" t="s">
        <v>182</v>
      </c>
      <c r="D308" s="20" t="s">
        <v>502</v>
      </c>
      <c r="E308" s="20" t="s">
        <v>503</v>
      </c>
      <c r="F308" s="20">
        <v>45.400315999999997</v>
      </c>
      <c r="G308" s="20">
        <v>-97.255847000000003</v>
      </c>
      <c r="H308" s="20" t="s">
        <v>223</v>
      </c>
      <c r="I308" s="4">
        <v>2024</v>
      </c>
      <c r="J308" t="s">
        <v>54</v>
      </c>
      <c r="K308" t="s">
        <v>55</v>
      </c>
      <c r="L308" s="5">
        <v>329</v>
      </c>
      <c r="M308" s="1">
        <v>45474</v>
      </c>
      <c r="N308" s="1">
        <v>45519</v>
      </c>
      <c r="O308">
        <v>0</v>
      </c>
      <c r="P308" t="s">
        <v>145</v>
      </c>
      <c r="S308">
        <v>48</v>
      </c>
      <c r="T308">
        <v>12</v>
      </c>
      <c r="U308">
        <v>9</v>
      </c>
    </row>
    <row r="309" spans="2:21" x14ac:dyDescent="0.25">
      <c r="B309" s="8" t="s">
        <v>501</v>
      </c>
      <c r="C309" s="8" t="s">
        <v>182</v>
      </c>
      <c r="D309" s="8" t="s">
        <v>502</v>
      </c>
      <c r="E309" s="8" t="s">
        <v>503</v>
      </c>
      <c r="F309" s="8">
        <v>45.400315999999997</v>
      </c>
      <c r="G309" s="8">
        <v>-97.255847000000003</v>
      </c>
      <c r="H309" s="8" t="s">
        <v>223</v>
      </c>
      <c r="I309" s="10">
        <v>2024</v>
      </c>
      <c r="J309" s="11" t="s">
        <v>56</v>
      </c>
      <c r="K309" s="11" t="s">
        <v>57</v>
      </c>
      <c r="L309" s="12">
        <v>340</v>
      </c>
      <c r="M309" s="13">
        <v>45505</v>
      </c>
      <c r="N309" s="13">
        <v>45870</v>
      </c>
      <c r="O309" s="11">
        <v>0</v>
      </c>
      <c r="P309" s="11" t="s">
        <v>145</v>
      </c>
      <c r="Q309" s="11"/>
      <c r="R309" s="11"/>
      <c r="S309" s="11">
        <v>129</v>
      </c>
      <c r="T309" s="11">
        <v>45</v>
      </c>
      <c r="U309" s="11">
        <v>34</v>
      </c>
    </row>
    <row r="310" spans="2:21" x14ac:dyDescent="0.25">
      <c r="B310" s="20" t="s">
        <v>504</v>
      </c>
      <c r="C310" s="20" t="s">
        <v>166</v>
      </c>
      <c r="D310" s="20" t="s">
        <v>505</v>
      </c>
      <c r="E310" s="20" t="s">
        <v>506</v>
      </c>
      <c r="F310" s="20">
        <v>43.873634000000003</v>
      </c>
      <c r="G310" s="20">
        <v>-97.582305000000005</v>
      </c>
      <c r="H310" s="20" t="s">
        <v>192</v>
      </c>
      <c r="I310" s="4" t="s">
        <v>507</v>
      </c>
      <c r="J310" t="s">
        <v>54</v>
      </c>
      <c r="K310" t="s">
        <v>55</v>
      </c>
      <c r="L310" s="5">
        <v>329</v>
      </c>
      <c r="M310" s="1">
        <v>45505</v>
      </c>
      <c r="N310" s="1">
        <v>45645</v>
      </c>
      <c r="O310">
        <v>42</v>
      </c>
      <c r="S310">
        <v>134</v>
      </c>
      <c r="T310">
        <v>33</v>
      </c>
      <c r="U310">
        <v>20</v>
      </c>
    </row>
    <row r="311" spans="2:21" x14ac:dyDescent="0.25">
      <c r="B311" s="8" t="s">
        <v>504</v>
      </c>
      <c r="C311" s="8" t="s">
        <v>166</v>
      </c>
      <c r="D311" s="8" t="s">
        <v>505</v>
      </c>
      <c r="E311" s="8" t="s">
        <v>506</v>
      </c>
      <c r="F311" s="8">
        <v>43.873634000000003</v>
      </c>
      <c r="G311" s="8">
        <v>-97.582305000000005</v>
      </c>
      <c r="H311" s="8" t="s">
        <v>192</v>
      </c>
      <c r="I311" s="10" t="s">
        <v>507</v>
      </c>
      <c r="J311" s="11" t="s">
        <v>56</v>
      </c>
      <c r="K311" s="11" t="s">
        <v>57</v>
      </c>
      <c r="L311" s="12">
        <v>340</v>
      </c>
      <c r="M311" s="13">
        <v>45524</v>
      </c>
      <c r="N311" s="13">
        <v>45562</v>
      </c>
      <c r="O311" s="11">
        <v>42</v>
      </c>
      <c r="P311" s="11"/>
      <c r="Q311" s="11"/>
      <c r="R311" s="11"/>
      <c r="S311" s="11">
        <v>162</v>
      </c>
      <c r="T311" s="11">
        <v>49</v>
      </c>
      <c r="U311" s="11">
        <v>30</v>
      </c>
    </row>
    <row r="312" spans="2:21" x14ac:dyDescent="0.25">
      <c r="B312" s="20" t="s">
        <v>508</v>
      </c>
      <c r="C312" s="20" t="s">
        <v>509</v>
      </c>
      <c r="D312" s="20" t="s">
        <v>510</v>
      </c>
      <c r="E312" s="20" t="s">
        <v>511</v>
      </c>
      <c r="F312" s="20">
        <v>44.114697999999997</v>
      </c>
      <c r="G312" s="20">
        <v>-97.293636000000006</v>
      </c>
      <c r="H312" s="20" t="s">
        <v>130</v>
      </c>
      <c r="I312" s="4" t="s">
        <v>512</v>
      </c>
      <c r="J312" t="s">
        <v>54</v>
      </c>
      <c r="K312" t="s">
        <v>55</v>
      </c>
      <c r="L312" s="5">
        <v>329</v>
      </c>
      <c r="M312" s="1">
        <v>45566</v>
      </c>
      <c r="N312" s="1">
        <v>45597</v>
      </c>
      <c r="O312">
        <v>0</v>
      </c>
      <c r="P312" t="s">
        <v>145</v>
      </c>
      <c r="S312">
        <v>519.70000000000005</v>
      </c>
      <c r="T312">
        <v>150.4</v>
      </c>
      <c r="U312">
        <v>103.9</v>
      </c>
    </row>
    <row r="313" spans="2:21" x14ac:dyDescent="0.25">
      <c r="B313" s="8" t="s">
        <v>508</v>
      </c>
      <c r="C313" s="8" t="s">
        <v>509</v>
      </c>
      <c r="D313" s="8" t="s">
        <v>510</v>
      </c>
      <c r="E313" s="8" t="s">
        <v>511</v>
      </c>
      <c r="F313" s="8">
        <v>44.114697999999997</v>
      </c>
      <c r="G313" s="8">
        <v>-97.293636000000006</v>
      </c>
      <c r="H313" s="8" t="s">
        <v>130</v>
      </c>
      <c r="I313" s="10" t="s">
        <v>512</v>
      </c>
      <c r="J313" s="11" t="s">
        <v>56</v>
      </c>
      <c r="K313" s="11" t="s">
        <v>57</v>
      </c>
      <c r="L313" s="12">
        <v>340</v>
      </c>
      <c r="M313" s="13">
        <v>45597</v>
      </c>
      <c r="N313" s="13">
        <v>45597</v>
      </c>
      <c r="O313" s="11">
        <v>0</v>
      </c>
      <c r="P313" s="11" t="s">
        <v>145</v>
      </c>
      <c r="Q313" s="11"/>
      <c r="R313" s="11"/>
      <c r="S313" s="11">
        <v>678.4</v>
      </c>
      <c r="T313" s="11">
        <v>225.3</v>
      </c>
      <c r="U313" s="11">
        <v>156.80000000000001</v>
      </c>
    </row>
    <row r="314" spans="2:21" x14ac:dyDescent="0.25">
      <c r="B314" s="20" t="s">
        <v>508</v>
      </c>
      <c r="C314" s="20" t="s">
        <v>513</v>
      </c>
      <c r="D314" s="20" t="s">
        <v>510</v>
      </c>
      <c r="E314" s="20" t="s">
        <v>511</v>
      </c>
      <c r="F314" s="20">
        <v>43.982478</v>
      </c>
      <c r="G314" s="20">
        <v>-97.225204000000005</v>
      </c>
      <c r="H314" s="20" t="s">
        <v>130</v>
      </c>
      <c r="I314" s="4" t="s">
        <v>514</v>
      </c>
      <c r="J314" t="s">
        <v>54</v>
      </c>
      <c r="K314" t="s">
        <v>55</v>
      </c>
      <c r="L314" s="5">
        <v>329</v>
      </c>
      <c r="M314" s="1">
        <v>45931</v>
      </c>
      <c r="N314" s="1">
        <v>45962</v>
      </c>
      <c r="O314">
        <v>0</v>
      </c>
      <c r="P314" t="s">
        <v>145</v>
      </c>
      <c r="S314">
        <v>699.5</v>
      </c>
      <c r="T314">
        <v>200.7</v>
      </c>
      <c r="U314">
        <v>137.80000000000001</v>
      </c>
    </row>
    <row r="315" spans="2:21" x14ac:dyDescent="0.25">
      <c r="B315" s="8" t="s">
        <v>508</v>
      </c>
      <c r="C315" s="8" t="s">
        <v>513</v>
      </c>
      <c r="D315" s="8" t="s">
        <v>510</v>
      </c>
      <c r="E315" s="8" t="s">
        <v>511</v>
      </c>
      <c r="F315" s="8">
        <v>43.982478</v>
      </c>
      <c r="G315" s="8">
        <v>-97.225204000000005</v>
      </c>
      <c r="H315" s="8" t="s">
        <v>130</v>
      </c>
      <c r="I315" s="10" t="s">
        <v>514</v>
      </c>
      <c r="J315" s="11" t="s">
        <v>56</v>
      </c>
      <c r="K315" s="11" t="s">
        <v>57</v>
      </c>
      <c r="L315" s="12">
        <v>340</v>
      </c>
      <c r="M315" s="13">
        <v>45962</v>
      </c>
      <c r="N315" s="13">
        <v>45962</v>
      </c>
      <c r="O315" s="11">
        <v>0</v>
      </c>
      <c r="P315" s="11" t="s">
        <v>145</v>
      </c>
      <c r="Q315" s="11"/>
      <c r="R315" s="11"/>
      <c r="S315" s="11">
        <v>909.4</v>
      </c>
      <c r="T315" s="11">
        <v>300.60000000000002</v>
      </c>
      <c r="U315" s="11">
        <v>207.8</v>
      </c>
    </row>
    <row r="316" spans="2:21" x14ac:dyDescent="0.25">
      <c r="B316" s="20" t="s">
        <v>515</v>
      </c>
      <c r="C316" s="20" t="s">
        <v>516</v>
      </c>
      <c r="D316" s="20" t="s">
        <v>517</v>
      </c>
      <c r="E316" s="20" t="s">
        <v>518</v>
      </c>
      <c r="F316" s="20">
        <v>43.116155999999997</v>
      </c>
      <c r="G316" s="20">
        <v>-96.990053000000003</v>
      </c>
      <c r="H316" s="20" t="s">
        <v>100</v>
      </c>
      <c r="I316" s="4" t="s">
        <v>519</v>
      </c>
      <c r="J316" t="s">
        <v>54</v>
      </c>
      <c r="K316" t="s">
        <v>55</v>
      </c>
      <c r="L316" s="5">
        <v>329</v>
      </c>
      <c r="M316" s="1">
        <v>45468</v>
      </c>
      <c r="N316" s="1">
        <v>45523</v>
      </c>
      <c r="O316">
        <v>143</v>
      </c>
      <c r="S316">
        <v>669</v>
      </c>
      <c r="T316">
        <v>205</v>
      </c>
      <c r="U316">
        <v>1500</v>
      </c>
    </row>
    <row r="317" spans="2:21" x14ac:dyDescent="0.25">
      <c r="B317" s="8" t="s">
        <v>515</v>
      </c>
      <c r="C317" s="8" t="s">
        <v>516</v>
      </c>
      <c r="D317" s="8" t="s">
        <v>517</v>
      </c>
      <c r="E317" s="8" t="s">
        <v>518</v>
      </c>
      <c r="F317" s="8">
        <v>43.116155999999997</v>
      </c>
      <c r="G317" s="8">
        <v>-96.990053000000003</v>
      </c>
      <c r="H317" s="8" t="s">
        <v>100</v>
      </c>
      <c r="I317" s="10" t="s">
        <v>519</v>
      </c>
      <c r="J317" s="11" t="s">
        <v>56</v>
      </c>
      <c r="K317" s="11" t="s">
        <v>57</v>
      </c>
      <c r="L317" s="12">
        <v>340</v>
      </c>
      <c r="M317" s="13">
        <v>45467</v>
      </c>
      <c r="N317" s="13">
        <v>45523</v>
      </c>
      <c r="O317" s="11">
        <v>143</v>
      </c>
      <c r="P317" s="11"/>
      <c r="Q317" s="11"/>
      <c r="R317" s="11"/>
      <c r="S317" s="11">
        <v>669</v>
      </c>
      <c r="T317" s="11">
        <v>205</v>
      </c>
      <c r="U317" s="11">
        <v>135</v>
      </c>
    </row>
    <row r="318" spans="2:21" x14ac:dyDescent="0.25">
      <c r="B318" s="20" t="s">
        <v>515</v>
      </c>
      <c r="C318" s="20" t="s">
        <v>255</v>
      </c>
      <c r="D318" s="20" t="s">
        <v>517</v>
      </c>
      <c r="E318" s="20" t="s">
        <v>518</v>
      </c>
      <c r="F318" s="20">
        <v>43.106862999999997</v>
      </c>
      <c r="G318" s="20">
        <v>-96.971483000000006</v>
      </c>
      <c r="H318" s="20" t="s">
        <v>100</v>
      </c>
      <c r="I318" s="4" t="s">
        <v>520</v>
      </c>
      <c r="J318" t="s">
        <v>54</v>
      </c>
      <c r="K318" t="s">
        <v>55</v>
      </c>
      <c r="L318" s="5">
        <v>329</v>
      </c>
      <c r="M318" s="1">
        <v>45462</v>
      </c>
      <c r="N318" s="1">
        <v>45523</v>
      </c>
      <c r="O318">
        <v>120</v>
      </c>
      <c r="S318">
        <v>294</v>
      </c>
      <c r="T318">
        <v>48</v>
      </c>
      <c r="U318">
        <v>628</v>
      </c>
    </row>
    <row r="319" spans="2:21" x14ac:dyDescent="0.25">
      <c r="B319" s="6" t="s">
        <v>515</v>
      </c>
      <c r="C319" s="6" t="s">
        <v>255</v>
      </c>
      <c r="D319" s="6" t="s">
        <v>517</v>
      </c>
      <c r="E319" s="6" t="s">
        <v>518</v>
      </c>
      <c r="F319" s="6">
        <v>43.106862999999997</v>
      </c>
      <c r="G319" s="6">
        <v>-96.971483000000006</v>
      </c>
      <c r="H319" s="6" t="s">
        <v>100</v>
      </c>
      <c r="I319" s="4" t="s">
        <v>520</v>
      </c>
      <c r="J319" t="s">
        <v>54</v>
      </c>
      <c r="K319" t="s">
        <v>521</v>
      </c>
      <c r="L319" s="5">
        <v>327</v>
      </c>
      <c r="M319" s="1">
        <v>45461</v>
      </c>
      <c r="N319" s="1">
        <v>45524</v>
      </c>
      <c r="O319">
        <v>120</v>
      </c>
    </row>
    <row r="320" spans="2:21" x14ac:dyDescent="0.25">
      <c r="B320" s="8" t="s">
        <v>515</v>
      </c>
      <c r="C320" s="8" t="s">
        <v>255</v>
      </c>
      <c r="D320" s="8" t="s">
        <v>517</v>
      </c>
      <c r="E320" s="8" t="s">
        <v>518</v>
      </c>
      <c r="F320" s="8">
        <v>43.106862999999997</v>
      </c>
      <c r="G320" s="8">
        <v>-96.971483000000006</v>
      </c>
      <c r="H320" s="8" t="s">
        <v>100</v>
      </c>
      <c r="I320" s="10" t="s">
        <v>520</v>
      </c>
      <c r="J320" s="11" t="s">
        <v>56</v>
      </c>
      <c r="K320" s="11" t="s">
        <v>57</v>
      </c>
      <c r="L320" s="12">
        <v>340</v>
      </c>
      <c r="M320" s="13">
        <v>45453</v>
      </c>
      <c r="N320" s="13">
        <v>45523</v>
      </c>
      <c r="O320" s="11">
        <v>120</v>
      </c>
      <c r="P320" s="11"/>
      <c r="Q320" s="11"/>
      <c r="R320" s="11"/>
      <c r="S320" s="11">
        <v>569</v>
      </c>
      <c r="T320" s="11">
        <v>175</v>
      </c>
      <c r="U320" s="11">
        <v>109</v>
      </c>
    </row>
    <row r="321" spans="2:21" x14ac:dyDescent="0.25">
      <c r="B321" s="20" t="s">
        <v>515</v>
      </c>
      <c r="C321" s="20" t="s">
        <v>126</v>
      </c>
      <c r="D321" s="20" t="s">
        <v>517</v>
      </c>
      <c r="E321" s="20" t="s">
        <v>518</v>
      </c>
      <c r="F321" s="20">
        <v>43.093499000000001</v>
      </c>
      <c r="G321" s="20">
        <v>-96.959620000000001</v>
      </c>
      <c r="H321" s="20" t="s">
        <v>100</v>
      </c>
      <c r="I321" s="4" t="s">
        <v>522</v>
      </c>
      <c r="J321" t="s">
        <v>54</v>
      </c>
      <c r="K321" t="s">
        <v>55</v>
      </c>
      <c r="L321" s="5">
        <v>329</v>
      </c>
      <c r="M321" s="1">
        <v>45467</v>
      </c>
      <c r="N321" s="1">
        <v>45518</v>
      </c>
      <c r="O321">
        <v>162</v>
      </c>
      <c r="S321">
        <v>392</v>
      </c>
      <c r="T321">
        <v>63</v>
      </c>
      <c r="U321">
        <v>1007</v>
      </c>
    </row>
    <row r="322" spans="2:21" x14ac:dyDescent="0.25">
      <c r="B322" s="8" t="s">
        <v>515</v>
      </c>
      <c r="C322" s="8" t="s">
        <v>126</v>
      </c>
      <c r="D322" s="8" t="s">
        <v>517</v>
      </c>
      <c r="E322" s="8" t="s">
        <v>518</v>
      </c>
      <c r="F322" s="8">
        <v>43.093499000000001</v>
      </c>
      <c r="G322" s="8">
        <v>-96.959620000000001</v>
      </c>
      <c r="H322" s="8" t="s">
        <v>100</v>
      </c>
      <c r="I322" s="10" t="s">
        <v>522</v>
      </c>
      <c r="J322" s="11" t="s">
        <v>56</v>
      </c>
      <c r="K322" s="11" t="s">
        <v>57</v>
      </c>
      <c r="L322" s="12">
        <v>340</v>
      </c>
      <c r="M322" s="13">
        <v>45453</v>
      </c>
      <c r="N322" s="13">
        <v>45518</v>
      </c>
      <c r="O322" s="11">
        <v>162</v>
      </c>
      <c r="P322" s="11"/>
      <c r="Q322" s="11"/>
      <c r="R322" s="11"/>
      <c r="S322" s="11">
        <v>751</v>
      </c>
      <c r="T322" s="11">
        <v>229</v>
      </c>
      <c r="U322" s="11">
        <v>142</v>
      </c>
    </row>
    <row r="323" spans="2:21" x14ac:dyDescent="0.25">
      <c r="B323" s="20" t="s">
        <v>524</v>
      </c>
      <c r="C323" s="20" t="s">
        <v>525</v>
      </c>
      <c r="D323" s="20" t="s">
        <v>526</v>
      </c>
      <c r="E323" s="20" t="s">
        <v>527</v>
      </c>
      <c r="F323" s="20">
        <v>43.531500000000001</v>
      </c>
      <c r="G323" s="20">
        <v>-97.830169999999995</v>
      </c>
      <c r="H323" s="20" t="s">
        <v>64</v>
      </c>
      <c r="I323" s="4" t="s">
        <v>528</v>
      </c>
      <c r="J323" t="s">
        <v>83</v>
      </c>
      <c r="K323" t="s">
        <v>84</v>
      </c>
      <c r="L323" s="5">
        <v>328</v>
      </c>
      <c r="M323" s="1">
        <v>45047</v>
      </c>
      <c r="N323" s="1">
        <v>45146</v>
      </c>
      <c r="O323">
        <v>0</v>
      </c>
      <c r="P323" t="s">
        <v>145</v>
      </c>
    </row>
    <row r="324" spans="2:21" x14ac:dyDescent="0.25">
      <c r="B324" s="8" t="s">
        <v>524</v>
      </c>
      <c r="C324" s="8" t="s">
        <v>525</v>
      </c>
      <c r="D324" s="8" t="s">
        <v>526</v>
      </c>
      <c r="E324" s="8" t="s">
        <v>527</v>
      </c>
      <c r="F324" s="8">
        <v>43.531500000000001</v>
      </c>
      <c r="G324" s="8">
        <v>-97.830169999999995</v>
      </c>
      <c r="H324" s="8" t="s">
        <v>64</v>
      </c>
      <c r="I324" s="10" t="s">
        <v>528</v>
      </c>
      <c r="J324" s="11" t="s">
        <v>132</v>
      </c>
      <c r="K324" s="11" t="s">
        <v>529</v>
      </c>
      <c r="L324" s="12"/>
      <c r="M324" s="13">
        <v>45054</v>
      </c>
      <c r="N324" s="13">
        <v>45155</v>
      </c>
      <c r="O324" s="11">
        <v>19</v>
      </c>
      <c r="P324" s="11"/>
      <c r="Q324" s="11"/>
      <c r="R324" s="11"/>
      <c r="S324" s="11"/>
      <c r="T324" s="11"/>
      <c r="U324" s="11"/>
    </row>
    <row r="325" spans="2:21" x14ac:dyDescent="0.25">
      <c r="B325" s="20" t="s">
        <v>425</v>
      </c>
      <c r="C325" s="20" t="s">
        <v>530</v>
      </c>
      <c r="D325" s="20" t="s">
        <v>531</v>
      </c>
      <c r="E325" s="20" t="s">
        <v>532</v>
      </c>
      <c r="F325" s="20">
        <v>45.160854</v>
      </c>
      <c r="G325" s="20">
        <v>-97.736018000000001</v>
      </c>
      <c r="H325" s="20" t="s">
        <v>233</v>
      </c>
      <c r="I325" s="4">
        <v>202401</v>
      </c>
      <c r="J325" t="s">
        <v>54</v>
      </c>
      <c r="K325" t="s">
        <v>55</v>
      </c>
      <c r="L325" s="5">
        <v>329</v>
      </c>
      <c r="M325" s="1">
        <v>45413</v>
      </c>
      <c r="N325" s="1">
        <v>45536</v>
      </c>
      <c r="O325">
        <v>450</v>
      </c>
      <c r="S325">
        <v>689</v>
      </c>
      <c r="T325">
        <v>133</v>
      </c>
      <c r="U325">
        <v>85</v>
      </c>
    </row>
    <row r="326" spans="2:21" x14ac:dyDescent="0.25">
      <c r="B326" s="8" t="s">
        <v>425</v>
      </c>
      <c r="C326" s="8" t="s">
        <v>530</v>
      </c>
      <c r="D326" s="8" t="s">
        <v>531</v>
      </c>
      <c r="E326" s="8" t="s">
        <v>532</v>
      </c>
      <c r="F326" s="8">
        <v>45.160854</v>
      </c>
      <c r="G326" s="8">
        <v>-97.736018000000001</v>
      </c>
      <c r="H326" s="8" t="s">
        <v>233</v>
      </c>
      <c r="I326" s="10">
        <v>202401</v>
      </c>
      <c r="J326" s="11" t="s">
        <v>56</v>
      </c>
      <c r="K326" s="11" t="s">
        <v>57</v>
      </c>
      <c r="L326" s="12">
        <v>340</v>
      </c>
      <c r="M326" s="13">
        <v>45778</v>
      </c>
      <c r="N326" s="13">
        <v>45778</v>
      </c>
      <c r="O326" s="11">
        <v>450</v>
      </c>
      <c r="P326" s="11"/>
      <c r="Q326" s="11"/>
      <c r="R326" s="11"/>
      <c r="S326" s="11">
        <v>1515</v>
      </c>
      <c r="T326" s="11">
        <v>493</v>
      </c>
      <c r="U326" s="11">
        <v>334</v>
      </c>
    </row>
    <row r="327" spans="2:21" x14ac:dyDescent="0.25">
      <c r="B327" s="20" t="s">
        <v>533</v>
      </c>
      <c r="C327" s="20" t="s">
        <v>534</v>
      </c>
      <c r="D327" s="20" t="s">
        <v>535</v>
      </c>
      <c r="E327" s="20" t="s">
        <v>536</v>
      </c>
      <c r="F327" s="20">
        <v>43.135117000000001</v>
      </c>
      <c r="G327" s="20">
        <v>-96.605461000000005</v>
      </c>
      <c r="H327" s="20" t="s">
        <v>418</v>
      </c>
      <c r="I327" s="4" t="s">
        <v>537</v>
      </c>
      <c r="J327" t="s">
        <v>83</v>
      </c>
      <c r="K327" t="s">
        <v>84</v>
      </c>
      <c r="L327" s="5">
        <v>328</v>
      </c>
      <c r="M327" s="1">
        <v>45505</v>
      </c>
      <c r="N327" s="1">
        <v>45703</v>
      </c>
      <c r="O327">
        <v>148</v>
      </c>
    </row>
    <row r="328" spans="2:21" x14ac:dyDescent="0.25">
      <c r="B328" s="6" t="s">
        <v>533</v>
      </c>
      <c r="C328" s="6" t="s">
        <v>534</v>
      </c>
      <c r="D328" s="6" t="s">
        <v>535</v>
      </c>
      <c r="E328" s="6" t="s">
        <v>536</v>
      </c>
      <c r="F328" s="6">
        <v>43.135117000000001</v>
      </c>
      <c r="G328" s="6">
        <v>-96.605461000000005</v>
      </c>
      <c r="H328" s="6" t="s">
        <v>418</v>
      </c>
      <c r="I328" s="4" t="s">
        <v>537</v>
      </c>
      <c r="J328" t="s">
        <v>54</v>
      </c>
      <c r="K328" t="s">
        <v>55</v>
      </c>
      <c r="L328" s="5">
        <v>329</v>
      </c>
      <c r="M328" s="1">
        <v>45505</v>
      </c>
      <c r="N328" s="1">
        <v>45621</v>
      </c>
      <c r="O328">
        <v>148</v>
      </c>
      <c r="S328">
        <v>430</v>
      </c>
      <c r="T328">
        <v>80</v>
      </c>
      <c r="U328">
        <v>50</v>
      </c>
    </row>
    <row r="329" spans="2:21" x14ac:dyDescent="0.25">
      <c r="B329" s="8" t="s">
        <v>533</v>
      </c>
      <c r="C329" s="8" t="s">
        <v>534</v>
      </c>
      <c r="D329" s="8" t="s">
        <v>535</v>
      </c>
      <c r="E329" s="8" t="s">
        <v>536</v>
      </c>
      <c r="F329" s="8">
        <v>43.135117000000001</v>
      </c>
      <c r="G329" s="8">
        <v>-96.605461000000005</v>
      </c>
      <c r="H329" s="8" t="s">
        <v>418</v>
      </c>
      <c r="I329" s="10" t="s">
        <v>537</v>
      </c>
      <c r="J329" s="11" t="s">
        <v>56</v>
      </c>
      <c r="K329" s="11" t="s">
        <v>57</v>
      </c>
      <c r="L329" s="12">
        <v>340</v>
      </c>
      <c r="M329" s="13">
        <v>45505</v>
      </c>
      <c r="N329" s="13">
        <v>45576</v>
      </c>
      <c r="O329" s="11">
        <v>148</v>
      </c>
      <c r="P329" s="11"/>
      <c r="Q329" s="11"/>
      <c r="R329" s="11"/>
      <c r="S329" s="11">
        <v>719</v>
      </c>
      <c r="T329" s="11">
        <v>295</v>
      </c>
      <c r="U329" s="11">
        <v>169</v>
      </c>
    </row>
    <row r="330" spans="2:21" x14ac:dyDescent="0.25">
      <c r="B330" s="20" t="s">
        <v>538</v>
      </c>
      <c r="C330" s="20" t="s">
        <v>539</v>
      </c>
      <c r="D330" s="20" t="s">
        <v>540</v>
      </c>
      <c r="E330" s="20" t="s">
        <v>483</v>
      </c>
      <c r="F330" s="20">
        <v>44.649090999999999</v>
      </c>
      <c r="G330" s="20">
        <v>-101.3486</v>
      </c>
      <c r="H330" s="20" t="s">
        <v>484</v>
      </c>
      <c r="I330" s="4" t="s">
        <v>512</v>
      </c>
      <c r="J330" t="s">
        <v>54</v>
      </c>
      <c r="K330" t="s">
        <v>55</v>
      </c>
      <c r="L330" s="5">
        <v>329</v>
      </c>
      <c r="M330" s="1">
        <v>45413</v>
      </c>
      <c r="N330" s="1">
        <v>45425</v>
      </c>
      <c r="O330">
        <v>0</v>
      </c>
      <c r="P330" t="s">
        <v>145</v>
      </c>
      <c r="S330">
        <v>1293</v>
      </c>
      <c r="T330">
        <v>446</v>
      </c>
      <c r="U330">
        <v>344</v>
      </c>
    </row>
    <row r="331" spans="2:21" x14ac:dyDescent="0.25">
      <c r="B331" s="8" t="s">
        <v>538</v>
      </c>
      <c r="C331" s="8" t="s">
        <v>539</v>
      </c>
      <c r="D331" s="8" t="s">
        <v>540</v>
      </c>
      <c r="E331" s="8" t="s">
        <v>483</v>
      </c>
      <c r="F331" s="8">
        <v>44.649090999999999</v>
      </c>
      <c r="G331" s="8">
        <v>-101.3486</v>
      </c>
      <c r="H331" s="8" t="s">
        <v>484</v>
      </c>
      <c r="I331" s="10" t="s">
        <v>512</v>
      </c>
      <c r="J331" s="11" t="s">
        <v>56</v>
      </c>
      <c r="K331" s="11" t="s">
        <v>57</v>
      </c>
      <c r="L331" s="12">
        <v>340</v>
      </c>
      <c r="M331" s="13">
        <v>45422</v>
      </c>
      <c r="N331" s="13">
        <v>45422</v>
      </c>
      <c r="O331" s="11">
        <v>0</v>
      </c>
      <c r="P331" s="11" t="s">
        <v>145</v>
      </c>
      <c r="Q331" s="11"/>
      <c r="R331" s="11"/>
      <c r="S331" s="11">
        <v>1842</v>
      </c>
      <c r="T331" s="11">
        <v>672</v>
      </c>
      <c r="U331" s="11">
        <v>518</v>
      </c>
    </row>
    <row r="332" spans="2:21" x14ac:dyDescent="0.25">
      <c r="B332" s="20" t="s">
        <v>538</v>
      </c>
      <c r="C332" s="20" t="s">
        <v>541</v>
      </c>
      <c r="D332" s="20" t="s">
        <v>542</v>
      </c>
      <c r="E332" s="20" t="s">
        <v>483</v>
      </c>
      <c r="F332" s="20">
        <v>44.614719000000001</v>
      </c>
      <c r="G332" s="20">
        <v>-101.300434</v>
      </c>
      <c r="H332" s="20" t="s">
        <v>484</v>
      </c>
      <c r="I332" s="4" t="s">
        <v>543</v>
      </c>
      <c r="J332" t="s">
        <v>54</v>
      </c>
      <c r="K332" t="s">
        <v>55</v>
      </c>
      <c r="L332" s="5">
        <v>329</v>
      </c>
      <c r="M332" s="1">
        <v>45425</v>
      </c>
      <c r="N332" s="1">
        <v>45446</v>
      </c>
      <c r="O332">
        <v>0</v>
      </c>
      <c r="P332" t="s">
        <v>145</v>
      </c>
      <c r="S332">
        <v>1135</v>
      </c>
      <c r="T332">
        <v>392</v>
      </c>
      <c r="U332">
        <v>302</v>
      </c>
    </row>
    <row r="333" spans="2:21" x14ac:dyDescent="0.25">
      <c r="B333" s="8" t="s">
        <v>538</v>
      </c>
      <c r="C333" s="8" t="s">
        <v>541</v>
      </c>
      <c r="D333" s="8" t="s">
        <v>542</v>
      </c>
      <c r="E333" s="8" t="s">
        <v>483</v>
      </c>
      <c r="F333" s="8">
        <v>44.614719000000001</v>
      </c>
      <c r="G333" s="8">
        <v>-101.300434</v>
      </c>
      <c r="H333" s="8" t="s">
        <v>484</v>
      </c>
      <c r="I333" s="10" t="s">
        <v>543</v>
      </c>
      <c r="J333" s="11" t="s">
        <v>56</v>
      </c>
      <c r="K333" s="11" t="s">
        <v>57</v>
      </c>
      <c r="L333" s="12">
        <v>340</v>
      </c>
      <c r="M333" s="13">
        <v>45425</v>
      </c>
      <c r="N333" s="13">
        <v>45446</v>
      </c>
      <c r="O333" s="11">
        <v>0</v>
      </c>
      <c r="P333" s="11" t="s">
        <v>145</v>
      </c>
      <c r="Q333" s="11"/>
      <c r="R333" s="11"/>
      <c r="S333" s="11">
        <v>1618</v>
      </c>
      <c r="T333" s="11">
        <v>591</v>
      </c>
      <c r="U333" s="11">
        <v>456</v>
      </c>
    </row>
    <row r="334" spans="2:21" x14ac:dyDescent="0.25">
      <c r="B334" s="20" t="s">
        <v>544</v>
      </c>
      <c r="C334" s="20" t="s">
        <v>342</v>
      </c>
      <c r="D334" s="20" t="s">
        <v>545</v>
      </c>
      <c r="E334" s="20" t="s">
        <v>546</v>
      </c>
      <c r="F334" s="20">
        <v>44.800829999999998</v>
      </c>
      <c r="G334" s="20">
        <v>-97.176148999999995</v>
      </c>
      <c r="H334" s="20" t="s">
        <v>363</v>
      </c>
      <c r="I334" s="4" t="s">
        <v>547</v>
      </c>
      <c r="J334" t="s">
        <v>54</v>
      </c>
      <c r="K334" t="s">
        <v>55</v>
      </c>
      <c r="L334" s="5">
        <v>329</v>
      </c>
      <c r="M334" s="1">
        <v>45413</v>
      </c>
      <c r="N334" s="1">
        <v>45555</v>
      </c>
      <c r="O334">
        <v>78</v>
      </c>
      <c r="S334">
        <v>182</v>
      </c>
      <c r="T334">
        <v>32</v>
      </c>
      <c r="U334">
        <v>19</v>
      </c>
    </row>
    <row r="335" spans="2:21" x14ac:dyDescent="0.25">
      <c r="B335" s="6" t="s">
        <v>544</v>
      </c>
      <c r="C335" s="6" t="s">
        <v>342</v>
      </c>
      <c r="D335" s="6" t="s">
        <v>545</v>
      </c>
      <c r="E335" s="6" t="s">
        <v>546</v>
      </c>
      <c r="F335" s="6">
        <v>44.800829999999998</v>
      </c>
      <c r="G335" s="6">
        <v>-97.176148999999995</v>
      </c>
      <c r="H335" s="6" t="s">
        <v>363</v>
      </c>
      <c r="I335" s="4" t="s">
        <v>547</v>
      </c>
      <c r="J335" t="s">
        <v>56</v>
      </c>
      <c r="K335" t="s">
        <v>57</v>
      </c>
      <c r="L335" s="5">
        <v>340</v>
      </c>
      <c r="M335" s="1">
        <v>45432</v>
      </c>
      <c r="N335" s="1">
        <v>45555</v>
      </c>
      <c r="O335">
        <v>78</v>
      </c>
      <c r="S335">
        <v>342</v>
      </c>
      <c r="T335">
        <v>104</v>
      </c>
      <c r="U335">
        <v>67</v>
      </c>
    </row>
    <row r="336" spans="2:21" x14ac:dyDescent="0.25">
      <c r="B336" s="8" t="s">
        <v>544</v>
      </c>
      <c r="C336" s="8" t="s">
        <v>342</v>
      </c>
      <c r="D336" s="8" t="s">
        <v>545</v>
      </c>
      <c r="E336" s="8" t="s">
        <v>546</v>
      </c>
      <c r="F336" s="8">
        <v>44.800829999999998</v>
      </c>
      <c r="G336" s="8">
        <v>-97.176148999999995</v>
      </c>
      <c r="H336" s="8" t="s">
        <v>363</v>
      </c>
      <c r="I336" s="10" t="s">
        <v>547</v>
      </c>
      <c r="J336" s="11" t="s">
        <v>105</v>
      </c>
      <c r="K336" s="11" t="s">
        <v>59</v>
      </c>
      <c r="L336" s="12">
        <v>556</v>
      </c>
      <c r="M336" s="13">
        <v>45413</v>
      </c>
      <c r="N336" s="13">
        <v>45555</v>
      </c>
      <c r="O336" s="11">
        <v>78</v>
      </c>
      <c r="P336" s="11"/>
      <c r="Q336" s="11"/>
      <c r="R336" s="11"/>
      <c r="S336" s="11"/>
      <c r="T336" s="11"/>
      <c r="U336" s="11"/>
    </row>
    <row r="337" spans="2:21" x14ac:dyDescent="0.25">
      <c r="B337" s="20" t="s">
        <v>548</v>
      </c>
      <c r="C337" s="20" t="s">
        <v>126</v>
      </c>
      <c r="D337" s="20" t="s">
        <v>549</v>
      </c>
      <c r="E337" s="20" t="s">
        <v>478</v>
      </c>
      <c r="F337" s="20">
        <v>43.087975999999998</v>
      </c>
      <c r="G337" s="20">
        <v>-97.820886999999999</v>
      </c>
      <c r="H337" s="20" t="s">
        <v>137</v>
      </c>
      <c r="I337" s="4" t="s">
        <v>550</v>
      </c>
      <c r="J337" t="s">
        <v>54</v>
      </c>
      <c r="K337" t="s">
        <v>55</v>
      </c>
      <c r="L337" s="5">
        <v>329</v>
      </c>
      <c r="M337" s="1">
        <v>45505</v>
      </c>
      <c r="N337" s="1">
        <v>45581</v>
      </c>
      <c r="O337">
        <v>0</v>
      </c>
      <c r="P337" t="s">
        <v>145</v>
      </c>
      <c r="S337">
        <v>450</v>
      </c>
      <c r="T337">
        <v>140</v>
      </c>
      <c r="U337">
        <v>101</v>
      </c>
    </row>
    <row r="338" spans="2:21" x14ac:dyDescent="0.25">
      <c r="B338" s="8" t="s">
        <v>548</v>
      </c>
      <c r="C338" s="8" t="s">
        <v>126</v>
      </c>
      <c r="D338" s="8" t="s">
        <v>549</v>
      </c>
      <c r="E338" s="8" t="s">
        <v>478</v>
      </c>
      <c r="F338" s="8">
        <v>43.087975999999998</v>
      </c>
      <c r="G338" s="8">
        <v>-97.820886999999999</v>
      </c>
      <c r="H338" s="8" t="s">
        <v>137</v>
      </c>
      <c r="I338" s="10" t="s">
        <v>550</v>
      </c>
      <c r="J338" s="11" t="s">
        <v>56</v>
      </c>
      <c r="K338" s="11" t="s">
        <v>57</v>
      </c>
      <c r="L338" s="12">
        <v>340</v>
      </c>
      <c r="M338" s="13">
        <v>45505</v>
      </c>
      <c r="N338" s="13">
        <v>45566</v>
      </c>
      <c r="O338" s="11">
        <v>0</v>
      </c>
      <c r="P338" s="11" t="s">
        <v>145</v>
      </c>
      <c r="Q338" s="11"/>
      <c r="R338" s="11"/>
      <c r="S338" s="11">
        <v>608</v>
      </c>
      <c r="T338" s="11">
        <v>210</v>
      </c>
      <c r="U338" s="11">
        <v>153</v>
      </c>
    </row>
    <row r="339" spans="2:21" x14ac:dyDescent="0.25">
      <c r="B339" s="20" t="s">
        <v>551</v>
      </c>
      <c r="C339" s="20" t="s">
        <v>552</v>
      </c>
      <c r="D339" s="20" t="s">
        <v>553</v>
      </c>
      <c r="E339" s="20" t="s">
        <v>554</v>
      </c>
      <c r="F339" s="20">
        <v>42.92248</v>
      </c>
      <c r="G339" s="20">
        <v>-96.900861000000006</v>
      </c>
      <c r="H339" s="20" t="s">
        <v>100</v>
      </c>
      <c r="I339" s="4" t="s">
        <v>555</v>
      </c>
      <c r="J339" t="s">
        <v>83</v>
      </c>
      <c r="K339" t="s">
        <v>84</v>
      </c>
      <c r="L339" s="5">
        <v>328</v>
      </c>
      <c r="M339" s="1">
        <v>45498</v>
      </c>
      <c r="N339" s="1">
        <v>45553</v>
      </c>
      <c r="O339">
        <v>116</v>
      </c>
    </row>
    <row r="340" spans="2:21" x14ac:dyDescent="0.25">
      <c r="B340" s="6" t="s">
        <v>551</v>
      </c>
      <c r="C340" s="6" t="s">
        <v>552</v>
      </c>
      <c r="D340" s="6" t="s">
        <v>553</v>
      </c>
      <c r="E340" s="6" t="s">
        <v>554</v>
      </c>
      <c r="F340" s="6">
        <v>42.92248</v>
      </c>
      <c r="G340" s="6">
        <v>-96.900861000000006</v>
      </c>
      <c r="H340" s="6" t="s">
        <v>100</v>
      </c>
      <c r="I340" s="4" t="s">
        <v>555</v>
      </c>
      <c r="J340" t="s">
        <v>54</v>
      </c>
      <c r="K340" t="s">
        <v>55</v>
      </c>
      <c r="L340" s="5">
        <v>329</v>
      </c>
      <c r="M340" s="1">
        <v>45498</v>
      </c>
      <c r="N340" s="1">
        <v>45553</v>
      </c>
      <c r="O340">
        <v>116</v>
      </c>
      <c r="S340">
        <v>310</v>
      </c>
      <c r="T340">
        <v>50</v>
      </c>
      <c r="U340">
        <v>29</v>
      </c>
    </row>
    <row r="341" spans="2:21" x14ac:dyDescent="0.25">
      <c r="B341" s="8" t="s">
        <v>551</v>
      </c>
      <c r="C341" s="8" t="s">
        <v>552</v>
      </c>
      <c r="D341" s="8" t="s">
        <v>553</v>
      </c>
      <c r="E341" s="8" t="s">
        <v>554</v>
      </c>
      <c r="F341" s="8">
        <v>42.92248</v>
      </c>
      <c r="G341" s="8">
        <v>-96.900861000000006</v>
      </c>
      <c r="H341" s="8" t="s">
        <v>100</v>
      </c>
      <c r="I341" s="10" t="s">
        <v>555</v>
      </c>
      <c r="J341" s="11" t="s">
        <v>56</v>
      </c>
      <c r="K341" s="11" t="s">
        <v>57</v>
      </c>
      <c r="L341" s="12">
        <v>340</v>
      </c>
      <c r="M341" s="13">
        <v>45498</v>
      </c>
      <c r="N341" s="13">
        <v>45553</v>
      </c>
      <c r="O341" s="11">
        <v>116</v>
      </c>
      <c r="P341" s="11"/>
      <c r="Q341" s="11"/>
      <c r="R341" s="11"/>
      <c r="S341" s="11">
        <v>555</v>
      </c>
      <c r="T341" s="11">
        <v>164</v>
      </c>
      <c r="U341" s="11">
        <v>102</v>
      </c>
    </row>
    <row r="342" spans="2:21" x14ac:dyDescent="0.25">
      <c r="B342" s="20" t="s">
        <v>556</v>
      </c>
      <c r="C342" s="20" t="s">
        <v>329</v>
      </c>
      <c r="D342" s="20" t="s">
        <v>557</v>
      </c>
      <c r="E342" s="20" t="s">
        <v>468</v>
      </c>
      <c r="F342" s="20">
        <v>45.376576</v>
      </c>
      <c r="G342" s="20">
        <v>-96.939476999999997</v>
      </c>
      <c r="H342" s="20" t="s">
        <v>275</v>
      </c>
      <c r="I342" s="4">
        <v>202403</v>
      </c>
      <c r="J342" t="s">
        <v>54</v>
      </c>
      <c r="K342" t="s">
        <v>55</v>
      </c>
      <c r="L342" s="5">
        <v>329</v>
      </c>
      <c r="M342" s="1">
        <v>45474</v>
      </c>
      <c r="N342" s="1">
        <v>45519</v>
      </c>
      <c r="O342">
        <v>0</v>
      </c>
      <c r="S342">
        <v>217</v>
      </c>
      <c r="T342">
        <v>47</v>
      </c>
      <c r="U342">
        <v>32</v>
      </c>
    </row>
    <row r="343" spans="2:21" x14ac:dyDescent="0.25">
      <c r="B343" s="8" t="s">
        <v>556</v>
      </c>
      <c r="C343" s="8" t="s">
        <v>329</v>
      </c>
      <c r="D343" s="8" t="s">
        <v>557</v>
      </c>
      <c r="E343" s="8" t="s">
        <v>468</v>
      </c>
      <c r="F343" s="8">
        <v>45.376576</v>
      </c>
      <c r="G343" s="8">
        <v>-96.939476999999997</v>
      </c>
      <c r="H343" s="8" t="s">
        <v>275</v>
      </c>
      <c r="I343" s="10">
        <v>202403</v>
      </c>
      <c r="J343" s="11" t="s">
        <v>56</v>
      </c>
      <c r="K343" s="11" t="s">
        <v>57</v>
      </c>
      <c r="L343" s="12">
        <v>340</v>
      </c>
      <c r="M343" s="13">
        <v>45474</v>
      </c>
      <c r="N343" s="13">
        <v>45778</v>
      </c>
      <c r="O343" s="11">
        <v>0</v>
      </c>
      <c r="P343" s="11"/>
      <c r="Q343" s="11"/>
      <c r="R343" s="11"/>
      <c r="S343" s="11">
        <v>525</v>
      </c>
      <c r="T343" s="11">
        <v>178</v>
      </c>
      <c r="U343" s="11">
        <v>126</v>
      </c>
    </row>
    <row r="344" spans="2:21" x14ac:dyDescent="0.25">
      <c r="B344" s="20" t="s">
        <v>558</v>
      </c>
      <c r="C344" s="20" t="s">
        <v>559</v>
      </c>
      <c r="D344" s="20" t="s">
        <v>560</v>
      </c>
      <c r="E344" s="20" t="s">
        <v>263</v>
      </c>
      <c r="F344" s="20">
        <v>43.936072000000003</v>
      </c>
      <c r="G344" s="20">
        <v>-97.745228999999995</v>
      </c>
      <c r="H344" s="20" t="s">
        <v>189</v>
      </c>
      <c r="I344" s="4">
        <v>20241</v>
      </c>
      <c r="J344" t="s">
        <v>54</v>
      </c>
      <c r="K344" t="s">
        <v>55</v>
      </c>
      <c r="L344" s="5">
        <v>329</v>
      </c>
      <c r="M344" s="1">
        <v>45467</v>
      </c>
      <c r="N344" s="1">
        <v>45413</v>
      </c>
      <c r="O344">
        <v>0</v>
      </c>
      <c r="S344">
        <v>49</v>
      </c>
      <c r="T344">
        <v>9</v>
      </c>
      <c r="U344">
        <v>6</v>
      </c>
    </row>
    <row r="345" spans="2:21" x14ac:dyDescent="0.25">
      <c r="B345" s="8" t="s">
        <v>558</v>
      </c>
      <c r="C345" s="8" t="s">
        <v>559</v>
      </c>
      <c r="D345" s="8" t="s">
        <v>560</v>
      </c>
      <c r="E345" s="8" t="s">
        <v>263</v>
      </c>
      <c r="F345" s="8">
        <v>43.936072000000003</v>
      </c>
      <c r="G345" s="8">
        <v>-97.745228999999995</v>
      </c>
      <c r="H345" s="8" t="s">
        <v>189</v>
      </c>
      <c r="I345" s="10">
        <v>20241</v>
      </c>
      <c r="J345" s="11" t="s">
        <v>56</v>
      </c>
      <c r="K345" s="11" t="s">
        <v>57</v>
      </c>
      <c r="L345" s="12">
        <v>340</v>
      </c>
      <c r="M345" s="13">
        <v>45444</v>
      </c>
      <c r="N345" s="13">
        <v>45809</v>
      </c>
      <c r="O345" s="11">
        <v>0</v>
      </c>
      <c r="P345" s="11"/>
      <c r="Q345" s="11"/>
      <c r="R345" s="11"/>
      <c r="S345" s="11">
        <v>95</v>
      </c>
      <c r="T345" s="11">
        <v>30</v>
      </c>
      <c r="U345" s="11">
        <v>20</v>
      </c>
    </row>
    <row r="346" spans="2:21" x14ac:dyDescent="0.25">
      <c r="B346" s="20" t="s">
        <v>561</v>
      </c>
      <c r="C346" s="20" t="s">
        <v>534</v>
      </c>
      <c r="D346" s="20" t="s">
        <v>562</v>
      </c>
      <c r="E346" s="20" t="s">
        <v>563</v>
      </c>
      <c r="F346" s="20">
        <v>44.415987000000001</v>
      </c>
      <c r="G346" s="20">
        <v>-100.242985</v>
      </c>
      <c r="H346" s="20" t="s">
        <v>564</v>
      </c>
      <c r="I346" s="4" t="s">
        <v>565</v>
      </c>
      <c r="J346" t="s">
        <v>54</v>
      </c>
      <c r="K346" t="s">
        <v>55</v>
      </c>
      <c r="L346" s="5">
        <v>329</v>
      </c>
      <c r="M346" s="1">
        <v>45474</v>
      </c>
      <c r="N346" s="1">
        <v>45558</v>
      </c>
      <c r="O346">
        <v>0</v>
      </c>
      <c r="P346" t="s">
        <v>145</v>
      </c>
      <c r="S346">
        <v>333</v>
      </c>
      <c r="T346">
        <v>69</v>
      </c>
      <c r="U346">
        <v>46</v>
      </c>
    </row>
    <row r="347" spans="2:21" x14ac:dyDescent="0.25">
      <c r="B347" s="8" t="s">
        <v>561</v>
      </c>
      <c r="C347" s="8" t="s">
        <v>534</v>
      </c>
      <c r="D347" s="8" t="s">
        <v>562</v>
      </c>
      <c r="E347" s="8" t="s">
        <v>563</v>
      </c>
      <c r="F347" s="8">
        <v>44.415987000000001</v>
      </c>
      <c r="G347" s="8">
        <v>-100.242985</v>
      </c>
      <c r="H347" s="8" t="s">
        <v>564</v>
      </c>
      <c r="I347" s="10" t="s">
        <v>565</v>
      </c>
      <c r="J347" s="11" t="s">
        <v>56</v>
      </c>
      <c r="K347" s="11" t="s">
        <v>57</v>
      </c>
      <c r="L347" s="12">
        <v>340</v>
      </c>
      <c r="M347" s="13">
        <v>45505</v>
      </c>
      <c r="N347" s="13">
        <v>45548</v>
      </c>
      <c r="O347" s="11">
        <v>0</v>
      </c>
      <c r="P347" s="11" t="s">
        <v>145</v>
      </c>
      <c r="Q347" s="11"/>
      <c r="R347" s="11"/>
      <c r="S347" s="11">
        <v>776</v>
      </c>
      <c r="T347" s="11">
        <v>258</v>
      </c>
      <c r="U347" s="11">
        <v>180</v>
      </c>
    </row>
    <row r="348" spans="2:21" x14ac:dyDescent="0.25">
      <c r="B348" s="20" t="s">
        <v>566</v>
      </c>
      <c r="C348" s="20" t="s">
        <v>567</v>
      </c>
      <c r="D348" s="20" t="s">
        <v>568</v>
      </c>
      <c r="E348" s="20" t="s">
        <v>478</v>
      </c>
      <c r="F348" s="20">
        <v>43.100960000000001</v>
      </c>
      <c r="G348" s="20">
        <v>-97.572306999999995</v>
      </c>
      <c r="H348" s="20"/>
      <c r="I348" s="4" t="s">
        <v>569</v>
      </c>
      <c r="J348" t="s">
        <v>83</v>
      </c>
      <c r="K348" t="s">
        <v>84</v>
      </c>
      <c r="L348" s="5">
        <v>328</v>
      </c>
      <c r="M348" s="1">
        <v>45505</v>
      </c>
      <c r="N348" s="1">
        <v>45712</v>
      </c>
      <c r="O348">
        <v>156</v>
      </c>
    </row>
    <row r="349" spans="2:21" x14ac:dyDescent="0.25">
      <c r="B349" s="6" t="s">
        <v>566</v>
      </c>
      <c r="C349" s="6" t="s">
        <v>567</v>
      </c>
      <c r="D349" s="6" t="s">
        <v>568</v>
      </c>
      <c r="E349" s="6" t="s">
        <v>478</v>
      </c>
      <c r="F349" s="6">
        <v>43.100960000000001</v>
      </c>
      <c r="G349" s="6">
        <v>-97.572306999999995</v>
      </c>
      <c r="H349" s="6"/>
      <c r="I349" s="4" t="s">
        <v>569</v>
      </c>
      <c r="J349" t="s">
        <v>54</v>
      </c>
      <c r="K349" t="s">
        <v>55</v>
      </c>
      <c r="L349" s="5">
        <v>329</v>
      </c>
      <c r="M349" s="1">
        <v>45505</v>
      </c>
      <c r="N349" s="1">
        <v>45712</v>
      </c>
      <c r="O349">
        <v>156</v>
      </c>
      <c r="S349">
        <v>514</v>
      </c>
      <c r="T349">
        <v>114</v>
      </c>
      <c r="U349">
        <v>78</v>
      </c>
    </row>
    <row r="350" spans="2:21" x14ac:dyDescent="0.25">
      <c r="B350" s="8" t="s">
        <v>566</v>
      </c>
      <c r="C350" s="8" t="s">
        <v>567</v>
      </c>
      <c r="D350" s="8" t="s">
        <v>568</v>
      </c>
      <c r="E350" s="8" t="s">
        <v>478</v>
      </c>
      <c r="F350" s="8">
        <v>43.100960000000001</v>
      </c>
      <c r="G350" s="8">
        <v>-97.572306999999995</v>
      </c>
      <c r="H350" s="8"/>
      <c r="I350" s="10" t="s">
        <v>569</v>
      </c>
      <c r="J350" s="11" t="s">
        <v>56</v>
      </c>
      <c r="K350" s="11" t="s">
        <v>57</v>
      </c>
      <c r="L350" s="12">
        <v>340</v>
      </c>
      <c r="M350" s="13">
        <v>45519</v>
      </c>
      <c r="N350" s="13">
        <v>45580</v>
      </c>
      <c r="O350" s="11">
        <v>156</v>
      </c>
      <c r="P350" s="11"/>
      <c r="Q350" s="11"/>
      <c r="R350" s="11"/>
      <c r="S350" s="11">
        <v>1262</v>
      </c>
      <c r="T350" s="11">
        <v>429</v>
      </c>
      <c r="U350" s="11">
        <v>306</v>
      </c>
    </row>
    <row r="351" spans="2:21" x14ac:dyDescent="0.25">
      <c r="B351" s="20" t="s">
        <v>570</v>
      </c>
      <c r="C351" s="20" t="s">
        <v>67</v>
      </c>
      <c r="D351" s="20" t="s">
        <v>571</v>
      </c>
      <c r="E351" s="20" t="s">
        <v>572</v>
      </c>
      <c r="F351" s="20">
        <v>43.034579999999998</v>
      </c>
      <c r="G351" s="20">
        <v>-97.631472000000002</v>
      </c>
      <c r="H351" s="20" t="s">
        <v>137</v>
      </c>
      <c r="I351" s="4" t="s">
        <v>103</v>
      </c>
      <c r="J351" t="s">
        <v>54</v>
      </c>
      <c r="K351" t="s">
        <v>55</v>
      </c>
      <c r="L351" s="5">
        <v>329</v>
      </c>
      <c r="M351" s="1">
        <v>45102</v>
      </c>
      <c r="N351" s="1">
        <v>45170</v>
      </c>
      <c r="O351">
        <v>233</v>
      </c>
      <c r="S351">
        <v>657</v>
      </c>
      <c r="T351">
        <v>127</v>
      </c>
      <c r="U351">
        <v>82</v>
      </c>
    </row>
    <row r="352" spans="2:21" x14ac:dyDescent="0.25">
      <c r="B352" s="6" t="s">
        <v>570</v>
      </c>
      <c r="C352" s="6" t="s">
        <v>67</v>
      </c>
      <c r="D352" s="6" t="s">
        <v>571</v>
      </c>
      <c r="E352" s="6" t="s">
        <v>572</v>
      </c>
      <c r="F352" s="6">
        <v>43.034579999999998</v>
      </c>
      <c r="G352" s="6">
        <v>-97.631472000000002</v>
      </c>
      <c r="H352" s="6" t="s">
        <v>137</v>
      </c>
      <c r="I352" s="4" t="s">
        <v>103</v>
      </c>
      <c r="J352" t="s">
        <v>56</v>
      </c>
      <c r="K352" t="s">
        <v>57</v>
      </c>
      <c r="L352" s="5">
        <v>340</v>
      </c>
      <c r="M352" s="1">
        <v>45097</v>
      </c>
      <c r="N352" s="1">
        <v>45170</v>
      </c>
      <c r="O352">
        <v>233</v>
      </c>
      <c r="S352">
        <v>1449</v>
      </c>
      <c r="T352">
        <v>472</v>
      </c>
      <c r="U352">
        <v>321</v>
      </c>
    </row>
    <row r="353" spans="2:21" x14ac:dyDescent="0.25">
      <c r="B353" s="6" t="s">
        <v>570</v>
      </c>
      <c r="C353" s="6" t="s">
        <v>67</v>
      </c>
      <c r="D353" s="6" t="s">
        <v>571</v>
      </c>
      <c r="E353" s="6" t="s">
        <v>572</v>
      </c>
      <c r="F353" s="6">
        <v>43.034579999999998</v>
      </c>
      <c r="G353" s="6">
        <v>-97.631472000000002</v>
      </c>
      <c r="H353" s="6" t="s">
        <v>137</v>
      </c>
      <c r="I353" s="4" t="s">
        <v>103</v>
      </c>
      <c r="J353" t="s">
        <v>105</v>
      </c>
      <c r="K353" t="s">
        <v>59</v>
      </c>
      <c r="L353" s="5">
        <v>556</v>
      </c>
      <c r="M353" s="1">
        <v>45078</v>
      </c>
      <c r="N353" s="1">
        <v>45289</v>
      </c>
      <c r="O353">
        <v>233</v>
      </c>
    </row>
    <row r="354" spans="2:21" x14ac:dyDescent="0.25">
      <c r="B354" s="8" t="s">
        <v>570</v>
      </c>
      <c r="C354" s="8" t="s">
        <v>67</v>
      </c>
      <c r="D354" s="8" t="s">
        <v>571</v>
      </c>
      <c r="E354" s="8" t="s">
        <v>572</v>
      </c>
      <c r="F354" s="8">
        <v>43.034579999999998</v>
      </c>
      <c r="G354" s="8">
        <v>-97.631472000000002</v>
      </c>
      <c r="H354" s="8" t="s">
        <v>137</v>
      </c>
      <c r="I354" s="10" t="s">
        <v>103</v>
      </c>
      <c r="J354" s="11" t="s">
        <v>573</v>
      </c>
      <c r="K354" s="11" t="s">
        <v>133</v>
      </c>
      <c r="L354" s="12"/>
      <c r="M354" s="13">
        <v>45447</v>
      </c>
      <c r="N354" s="13">
        <v>45575</v>
      </c>
      <c r="O354" s="11">
        <v>0</v>
      </c>
      <c r="P354" s="11"/>
      <c r="Q354" s="11"/>
      <c r="R354" s="11"/>
      <c r="S354" s="11"/>
      <c r="T354" s="11"/>
      <c r="U354" s="11"/>
    </row>
    <row r="355" spans="2:21" x14ac:dyDescent="0.25">
      <c r="B355" s="20" t="s">
        <v>574</v>
      </c>
      <c r="C355" s="20" t="s">
        <v>182</v>
      </c>
      <c r="D355" s="20" t="s">
        <v>575</v>
      </c>
      <c r="E355" s="20" t="s">
        <v>576</v>
      </c>
      <c r="F355" s="20">
        <v>43.211111000000002</v>
      </c>
      <c r="G355" s="20">
        <v>-96.964170999999993</v>
      </c>
      <c r="H355" s="20" t="s">
        <v>100</v>
      </c>
      <c r="I355" s="4" t="s">
        <v>577</v>
      </c>
      <c r="J355" t="s">
        <v>83</v>
      </c>
      <c r="K355" t="s">
        <v>84</v>
      </c>
      <c r="L355" s="5">
        <v>328</v>
      </c>
      <c r="M355" s="1">
        <v>45536</v>
      </c>
      <c r="N355" s="1">
        <v>45569</v>
      </c>
      <c r="O355">
        <v>76.5</v>
      </c>
    </row>
    <row r="356" spans="2:21" x14ac:dyDescent="0.25">
      <c r="B356" s="6" t="s">
        <v>574</v>
      </c>
      <c r="C356" s="6" t="s">
        <v>182</v>
      </c>
      <c r="D356" s="6" t="s">
        <v>575</v>
      </c>
      <c r="E356" s="6" t="s">
        <v>576</v>
      </c>
      <c r="F356" s="6">
        <v>43.211111000000002</v>
      </c>
      <c r="G356" s="6">
        <v>-96.964170999999993</v>
      </c>
      <c r="H356" s="6" t="s">
        <v>100</v>
      </c>
      <c r="I356" s="4" t="s">
        <v>577</v>
      </c>
      <c r="J356" t="s">
        <v>54</v>
      </c>
      <c r="K356" t="s">
        <v>55</v>
      </c>
      <c r="L356" s="5">
        <v>329</v>
      </c>
      <c r="M356" s="1">
        <v>45536</v>
      </c>
      <c r="N356" s="1">
        <v>45569</v>
      </c>
      <c r="O356">
        <v>76.5</v>
      </c>
      <c r="S356">
        <v>192</v>
      </c>
      <c r="T356">
        <v>32</v>
      </c>
      <c r="U356">
        <v>19</v>
      </c>
    </row>
    <row r="357" spans="2:21" x14ac:dyDescent="0.25">
      <c r="B357" s="8" t="s">
        <v>574</v>
      </c>
      <c r="C357" s="8" t="s">
        <v>182</v>
      </c>
      <c r="D357" s="8" t="s">
        <v>575</v>
      </c>
      <c r="E357" s="8" t="s">
        <v>576</v>
      </c>
      <c r="F357" s="8">
        <v>43.211111000000002</v>
      </c>
      <c r="G357" s="8">
        <v>-96.964170999999993</v>
      </c>
      <c r="H357" s="8" t="s">
        <v>100</v>
      </c>
      <c r="I357" s="10" t="s">
        <v>577</v>
      </c>
      <c r="J357" s="11" t="s">
        <v>573</v>
      </c>
      <c r="K357" s="11" t="s">
        <v>133</v>
      </c>
      <c r="L357" s="12"/>
      <c r="M357" s="13">
        <v>45541</v>
      </c>
      <c r="N357" s="13">
        <v>45554</v>
      </c>
      <c r="O357" s="11">
        <v>76.5</v>
      </c>
      <c r="P357" s="11"/>
      <c r="Q357" s="11"/>
      <c r="R357" s="11"/>
      <c r="S357" s="11">
        <v>350</v>
      </c>
      <c r="T357" s="11">
        <v>105</v>
      </c>
      <c r="U357" s="11">
        <v>66</v>
      </c>
    </row>
    <row r="358" spans="2:21" x14ac:dyDescent="0.25">
      <c r="B358" s="20" t="s">
        <v>578</v>
      </c>
      <c r="C358" s="20" t="s">
        <v>579</v>
      </c>
      <c r="D358" s="20" t="s">
        <v>580</v>
      </c>
      <c r="E358" s="20" t="s">
        <v>581</v>
      </c>
      <c r="F358" s="20">
        <v>43.451000000000001</v>
      </c>
      <c r="G358" s="20">
        <v>-97.636788999999993</v>
      </c>
      <c r="H358" s="20" t="s">
        <v>192</v>
      </c>
      <c r="I358" s="4" t="s">
        <v>163</v>
      </c>
      <c r="J358" t="s">
        <v>54</v>
      </c>
      <c r="K358" t="s">
        <v>55</v>
      </c>
      <c r="L358" s="5">
        <v>329</v>
      </c>
      <c r="M358" s="1">
        <v>45108</v>
      </c>
      <c r="N358" s="1">
        <v>45204</v>
      </c>
      <c r="O358">
        <v>70</v>
      </c>
      <c r="S358">
        <v>350</v>
      </c>
      <c r="T358">
        <v>59</v>
      </c>
      <c r="U358">
        <v>35</v>
      </c>
    </row>
    <row r="359" spans="2:21" x14ac:dyDescent="0.25">
      <c r="B359" s="6" t="s">
        <v>578</v>
      </c>
      <c r="C359" s="6" t="s">
        <v>579</v>
      </c>
      <c r="D359" s="6" t="s">
        <v>580</v>
      </c>
      <c r="E359" s="6" t="s">
        <v>581</v>
      </c>
      <c r="F359" s="6">
        <v>43.451000000000001</v>
      </c>
      <c r="G359" s="6">
        <v>-97.636788999999993</v>
      </c>
      <c r="H359" s="6" t="s">
        <v>192</v>
      </c>
      <c r="I359" s="4" t="s">
        <v>163</v>
      </c>
      <c r="J359" t="s">
        <v>56</v>
      </c>
      <c r="K359" t="s">
        <v>57</v>
      </c>
      <c r="L359" s="5">
        <v>340</v>
      </c>
      <c r="M359" s="1">
        <v>45204</v>
      </c>
      <c r="N359" s="1">
        <v>45204</v>
      </c>
      <c r="O359">
        <v>70</v>
      </c>
      <c r="S359">
        <v>167</v>
      </c>
      <c r="T359">
        <v>31</v>
      </c>
      <c r="U359">
        <v>19</v>
      </c>
    </row>
    <row r="360" spans="2:21" x14ac:dyDescent="0.25">
      <c r="B360" s="8" t="s">
        <v>578</v>
      </c>
      <c r="C360" s="8" t="s">
        <v>579</v>
      </c>
      <c r="D360" s="8" t="s">
        <v>580</v>
      </c>
      <c r="E360" s="8" t="s">
        <v>581</v>
      </c>
      <c r="F360" s="8">
        <v>43.451000000000001</v>
      </c>
      <c r="G360" s="8">
        <v>-97.636788999999993</v>
      </c>
      <c r="H360" s="8" t="s">
        <v>192</v>
      </c>
      <c r="I360" s="10" t="s">
        <v>163</v>
      </c>
      <c r="J360" s="11" t="s">
        <v>105</v>
      </c>
      <c r="K360" s="11" t="s">
        <v>59</v>
      </c>
      <c r="L360" s="12">
        <v>556</v>
      </c>
      <c r="M360" s="13">
        <v>45108</v>
      </c>
      <c r="N360" s="13">
        <v>45204</v>
      </c>
      <c r="O360" s="11">
        <v>70</v>
      </c>
      <c r="P360" s="11"/>
      <c r="Q360" s="11"/>
      <c r="R360" s="11"/>
      <c r="S360" s="11"/>
      <c r="T360" s="11"/>
      <c r="U360" s="11"/>
    </row>
    <row r="361" spans="2:21" x14ac:dyDescent="0.25">
      <c r="B361" s="20" t="s">
        <v>582</v>
      </c>
      <c r="C361" s="20" t="s">
        <v>583</v>
      </c>
      <c r="D361" s="20" t="s">
        <v>584</v>
      </c>
      <c r="E361" s="20" t="s">
        <v>585</v>
      </c>
      <c r="F361" s="20">
        <v>43.041584</v>
      </c>
      <c r="G361" s="20">
        <v>-98.323269999999994</v>
      </c>
      <c r="H361" s="20" t="s">
        <v>113</v>
      </c>
      <c r="I361" s="4" t="s">
        <v>586</v>
      </c>
      <c r="J361" t="s">
        <v>54</v>
      </c>
      <c r="K361" t="s">
        <v>55</v>
      </c>
      <c r="L361" s="5">
        <v>329</v>
      </c>
      <c r="M361" s="1">
        <v>45566</v>
      </c>
      <c r="N361" s="1">
        <v>45615</v>
      </c>
      <c r="O361">
        <v>167</v>
      </c>
      <c r="S361">
        <v>503</v>
      </c>
      <c r="T361">
        <v>105</v>
      </c>
      <c r="U361">
        <v>70</v>
      </c>
    </row>
    <row r="362" spans="2:21" x14ac:dyDescent="0.25">
      <c r="B362" s="8" t="s">
        <v>582</v>
      </c>
      <c r="C362" s="8" t="s">
        <v>583</v>
      </c>
      <c r="D362" s="8" t="s">
        <v>584</v>
      </c>
      <c r="E362" s="8" t="s">
        <v>585</v>
      </c>
      <c r="F362" s="8">
        <v>43.041584</v>
      </c>
      <c r="G362" s="8">
        <v>-98.323269999999994</v>
      </c>
      <c r="H362" s="8" t="s">
        <v>113</v>
      </c>
      <c r="I362" s="10" t="s">
        <v>586</v>
      </c>
      <c r="J362" s="11" t="s">
        <v>56</v>
      </c>
      <c r="K362" s="11" t="s">
        <v>57</v>
      </c>
      <c r="L362" s="12">
        <v>340</v>
      </c>
      <c r="M362" s="13">
        <v>45574</v>
      </c>
      <c r="N362" s="13">
        <v>45580</v>
      </c>
      <c r="O362" s="11">
        <v>167</v>
      </c>
      <c r="P362" s="11"/>
      <c r="Q362" s="11"/>
      <c r="R362" s="11"/>
      <c r="S362" s="11">
        <v>1080</v>
      </c>
      <c r="T362" s="11">
        <v>351</v>
      </c>
      <c r="U362" s="11">
        <v>245</v>
      </c>
    </row>
    <row r="363" spans="2:21" x14ac:dyDescent="0.25">
      <c r="B363" s="20" t="s">
        <v>582</v>
      </c>
      <c r="C363" s="20" t="s">
        <v>587</v>
      </c>
      <c r="D363" s="20" t="s">
        <v>588</v>
      </c>
      <c r="E363" s="20" t="s">
        <v>585</v>
      </c>
      <c r="F363" s="20">
        <v>43.073557000000001</v>
      </c>
      <c r="G363" s="20">
        <v>-98.103380000000001</v>
      </c>
      <c r="H363" s="20" t="s">
        <v>113</v>
      </c>
      <c r="I363" s="4" t="s">
        <v>589</v>
      </c>
      <c r="J363" t="s">
        <v>54</v>
      </c>
      <c r="K363" t="s">
        <v>55</v>
      </c>
      <c r="L363" s="5">
        <v>329</v>
      </c>
      <c r="M363" s="1">
        <v>45536</v>
      </c>
      <c r="N363" s="1">
        <v>45610</v>
      </c>
      <c r="O363">
        <v>160</v>
      </c>
      <c r="S363">
        <v>563</v>
      </c>
      <c r="T363">
        <v>127</v>
      </c>
      <c r="U363">
        <v>88</v>
      </c>
    </row>
    <row r="364" spans="2:21" x14ac:dyDescent="0.25">
      <c r="B364" s="8" t="s">
        <v>582</v>
      </c>
      <c r="C364" s="8" t="s">
        <v>587</v>
      </c>
      <c r="D364" s="8" t="s">
        <v>588</v>
      </c>
      <c r="E364" s="8" t="s">
        <v>585</v>
      </c>
      <c r="F364" s="8">
        <v>43.073557000000001</v>
      </c>
      <c r="G364" s="8">
        <v>-98.103380000000001</v>
      </c>
      <c r="H364" s="8" t="s">
        <v>113</v>
      </c>
      <c r="I364" s="10" t="s">
        <v>589</v>
      </c>
      <c r="J364" s="11" t="s">
        <v>56</v>
      </c>
      <c r="K364" s="11" t="s">
        <v>57</v>
      </c>
      <c r="L364" s="12">
        <v>340</v>
      </c>
      <c r="M364" s="13">
        <v>45573</v>
      </c>
      <c r="N364" s="13">
        <v>45580</v>
      </c>
      <c r="O364" s="11">
        <v>160</v>
      </c>
      <c r="P364" s="11"/>
      <c r="Q364" s="11"/>
      <c r="R364" s="11"/>
      <c r="S364" s="11">
        <v>1279</v>
      </c>
      <c r="T364" s="11">
        <v>427</v>
      </c>
      <c r="U364" s="11">
        <v>206</v>
      </c>
    </row>
    <row r="365" spans="2:21" x14ac:dyDescent="0.25">
      <c r="B365" s="20" t="s">
        <v>582</v>
      </c>
      <c r="C365" s="20" t="s">
        <v>590</v>
      </c>
      <c r="D365" s="20" t="s">
        <v>584</v>
      </c>
      <c r="E365" s="20" t="s">
        <v>585</v>
      </c>
      <c r="F365" s="20">
        <v>43.122312999999998</v>
      </c>
      <c r="G365" s="20">
        <v>-98.439615000000003</v>
      </c>
      <c r="H365" s="20" t="s">
        <v>113</v>
      </c>
      <c r="I365" s="4" t="s">
        <v>591</v>
      </c>
      <c r="J365" t="s">
        <v>54</v>
      </c>
      <c r="K365" t="s">
        <v>55</v>
      </c>
      <c r="L365" s="5">
        <v>329</v>
      </c>
      <c r="M365" s="1">
        <v>45566</v>
      </c>
      <c r="N365" s="1">
        <v>45615</v>
      </c>
      <c r="O365">
        <v>167</v>
      </c>
      <c r="S365">
        <v>563</v>
      </c>
      <c r="T365">
        <v>137</v>
      </c>
      <c r="U365">
        <v>88</v>
      </c>
    </row>
    <row r="366" spans="2:21" x14ac:dyDescent="0.25">
      <c r="B366" s="8" t="s">
        <v>582</v>
      </c>
      <c r="C366" s="8" t="s">
        <v>590</v>
      </c>
      <c r="D366" s="8" t="s">
        <v>584</v>
      </c>
      <c r="E366" s="8" t="s">
        <v>585</v>
      </c>
      <c r="F366" s="8">
        <v>43.122312999999998</v>
      </c>
      <c r="G366" s="8">
        <v>-98.439615000000003</v>
      </c>
      <c r="H366" s="8" t="s">
        <v>113</v>
      </c>
      <c r="I366" s="10" t="s">
        <v>591</v>
      </c>
      <c r="J366" s="11" t="s">
        <v>56</v>
      </c>
      <c r="K366" s="11" t="s">
        <v>57</v>
      </c>
      <c r="L366" s="12">
        <v>340</v>
      </c>
      <c r="M366" s="13">
        <v>45567</v>
      </c>
      <c r="N366" s="13">
        <v>45580</v>
      </c>
      <c r="O366" s="11">
        <v>167</v>
      </c>
      <c r="P366" s="11"/>
      <c r="Q366" s="11"/>
      <c r="R366" s="11"/>
      <c r="S366" s="11">
        <v>1279</v>
      </c>
      <c r="T366" s="11">
        <v>427</v>
      </c>
      <c r="U366" s="11">
        <v>306</v>
      </c>
    </row>
    <row r="367" spans="2:21" x14ac:dyDescent="0.25">
      <c r="B367" s="20" t="s">
        <v>582</v>
      </c>
      <c r="C367" s="20" t="s">
        <v>592</v>
      </c>
      <c r="D367" s="20" t="s">
        <v>593</v>
      </c>
      <c r="E367" s="20" t="s">
        <v>585</v>
      </c>
      <c r="F367" s="20">
        <v>43.050083000000001</v>
      </c>
      <c r="G367" s="20">
        <v>-98.086907999999994</v>
      </c>
      <c r="H367" s="20" t="s">
        <v>113</v>
      </c>
      <c r="I367" s="4" t="s">
        <v>594</v>
      </c>
      <c r="J367" t="s">
        <v>54</v>
      </c>
      <c r="K367" t="s">
        <v>55</v>
      </c>
      <c r="L367" s="5">
        <v>329</v>
      </c>
      <c r="M367" s="1">
        <v>45566</v>
      </c>
      <c r="N367" s="1">
        <v>45611</v>
      </c>
      <c r="O367">
        <v>137</v>
      </c>
      <c r="S367">
        <v>467</v>
      </c>
      <c r="T367">
        <v>106</v>
      </c>
      <c r="U367">
        <v>74</v>
      </c>
    </row>
    <row r="368" spans="2:21" x14ac:dyDescent="0.25">
      <c r="B368" s="8" t="s">
        <v>582</v>
      </c>
      <c r="C368" s="8" t="s">
        <v>592</v>
      </c>
      <c r="D368" s="8" t="s">
        <v>593</v>
      </c>
      <c r="E368" s="8" t="s">
        <v>585</v>
      </c>
      <c r="F368" s="8">
        <v>43.050083000000001</v>
      </c>
      <c r="G368" s="8">
        <v>-98.086907999999994</v>
      </c>
      <c r="H368" s="8" t="s">
        <v>113</v>
      </c>
      <c r="I368" s="10" t="s">
        <v>594</v>
      </c>
      <c r="J368" s="11" t="s">
        <v>56</v>
      </c>
      <c r="K368" s="11" t="s">
        <v>57</v>
      </c>
      <c r="L368" s="12">
        <v>340</v>
      </c>
      <c r="M368" s="13">
        <v>45566</v>
      </c>
      <c r="N368" s="13">
        <v>45580</v>
      </c>
      <c r="O368" s="11">
        <v>137</v>
      </c>
      <c r="P368" s="11"/>
      <c r="Q368" s="11"/>
      <c r="R368" s="11"/>
      <c r="S368" s="11">
        <v>1069</v>
      </c>
      <c r="T368" s="11">
        <v>359</v>
      </c>
      <c r="U368" s="11">
        <v>258</v>
      </c>
    </row>
    <row r="369" spans="2:21" x14ac:dyDescent="0.25">
      <c r="B369" s="20" t="s">
        <v>582</v>
      </c>
      <c r="C369" s="20" t="s">
        <v>595</v>
      </c>
      <c r="D369" s="20" t="s">
        <v>584</v>
      </c>
      <c r="E369" s="20" t="s">
        <v>585</v>
      </c>
      <c r="F369" s="20">
        <v>43.591461000000002</v>
      </c>
      <c r="G369" s="20">
        <v>-96.778142000000003</v>
      </c>
      <c r="H369" s="20" t="s">
        <v>156</v>
      </c>
      <c r="I369" s="4" t="s">
        <v>596</v>
      </c>
      <c r="J369" t="s">
        <v>54</v>
      </c>
      <c r="K369" t="s">
        <v>55</v>
      </c>
      <c r="L369" s="5">
        <v>329</v>
      </c>
      <c r="M369" s="1">
        <v>45569</v>
      </c>
      <c r="N369" s="1">
        <v>45580</v>
      </c>
      <c r="O369">
        <v>160</v>
      </c>
      <c r="S369">
        <v>548</v>
      </c>
      <c r="T369">
        <v>120</v>
      </c>
      <c r="U369">
        <v>83</v>
      </c>
    </row>
    <row r="370" spans="2:21" x14ac:dyDescent="0.25">
      <c r="B370" s="8" t="s">
        <v>582</v>
      </c>
      <c r="C370" s="8" t="s">
        <v>595</v>
      </c>
      <c r="D370" s="8" t="s">
        <v>584</v>
      </c>
      <c r="E370" s="8" t="s">
        <v>585</v>
      </c>
      <c r="F370" s="8">
        <v>43.591461000000002</v>
      </c>
      <c r="G370" s="8">
        <v>-96.778142000000003</v>
      </c>
      <c r="H370" s="8" t="s">
        <v>156</v>
      </c>
      <c r="I370" s="10" t="s">
        <v>596</v>
      </c>
      <c r="J370" s="11" t="s">
        <v>56</v>
      </c>
      <c r="K370" s="11" t="s">
        <v>57</v>
      </c>
      <c r="L370" s="12">
        <v>340</v>
      </c>
      <c r="M370" s="13">
        <v>45569</v>
      </c>
      <c r="N370" s="13">
        <v>45580</v>
      </c>
      <c r="O370" s="11">
        <v>160</v>
      </c>
      <c r="P370" s="11"/>
      <c r="Q370" s="11"/>
      <c r="R370" s="11"/>
      <c r="S370" s="11">
        <v>1220</v>
      </c>
      <c r="T370" s="11">
        <v>405</v>
      </c>
      <c r="U370" s="11">
        <v>287</v>
      </c>
    </row>
    <row r="371" spans="2:21" x14ac:dyDescent="0.25">
      <c r="B371" s="20" t="s">
        <v>597</v>
      </c>
      <c r="C371" s="20" t="s">
        <v>261</v>
      </c>
      <c r="D371" s="20" t="s">
        <v>598</v>
      </c>
      <c r="E371" s="20" t="s">
        <v>427</v>
      </c>
      <c r="F371" s="20">
        <v>43.709344999999999</v>
      </c>
      <c r="G371" s="20">
        <v>-97.133640999999997</v>
      </c>
      <c r="H371" s="20" t="s">
        <v>599</v>
      </c>
      <c r="I371" s="4" t="s">
        <v>600</v>
      </c>
      <c r="J371" t="s">
        <v>83</v>
      </c>
      <c r="K371" t="s">
        <v>84</v>
      </c>
      <c r="L371" s="5">
        <v>328</v>
      </c>
      <c r="M371" s="1">
        <v>45505</v>
      </c>
      <c r="N371" s="1">
        <v>45708</v>
      </c>
      <c r="O371">
        <v>65</v>
      </c>
    </row>
    <row r="372" spans="2:21" x14ac:dyDescent="0.25">
      <c r="B372" s="6" t="s">
        <v>597</v>
      </c>
      <c r="C372" s="6" t="s">
        <v>261</v>
      </c>
      <c r="D372" s="6" t="s">
        <v>598</v>
      </c>
      <c r="E372" s="6" t="s">
        <v>427</v>
      </c>
      <c r="F372" s="6">
        <v>43.709344999999999</v>
      </c>
      <c r="G372" s="6">
        <v>-97.133640999999997</v>
      </c>
      <c r="H372" s="6" t="s">
        <v>599</v>
      </c>
      <c r="I372" s="4" t="s">
        <v>600</v>
      </c>
      <c r="J372" t="s">
        <v>54</v>
      </c>
      <c r="K372" t="s">
        <v>55</v>
      </c>
      <c r="L372" s="5">
        <v>329</v>
      </c>
      <c r="M372" s="1">
        <v>45505</v>
      </c>
      <c r="N372" s="1">
        <v>45708</v>
      </c>
      <c r="O372">
        <v>65</v>
      </c>
      <c r="S372">
        <v>164</v>
      </c>
      <c r="T372">
        <v>29</v>
      </c>
      <c r="U372">
        <v>18</v>
      </c>
    </row>
    <row r="373" spans="2:21" x14ac:dyDescent="0.25">
      <c r="B373" s="8" t="s">
        <v>597</v>
      </c>
      <c r="C373" s="8" t="s">
        <v>261</v>
      </c>
      <c r="D373" s="8" t="s">
        <v>598</v>
      </c>
      <c r="E373" s="8" t="s">
        <v>427</v>
      </c>
      <c r="F373" s="8">
        <v>43.709344999999999</v>
      </c>
      <c r="G373" s="8">
        <v>-97.133640999999997</v>
      </c>
      <c r="H373" s="8" t="s">
        <v>599</v>
      </c>
      <c r="I373" s="10" t="s">
        <v>600</v>
      </c>
      <c r="J373" s="11" t="s">
        <v>56</v>
      </c>
      <c r="K373" s="11" t="s">
        <v>57</v>
      </c>
      <c r="L373" s="12">
        <v>340</v>
      </c>
      <c r="M373" s="13">
        <v>45488</v>
      </c>
      <c r="N373" s="13">
        <v>45560</v>
      </c>
      <c r="O373" s="11">
        <v>65</v>
      </c>
      <c r="P373" s="11"/>
      <c r="Q373" s="11"/>
      <c r="R373" s="11"/>
      <c r="S373" s="11">
        <v>312</v>
      </c>
      <c r="T373" s="11">
        <v>96</v>
      </c>
      <c r="U373" s="11">
        <v>62</v>
      </c>
    </row>
    <row r="374" spans="2:21" x14ac:dyDescent="0.25">
      <c r="B374" s="20" t="s">
        <v>597</v>
      </c>
      <c r="C374" s="20" t="s">
        <v>601</v>
      </c>
      <c r="D374" s="20" t="s">
        <v>602</v>
      </c>
      <c r="E374" s="20" t="s">
        <v>427</v>
      </c>
      <c r="F374" s="20">
        <v>43.724487000000003</v>
      </c>
      <c r="G374" s="20">
        <v>-97.181922999999998</v>
      </c>
      <c r="H374" s="20" t="s">
        <v>130</v>
      </c>
      <c r="I374" s="4" t="s">
        <v>603</v>
      </c>
      <c r="J374" t="s">
        <v>54</v>
      </c>
      <c r="K374" t="s">
        <v>55</v>
      </c>
      <c r="L374" s="5">
        <v>329</v>
      </c>
      <c r="M374" s="1">
        <v>45505</v>
      </c>
      <c r="N374" s="1">
        <v>45566</v>
      </c>
      <c r="O374">
        <v>0</v>
      </c>
      <c r="P374" t="s">
        <v>145</v>
      </c>
      <c r="S374">
        <v>262</v>
      </c>
      <c r="T374">
        <v>69</v>
      </c>
      <c r="U374">
        <v>45</v>
      </c>
    </row>
    <row r="375" spans="2:21" x14ac:dyDescent="0.25">
      <c r="B375" s="8" t="s">
        <v>597</v>
      </c>
      <c r="C375" s="8" t="s">
        <v>601</v>
      </c>
      <c r="D375" s="8" t="s">
        <v>602</v>
      </c>
      <c r="E375" s="8" t="s">
        <v>427</v>
      </c>
      <c r="F375" s="8">
        <v>43.724487000000003</v>
      </c>
      <c r="G375" s="8">
        <v>-97.181922999999998</v>
      </c>
      <c r="H375" s="8" t="s">
        <v>130</v>
      </c>
      <c r="I375" s="10" t="s">
        <v>603</v>
      </c>
      <c r="J375" s="11" t="s">
        <v>573</v>
      </c>
      <c r="K375" s="11" t="s">
        <v>133</v>
      </c>
      <c r="L375" s="12"/>
      <c r="M375" s="13">
        <v>45505</v>
      </c>
      <c r="N375" s="13">
        <v>45566</v>
      </c>
      <c r="O375" s="11">
        <v>0</v>
      </c>
      <c r="P375" s="11" t="s">
        <v>145</v>
      </c>
      <c r="Q375" s="11"/>
      <c r="R375" s="11"/>
      <c r="S375" s="11">
        <v>328</v>
      </c>
      <c r="T375" s="11">
        <v>104</v>
      </c>
      <c r="U375" s="11">
        <v>68</v>
      </c>
    </row>
    <row r="376" spans="2:21" x14ac:dyDescent="0.25">
      <c r="B376" s="20" t="s">
        <v>597</v>
      </c>
      <c r="C376" s="20" t="s">
        <v>444</v>
      </c>
      <c r="D376" s="20" t="s">
        <v>604</v>
      </c>
      <c r="E376" s="20" t="s">
        <v>291</v>
      </c>
      <c r="F376" s="20">
        <v>44.517601999999997</v>
      </c>
      <c r="G376" s="20">
        <v>-97.294883999999996</v>
      </c>
      <c r="H376" s="20" t="s">
        <v>128</v>
      </c>
      <c r="I376" s="4" t="s">
        <v>365</v>
      </c>
      <c r="J376" t="s">
        <v>83</v>
      </c>
      <c r="K376" t="s">
        <v>84</v>
      </c>
      <c r="L376" s="5">
        <v>328</v>
      </c>
      <c r="M376" s="1">
        <v>45383</v>
      </c>
      <c r="N376" s="1">
        <v>45392</v>
      </c>
      <c r="O376">
        <v>0</v>
      </c>
    </row>
    <row r="377" spans="2:21" x14ac:dyDescent="0.25">
      <c r="B377" s="6" t="s">
        <v>597</v>
      </c>
      <c r="C377" s="6" t="s">
        <v>444</v>
      </c>
      <c r="D377" s="6" t="s">
        <v>604</v>
      </c>
      <c r="E377" s="6" t="s">
        <v>291</v>
      </c>
      <c r="F377" s="6">
        <v>44.517601999999997</v>
      </c>
      <c r="G377" s="6">
        <v>-97.294883999999996</v>
      </c>
      <c r="H377" s="6" t="s">
        <v>128</v>
      </c>
      <c r="I377" s="4" t="s">
        <v>365</v>
      </c>
      <c r="J377" t="s">
        <v>54</v>
      </c>
      <c r="K377" t="s">
        <v>55</v>
      </c>
      <c r="L377" s="5">
        <v>329</v>
      </c>
      <c r="M377" s="1">
        <v>45383</v>
      </c>
      <c r="N377" s="1">
        <v>45392</v>
      </c>
      <c r="O377">
        <v>0</v>
      </c>
    </row>
    <row r="378" spans="2:21" x14ac:dyDescent="0.25">
      <c r="B378" s="8" t="s">
        <v>597</v>
      </c>
      <c r="C378" s="8" t="s">
        <v>444</v>
      </c>
      <c r="D378" s="8" t="s">
        <v>604</v>
      </c>
      <c r="E378" s="8" t="s">
        <v>291</v>
      </c>
      <c r="F378" s="8">
        <v>44.517601999999997</v>
      </c>
      <c r="G378" s="8">
        <v>-97.294883999999996</v>
      </c>
      <c r="H378" s="8" t="s">
        <v>128</v>
      </c>
      <c r="I378" s="10" t="s">
        <v>365</v>
      </c>
      <c r="J378" s="11" t="s">
        <v>573</v>
      </c>
      <c r="K378" s="11" t="s">
        <v>133</v>
      </c>
      <c r="L378" s="12"/>
      <c r="M378" s="13">
        <v>45355</v>
      </c>
      <c r="N378" s="13">
        <v>45397</v>
      </c>
      <c r="O378" s="11">
        <v>152</v>
      </c>
      <c r="P378" s="11"/>
      <c r="Q378" s="11"/>
      <c r="R378" s="11"/>
      <c r="S378" s="11">
        <v>350</v>
      </c>
      <c r="T378" s="11">
        <v>59</v>
      </c>
      <c r="U378" s="11">
        <v>35</v>
      </c>
    </row>
    <row r="379" spans="2:21" x14ac:dyDescent="0.25">
      <c r="B379" s="20" t="s">
        <v>597</v>
      </c>
      <c r="C379" s="20" t="s">
        <v>567</v>
      </c>
      <c r="D379" s="20" t="s">
        <v>598</v>
      </c>
      <c r="E379" s="20" t="s">
        <v>291</v>
      </c>
      <c r="F379" s="20">
        <v>44.584667000000003</v>
      </c>
      <c r="G379" s="20">
        <v>-97.306381999999999</v>
      </c>
      <c r="H379" s="20" t="s">
        <v>128</v>
      </c>
      <c r="I379" s="4" t="s">
        <v>605</v>
      </c>
      <c r="J379" t="s">
        <v>83</v>
      </c>
      <c r="K379" t="s">
        <v>84</v>
      </c>
      <c r="L379" s="5">
        <v>328</v>
      </c>
      <c r="M379" s="1">
        <v>45356</v>
      </c>
      <c r="N379" s="1">
        <v>45397</v>
      </c>
      <c r="O379">
        <v>0</v>
      </c>
    </row>
    <row r="380" spans="2:21" x14ac:dyDescent="0.25">
      <c r="B380" s="6" t="s">
        <v>597</v>
      </c>
      <c r="C380" s="6" t="s">
        <v>567</v>
      </c>
      <c r="D380" s="6" t="s">
        <v>598</v>
      </c>
      <c r="E380" s="6" t="s">
        <v>291</v>
      </c>
      <c r="F380" s="6">
        <v>44.584667000000003</v>
      </c>
      <c r="G380" s="6">
        <v>-97.306381999999999</v>
      </c>
      <c r="H380" s="6" t="s">
        <v>128</v>
      </c>
      <c r="I380" s="4" t="s">
        <v>605</v>
      </c>
      <c r="J380" t="s">
        <v>54</v>
      </c>
      <c r="K380" t="s">
        <v>55</v>
      </c>
      <c r="L380" s="5">
        <v>329</v>
      </c>
      <c r="M380" s="1">
        <v>45356</v>
      </c>
      <c r="N380" s="1">
        <v>45397</v>
      </c>
      <c r="O380">
        <v>0</v>
      </c>
    </row>
    <row r="381" spans="2:21" x14ac:dyDescent="0.25">
      <c r="B381" s="8" t="s">
        <v>597</v>
      </c>
      <c r="C381" s="8" t="s">
        <v>567</v>
      </c>
      <c r="D381" s="8" t="s">
        <v>598</v>
      </c>
      <c r="E381" s="8" t="s">
        <v>291</v>
      </c>
      <c r="F381" s="8">
        <v>44.584667000000003</v>
      </c>
      <c r="G381" s="8">
        <v>-97.306381999999999</v>
      </c>
      <c r="H381" s="8" t="s">
        <v>128</v>
      </c>
      <c r="I381" s="10" t="s">
        <v>605</v>
      </c>
      <c r="J381" s="11" t="s">
        <v>573</v>
      </c>
      <c r="K381" s="11" t="s">
        <v>133</v>
      </c>
      <c r="L381" s="12"/>
      <c r="M381" s="13">
        <v>45356</v>
      </c>
      <c r="N381" s="13">
        <v>45397</v>
      </c>
      <c r="O381" s="11">
        <v>95</v>
      </c>
      <c r="P381" s="11"/>
      <c r="Q381" s="11"/>
      <c r="R381" s="11"/>
      <c r="S381" s="11">
        <v>205</v>
      </c>
      <c r="T381" s="11">
        <v>33</v>
      </c>
      <c r="U381" s="11">
        <v>19</v>
      </c>
    </row>
    <row r="382" spans="2:21" x14ac:dyDescent="0.25">
      <c r="B382" s="20" t="s">
        <v>606</v>
      </c>
      <c r="C382" s="20" t="s">
        <v>607</v>
      </c>
      <c r="D382" s="20" t="s">
        <v>608</v>
      </c>
      <c r="E382" s="20" t="s">
        <v>572</v>
      </c>
      <c r="F382" s="20">
        <v>43.130637</v>
      </c>
      <c r="G382" s="20">
        <v>-97.609910999999997</v>
      </c>
      <c r="H382" s="20" t="s">
        <v>137</v>
      </c>
      <c r="I382" s="4" t="s">
        <v>609</v>
      </c>
      <c r="J382" t="s">
        <v>54</v>
      </c>
      <c r="K382" t="s">
        <v>55</v>
      </c>
      <c r="L382" s="5">
        <v>329</v>
      </c>
      <c r="M382" s="1">
        <v>45505</v>
      </c>
      <c r="N382" s="1">
        <v>45723</v>
      </c>
      <c r="O382">
        <v>79</v>
      </c>
      <c r="S382">
        <v>515</v>
      </c>
      <c r="T382">
        <v>158</v>
      </c>
      <c r="U382">
        <v>113</v>
      </c>
    </row>
    <row r="383" spans="2:21" x14ac:dyDescent="0.25">
      <c r="B383" s="6" t="s">
        <v>606</v>
      </c>
      <c r="C383" s="6" t="s">
        <v>607</v>
      </c>
      <c r="D383" s="6" t="s">
        <v>608</v>
      </c>
      <c r="E383" s="6" t="s">
        <v>572</v>
      </c>
      <c r="F383" s="6">
        <v>43.130637</v>
      </c>
      <c r="G383" s="6">
        <v>-97.609910999999997</v>
      </c>
      <c r="H383" s="6" t="s">
        <v>137</v>
      </c>
      <c r="I383" s="4" t="s">
        <v>609</v>
      </c>
      <c r="J383" t="s">
        <v>56</v>
      </c>
      <c r="K383" t="s">
        <v>57</v>
      </c>
      <c r="L383" s="5">
        <v>340</v>
      </c>
      <c r="M383" s="1">
        <v>45498</v>
      </c>
      <c r="N383" s="1">
        <v>45512</v>
      </c>
      <c r="O383">
        <v>79</v>
      </c>
      <c r="S383">
        <v>691</v>
      </c>
      <c r="T383">
        <v>237</v>
      </c>
      <c r="U383">
        <v>171</v>
      </c>
    </row>
    <row r="384" spans="2:21" x14ac:dyDescent="0.25">
      <c r="B384" s="8" t="s">
        <v>606</v>
      </c>
      <c r="C384" s="8" t="s">
        <v>607</v>
      </c>
      <c r="D384" s="8" t="s">
        <v>608</v>
      </c>
      <c r="E384" s="8" t="s">
        <v>572</v>
      </c>
      <c r="F384" s="8">
        <v>43.130637</v>
      </c>
      <c r="G384" s="8">
        <v>-97.609910999999997</v>
      </c>
      <c r="H384" s="8" t="s">
        <v>137</v>
      </c>
      <c r="I384" s="10" t="s">
        <v>609</v>
      </c>
      <c r="J384" s="11" t="s">
        <v>105</v>
      </c>
      <c r="K384" s="11" t="s">
        <v>59</v>
      </c>
      <c r="L384" s="12">
        <v>556</v>
      </c>
      <c r="M384" s="13">
        <v>45505</v>
      </c>
      <c r="N384" s="13">
        <v>45723</v>
      </c>
      <c r="O384" s="11">
        <v>79</v>
      </c>
      <c r="P384" s="11"/>
      <c r="Q384" s="11"/>
      <c r="R384" s="11"/>
      <c r="S384" s="11"/>
      <c r="T384" s="11"/>
      <c r="U384" s="11"/>
    </row>
    <row r="385" spans="2:21" x14ac:dyDescent="0.25">
      <c r="B385" s="20" t="s">
        <v>357</v>
      </c>
      <c r="C385" s="20" t="s">
        <v>610</v>
      </c>
      <c r="D385" s="20" t="s">
        <v>611</v>
      </c>
      <c r="E385" s="20" t="s">
        <v>268</v>
      </c>
      <c r="F385" s="20">
        <v>43.478054999999998</v>
      </c>
      <c r="G385" s="20">
        <v>-99.115500999999995</v>
      </c>
      <c r="H385" s="20" t="s">
        <v>269</v>
      </c>
      <c r="I385" s="4" t="s">
        <v>612</v>
      </c>
      <c r="J385" t="s">
        <v>54</v>
      </c>
      <c r="K385" t="s">
        <v>55</v>
      </c>
      <c r="L385" s="5">
        <v>329</v>
      </c>
      <c r="M385" s="1">
        <v>45536</v>
      </c>
      <c r="N385" s="1">
        <v>45566</v>
      </c>
      <c r="O385">
        <v>0</v>
      </c>
      <c r="P385" t="s">
        <v>145</v>
      </c>
      <c r="S385">
        <v>1017</v>
      </c>
      <c r="T385">
        <v>296</v>
      </c>
      <c r="U385">
        <v>205</v>
      </c>
    </row>
    <row r="386" spans="2:21" x14ac:dyDescent="0.25">
      <c r="B386" s="6" t="s">
        <v>357</v>
      </c>
      <c r="C386" s="6" t="s">
        <v>610</v>
      </c>
      <c r="D386" s="6" t="s">
        <v>611</v>
      </c>
      <c r="E386" s="6" t="s">
        <v>268</v>
      </c>
      <c r="F386" s="6">
        <v>43.478054999999998</v>
      </c>
      <c r="G386" s="6">
        <v>-99.115500999999995</v>
      </c>
      <c r="H386" s="6" t="s">
        <v>269</v>
      </c>
      <c r="I386" s="4" t="s">
        <v>612</v>
      </c>
      <c r="J386" t="s">
        <v>56</v>
      </c>
      <c r="K386" t="s">
        <v>57</v>
      </c>
      <c r="L386" s="5">
        <v>340</v>
      </c>
      <c r="M386" s="1">
        <v>45505</v>
      </c>
      <c r="N386" s="1">
        <v>45545</v>
      </c>
      <c r="O386">
        <v>0</v>
      </c>
      <c r="P386" t="s">
        <v>145</v>
      </c>
      <c r="S386">
        <v>1332</v>
      </c>
      <c r="T386">
        <v>443</v>
      </c>
      <c r="U386">
        <v>309</v>
      </c>
    </row>
    <row r="387" spans="2:21" x14ac:dyDescent="0.25">
      <c r="B387" s="6" t="s">
        <v>357</v>
      </c>
      <c r="C387" s="6" t="s">
        <v>272</v>
      </c>
      <c r="D387" s="6" t="s">
        <v>613</v>
      </c>
      <c r="E387" s="6" t="s">
        <v>268</v>
      </c>
      <c r="F387" s="6">
        <v>43.373806000000002</v>
      </c>
      <c r="G387" s="6">
        <v>-99.006247999999999</v>
      </c>
      <c r="H387" s="6" t="s">
        <v>269</v>
      </c>
      <c r="I387" s="4" t="s">
        <v>614</v>
      </c>
      <c r="J387" t="s">
        <v>54</v>
      </c>
      <c r="K387" t="s">
        <v>55</v>
      </c>
      <c r="L387" s="5">
        <v>329</v>
      </c>
      <c r="M387" s="1">
        <v>45536</v>
      </c>
      <c r="N387" s="1">
        <v>45580</v>
      </c>
      <c r="O387">
        <v>0</v>
      </c>
      <c r="P387" t="s">
        <v>145</v>
      </c>
      <c r="S387">
        <v>910</v>
      </c>
      <c r="T387">
        <v>247</v>
      </c>
      <c r="U387">
        <v>163</v>
      </c>
    </row>
    <row r="388" spans="2:21" x14ac:dyDescent="0.25">
      <c r="B388" s="8" t="s">
        <v>357</v>
      </c>
      <c r="C388" s="8" t="s">
        <v>272</v>
      </c>
      <c r="D388" s="8" t="s">
        <v>613</v>
      </c>
      <c r="E388" s="8" t="s">
        <v>268</v>
      </c>
      <c r="F388" s="8">
        <v>43.373806000000002</v>
      </c>
      <c r="G388" s="8">
        <v>-99.006247999999999</v>
      </c>
      <c r="H388" s="8" t="s">
        <v>269</v>
      </c>
      <c r="I388" s="10" t="s">
        <v>614</v>
      </c>
      <c r="J388" s="11" t="s">
        <v>56</v>
      </c>
      <c r="K388" s="11" t="s">
        <v>57</v>
      </c>
      <c r="L388" s="12">
        <v>340</v>
      </c>
      <c r="M388" s="13">
        <v>45505</v>
      </c>
      <c r="N388" s="13">
        <v>45545</v>
      </c>
      <c r="O388" s="11">
        <v>0</v>
      </c>
      <c r="P388" s="11" t="s">
        <v>145</v>
      </c>
      <c r="Q388" s="11"/>
      <c r="R388" s="11"/>
      <c r="S388" s="11">
        <v>1154</v>
      </c>
      <c r="T388" s="11">
        <v>370</v>
      </c>
      <c r="U388" s="11">
        <v>246</v>
      </c>
    </row>
    <row r="389" spans="2:21" x14ac:dyDescent="0.25">
      <c r="B389" s="20" t="s">
        <v>615</v>
      </c>
      <c r="C389" s="20" t="s">
        <v>616</v>
      </c>
      <c r="D389" s="20" t="s">
        <v>617</v>
      </c>
      <c r="E389" s="20" t="s">
        <v>518</v>
      </c>
      <c r="F389" s="20">
        <v>43.080862000000003</v>
      </c>
      <c r="G389" s="20">
        <v>-96.954374000000001</v>
      </c>
      <c r="H389" s="20" t="s">
        <v>100</v>
      </c>
      <c r="I389" s="4" t="s">
        <v>618</v>
      </c>
      <c r="J389" t="s">
        <v>83</v>
      </c>
      <c r="K389" t="s">
        <v>84</v>
      </c>
      <c r="L389" s="5">
        <v>328</v>
      </c>
      <c r="M389" s="1">
        <v>45444</v>
      </c>
      <c r="N389" s="1">
        <v>45602</v>
      </c>
      <c r="O389">
        <v>107</v>
      </c>
    </row>
    <row r="390" spans="2:21" x14ac:dyDescent="0.25">
      <c r="B390" s="6" t="s">
        <v>615</v>
      </c>
      <c r="C390" s="6" t="s">
        <v>616</v>
      </c>
      <c r="D390" s="6" t="s">
        <v>617</v>
      </c>
      <c r="E390" s="6" t="s">
        <v>518</v>
      </c>
      <c r="F390" s="6">
        <v>43.080862000000003</v>
      </c>
      <c r="G390" s="6">
        <v>-96.954374000000001</v>
      </c>
      <c r="H390" s="6" t="s">
        <v>100</v>
      </c>
      <c r="I390" s="4" t="s">
        <v>618</v>
      </c>
      <c r="J390" t="s">
        <v>54</v>
      </c>
      <c r="K390" t="s">
        <v>55</v>
      </c>
      <c r="L390" s="5">
        <v>329</v>
      </c>
      <c r="M390" s="1">
        <v>45444</v>
      </c>
      <c r="N390" s="1">
        <v>45602</v>
      </c>
      <c r="O390">
        <v>107</v>
      </c>
      <c r="S390">
        <v>286</v>
      </c>
      <c r="T390">
        <v>47</v>
      </c>
      <c r="U390">
        <v>27</v>
      </c>
    </row>
    <row r="391" spans="2:21" x14ac:dyDescent="0.25">
      <c r="B391" s="8" t="s">
        <v>615</v>
      </c>
      <c r="C391" s="8" t="s">
        <v>616</v>
      </c>
      <c r="D391" s="8" t="s">
        <v>617</v>
      </c>
      <c r="E391" s="8" t="s">
        <v>518</v>
      </c>
      <c r="F391" s="8">
        <v>43.080862000000003</v>
      </c>
      <c r="G391" s="8">
        <v>-96.954374000000001</v>
      </c>
      <c r="H391" s="8" t="s">
        <v>100</v>
      </c>
      <c r="I391" s="10" t="s">
        <v>618</v>
      </c>
      <c r="J391" s="11" t="s">
        <v>56</v>
      </c>
      <c r="K391" s="11" t="s">
        <v>57</v>
      </c>
      <c r="L391" s="12">
        <v>340</v>
      </c>
      <c r="M391" s="13">
        <v>45448</v>
      </c>
      <c r="N391" s="13">
        <v>45534</v>
      </c>
      <c r="O391" s="11">
        <v>107</v>
      </c>
      <c r="P391" s="11"/>
      <c r="Q391" s="11"/>
      <c r="R391" s="11"/>
      <c r="S391" s="11">
        <v>515</v>
      </c>
      <c r="T391" s="11">
        <v>153</v>
      </c>
      <c r="U391" s="11">
        <v>95</v>
      </c>
    </row>
    <row r="392" spans="2:21" x14ac:dyDescent="0.25">
      <c r="B392" s="20" t="s">
        <v>619</v>
      </c>
      <c r="C392" s="20" t="s">
        <v>456</v>
      </c>
      <c r="D392" s="20" t="s">
        <v>620</v>
      </c>
      <c r="E392" s="20" t="s">
        <v>200</v>
      </c>
      <c r="F392" s="20">
        <v>43.370832</v>
      </c>
      <c r="G392" s="20">
        <v>-97.155732999999998</v>
      </c>
      <c r="H392" s="20" t="s">
        <v>100</v>
      </c>
      <c r="I392" s="4" t="s">
        <v>621</v>
      </c>
      <c r="J392" t="s">
        <v>83</v>
      </c>
      <c r="K392" t="s">
        <v>84</v>
      </c>
      <c r="L392" s="5">
        <v>328</v>
      </c>
      <c r="M392" s="1">
        <v>45474</v>
      </c>
      <c r="N392" s="1">
        <v>45737</v>
      </c>
      <c r="O392">
        <v>72</v>
      </c>
    </row>
    <row r="393" spans="2:21" x14ac:dyDescent="0.25">
      <c r="B393" s="6" t="s">
        <v>619</v>
      </c>
      <c r="C393" s="6" t="s">
        <v>456</v>
      </c>
      <c r="D393" s="6" t="s">
        <v>620</v>
      </c>
      <c r="E393" s="6" t="s">
        <v>200</v>
      </c>
      <c r="F393" s="6">
        <v>43.370832</v>
      </c>
      <c r="G393" s="6">
        <v>-97.155732999999998</v>
      </c>
      <c r="H393" s="6" t="s">
        <v>100</v>
      </c>
      <c r="I393" s="4" t="s">
        <v>621</v>
      </c>
      <c r="J393" t="s">
        <v>54</v>
      </c>
      <c r="K393" t="s">
        <v>55</v>
      </c>
      <c r="L393" s="5">
        <v>329</v>
      </c>
      <c r="M393" s="1">
        <v>45474</v>
      </c>
      <c r="N393" s="1">
        <v>45737</v>
      </c>
      <c r="O393">
        <v>72</v>
      </c>
      <c r="S393">
        <v>180</v>
      </c>
      <c r="T393">
        <v>30</v>
      </c>
      <c r="U393">
        <v>18</v>
      </c>
    </row>
    <row r="394" spans="2:21" x14ac:dyDescent="0.25">
      <c r="B394" s="8" t="s">
        <v>619</v>
      </c>
      <c r="C394" s="8" t="s">
        <v>456</v>
      </c>
      <c r="D394" s="8" t="s">
        <v>620</v>
      </c>
      <c r="E394" s="8" t="s">
        <v>200</v>
      </c>
      <c r="F394" s="8">
        <v>43.370832</v>
      </c>
      <c r="G394" s="8">
        <v>-97.155732999999998</v>
      </c>
      <c r="H394" s="8" t="s">
        <v>100</v>
      </c>
      <c r="I394" s="10" t="s">
        <v>621</v>
      </c>
      <c r="J394" s="11" t="s">
        <v>56</v>
      </c>
      <c r="K394" s="11" t="s">
        <v>57</v>
      </c>
      <c r="L394" s="12">
        <v>340</v>
      </c>
      <c r="M394" s="13">
        <v>45488</v>
      </c>
      <c r="N394" s="13">
        <v>45503</v>
      </c>
      <c r="O394" s="11">
        <v>72</v>
      </c>
      <c r="P394" s="11"/>
      <c r="Q394" s="11"/>
      <c r="R394" s="11"/>
      <c r="S394" s="11">
        <v>329</v>
      </c>
      <c r="T394" s="11">
        <v>99</v>
      </c>
      <c r="U394" s="11">
        <v>62</v>
      </c>
    </row>
    <row r="395" spans="2:21" x14ac:dyDescent="0.25">
      <c r="B395" s="20" t="s">
        <v>622</v>
      </c>
      <c r="C395" s="20" t="s">
        <v>335</v>
      </c>
      <c r="D395" s="20" t="s">
        <v>622</v>
      </c>
      <c r="E395" s="20" t="s">
        <v>316</v>
      </c>
      <c r="F395" s="20">
        <v>44.694017000000002</v>
      </c>
      <c r="G395" s="20">
        <v>-103.356981</v>
      </c>
      <c r="H395" s="20" t="s">
        <v>623</v>
      </c>
      <c r="I395" s="4" t="s">
        <v>624</v>
      </c>
      <c r="J395" t="s">
        <v>75</v>
      </c>
      <c r="K395" t="s">
        <v>305</v>
      </c>
      <c r="L395" s="5">
        <v>382</v>
      </c>
      <c r="M395" s="1">
        <v>45527</v>
      </c>
      <c r="N395" s="1">
        <v>45575</v>
      </c>
    </row>
    <row r="396" spans="2:21" x14ac:dyDescent="0.25">
      <c r="B396" s="6" t="s">
        <v>622</v>
      </c>
      <c r="C396" s="6" t="s">
        <v>335</v>
      </c>
      <c r="D396" s="6" t="s">
        <v>622</v>
      </c>
      <c r="E396" s="6" t="s">
        <v>316</v>
      </c>
      <c r="F396" s="6">
        <v>44.694017000000002</v>
      </c>
      <c r="G396" s="6">
        <v>-103.356981</v>
      </c>
      <c r="H396" s="6" t="s">
        <v>623</v>
      </c>
      <c r="I396" s="4" t="s">
        <v>624</v>
      </c>
      <c r="J396" t="s">
        <v>75</v>
      </c>
      <c r="K396" t="s">
        <v>304</v>
      </c>
      <c r="L396" s="5">
        <v>516</v>
      </c>
      <c r="M396" s="1">
        <v>45530</v>
      </c>
      <c r="N396" s="1">
        <v>45575</v>
      </c>
    </row>
    <row r="397" spans="2:21" x14ac:dyDescent="0.25">
      <c r="B397" s="8" t="s">
        <v>622</v>
      </c>
      <c r="C397" s="8" t="s">
        <v>335</v>
      </c>
      <c r="D397" s="8" t="s">
        <v>622</v>
      </c>
      <c r="E397" s="8" t="s">
        <v>316</v>
      </c>
      <c r="F397" s="8">
        <v>44.694017000000002</v>
      </c>
      <c r="G397" s="8">
        <v>-103.356981</v>
      </c>
      <c r="H397" s="8" t="s">
        <v>623</v>
      </c>
      <c r="I397" s="10" t="s">
        <v>624</v>
      </c>
      <c r="J397" s="11" t="s">
        <v>75</v>
      </c>
      <c r="K397" s="11" t="s">
        <v>307</v>
      </c>
      <c r="L397" s="12">
        <v>614</v>
      </c>
      <c r="M397" s="13">
        <v>45530</v>
      </c>
      <c r="N397" s="13">
        <v>45575</v>
      </c>
      <c r="O397" s="11"/>
      <c r="P397" s="11"/>
      <c r="Q397" s="11"/>
      <c r="R397" s="11"/>
      <c r="S397" s="11"/>
      <c r="T397" s="11"/>
      <c r="U397" s="11"/>
    </row>
    <row r="398" spans="2:21" x14ac:dyDescent="0.25">
      <c r="B398" s="20" t="s">
        <v>625</v>
      </c>
      <c r="C398" s="20" t="s">
        <v>626</v>
      </c>
      <c r="D398" s="20" t="s">
        <v>627</v>
      </c>
      <c r="E398" s="20" t="s">
        <v>628</v>
      </c>
      <c r="F398" s="20">
        <v>42.842393000000001</v>
      </c>
      <c r="G398" s="20">
        <v>-96.563044000000005</v>
      </c>
      <c r="H398" s="20" t="s">
        <v>629</v>
      </c>
      <c r="I398" s="4" t="s">
        <v>630</v>
      </c>
      <c r="J398" t="s">
        <v>54</v>
      </c>
      <c r="K398" t="s">
        <v>55</v>
      </c>
      <c r="L398" s="5">
        <v>329</v>
      </c>
      <c r="M398" s="1">
        <v>45496</v>
      </c>
      <c r="N398" s="1">
        <v>45553</v>
      </c>
      <c r="O398">
        <v>71.900000000000006</v>
      </c>
      <c r="S398">
        <v>317</v>
      </c>
      <c r="T398">
        <v>79</v>
      </c>
      <c r="U398">
        <v>57</v>
      </c>
    </row>
    <row r="399" spans="2:21" x14ac:dyDescent="0.25">
      <c r="B399" s="8" t="s">
        <v>625</v>
      </c>
      <c r="C399" s="8" t="s">
        <v>626</v>
      </c>
      <c r="D399" s="8" t="s">
        <v>627</v>
      </c>
      <c r="E399" s="8" t="s">
        <v>628</v>
      </c>
      <c r="F399" s="8">
        <v>42.842393000000001</v>
      </c>
      <c r="G399" s="8">
        <v>-96.563044000000005</v>
      </c>
      <c r="H399" s="8" t="s">
        <v>629</v>
      </c>
      <c r="I399" s="10" t="s">
        <v>630</v>
      </c>
      <c r="J399" s="11" t="s">
        <v>56</v>
      </c>
      <c r="K399" s="11" t="s">
        <v>57</v>
      </c>
      <c r="L399" s="12">
        <v>340</v>
      </c>
      <c r="M399" s="13">
        <v>45496</v>
      </c>
      <c r="N399" s="13">
        <v>45553</v>
      </c>
      <c r="O399" s="11">
        <v>71.900000000000006</v>
      </c>
      <c r="P399" s="11"/>
      <c r="Q399" s="11"/>
      <c r="R399" s="11"/>
      <c r="S399" s="11">
        <v>777</v>
      </c>
      <c r="T399" s="11">
        <v>268</v>
      </c>
      <c r="U399" s="11">
        <v>168</v>
      </c>
    </row>
    <row r="400" spans="2:21" x14ac:dyDescent="0.25">
      <c r="B400" s="20" t="s">
        <v>631</v>
      </c>
      <c r="C400" s="20" t="s">
        <v>329</v>
      </c>
      <c r="D400" s="20" t="s">
        <v>632</v>
      </c>
      <c r="E400" s="20" t="s">
        <v>427</v>
      </c>
      <c r="F400" s="20">
        <v>43.699703999999997</v>
      </c>
      <c r="G400" s="20">
        <v>-97.144850000000005</v>
      </c>
      <c r="H400" s="20" t="s">
        <v>599</v>
      </c>
      <c r="I400" s="4" t="s">
        <v>633</v>
      </c>
      <c r="J400" t="s">
        <v>54</v>
      </c>
      <c r="K400" t="s">
        <v>55</v>
      </c>
      <c r="L400" s="5">
        <v>329</v>
      </c>
      <c r="M400" s="1">
        <v>45505</v>
      </c>
      <c r="N400" s="1">
        <v>45708</v>
      </c>
      <c r="O400">
        <v>160</v>
      </c>
      <c r="S400">
        <v>388</v>
      </c>
      <c r="T400">
        <v>66</v>
      </c>
      <c r="U400">
        <v>40</v>
      </c>
    </row>
    <row r="401" spans="2:21" x14ac:dyDescent="0.25">
      <c r="B401" s="8" t="s">
        <v>631</v>
      </c>
      <c r="C401" s="8" t="s">
        <v>329</v>
      </c>
      <c r="D401" s="8" t="s">
        <v>632</v>
      </c>
      <c r="E401" s="8" t="s">
        <v>427</v>
      </c>
      <c r="F401" s="8">
        <v>43.699703999999997</v>
      </c>
      <c r="G401" s="8">
        <v>-97.144850000000005</v>
      </c>
      <c r="H401" s="8" t="s">
        <v>599</v>
      </c>
      <c r="I401" s="10" t="s">
        <v>633</v>
      </c>
      <c r="J401" s="11" t="s">
        <v>56</v>
      </c>
      <c r="K401" s="11" t="s">
        <v>57</v>
      </c>
      <c r="L401" s="12">
        <v>340</v>
      </c>
      <c r="M401" s="13">
        <v>45534</v>
      </c>
      <c r="N401" s="13">
        <v>45575</v>
      </c>
      <c r="O401" s="11">
        <v>160</v>
      </c>
      <c r="P401" s="11"/>
      <c r="Q401" s="11"/>
      <c r="R401" s="11"/>
      <c r="S401" s="11">
        <v>715</v>
      </c>
      <c r="T401" s="11">
        <v>215</v>
      </c>
      <c r="U401" s="11">
        <v>136</v>
      </c>
    </row>
    <row r="402" spans="2:21" hidden="1" x14ac:dyDescent="0.25">
      <c r="B402" s="30" t="s">
        <v>634</v>
      </c>
      <c r="C402" s="30" t="s">
        <v>635</v>
      </c>
      <c r="D402" s="30" t="s">
        <v>636</v>
      </c>
      <c r="E402" s="30" t="s">
        <v>637</v>
      </c>
      <c r="F402" s="30">
        <v>45.805222000000001</v>
      </c>
      <c r="G402" s="30">
        <v>-100.805126</v>
      </c>
      <c r="H402" s="30" t="s">
        <v>638</v>
      </c>
      <c r="I402" s="25">
        <v>2</v>
      </c>
      <c r="J402" s="24" t="s">
        <v>54</v>
      </c>
      <c r="K402" s="24" t="s">
        <v>57</v>
      </c>
      <c r="L402" s="26">
        <v>340</v>
      </c>
      <c r="M402" s="27">
        <v>43313</v>
      </c>
      <c r="N402" s="27">
        <v>43507</v>
      </c>
      <c r="O402" s="24">
        <v>556</v>
      </c>
      <c r="P402" s="24"/>
      <c r="Q402" s="24"/>
      <c r="R402" s="24"/>
      <c r="S402" s="24"/>
      <c r="T402" s="24"/>
      <c r="U402" s="24"/>
    </row>
    <row r="403" spans="2:21" hidden="1" x14ac:dyDescent="0.25">
      <c r="B403" s="30" t="s">
        <v>639</v>
      </c>
      <c r="C403" s="30" t="s">
        <v>640</v>
      </c>
      <c r="D403" s="30" t="s">
        <v>639</v>
      </c>
      <c r="E403" s="30" t="s">
        <v>503</v>
      </c>
      <c r="F403" s="30">
        <v>45.490411000000002</v>
      </c>
      <c r="G403" s="30">
        <v>-97.291543000000004</v>
      </c>
      <c r="H403" s="30" t="s">
        <v>223</v>
      </c>
      <c r="I403" s="25">
        <v>11</v>
      </c>
      <c r="J403" s="24" t="s">
        <v>105</v>
      </c>
      <c r="K403" s="24" t="s">
        <v>59</v>
      </c>
      <c r="L403" s="26">
        <v>556</v>
      </c>
      <c r="M403" s="27">
        <v>43193</v>
      </c>
      <c r="N403" s="27">
        <v>43465</v>
      </c>
      <c r="O403" s="24">
        <v>616</v>
      </c>
      <c r="P403" s="24"/>
      <c r="Q403" s="24"/>
      <c r="R403" s="24"/>
      <c r="S403" s="24"/>
      <c r="T403" s="24"/>
      <c r="U403" s="24"/>
    </row>
    <row r="404" spans="2:21" hidden="1" x14ac:dyDescent="0.25">
      <c r="M404" s="1"/>
    </row>
    <row r="405" spans="2:21" hidden="1" x14ac:dyDescent="0.25">
      <c r="M405" s="1"/>
      <c r="N405" s="1"/>
    </row>
  </sheetData>
  <autoFilter ref="B1:V405" xr:uid="{00000000-0001-0000-0000-000000000000}">
    <filterColumn colId="11">
      <filters>
        <dateGroupItem year="2025" dateTimeGrouping="year"/>
        <dateGroupItem year="2024" dateTimeGrouping="year"/>
        <dateGroupItem year="2023" dateTimeGrouping="year"/>
      </filters>
    </filterColumn>
  </autoFilter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S405"/>
  <sheetViews>
    <sheetView topLeftCell="A10" workbookViewId="0">
      <pane xSplit="1" topLeftCell="C1" activePane="topRight" state="frozen"/>
      <selection pane="topRight" activeCell="C37" sqref="C37"/>
    </sheetView>
  </sheetViews>
  <sheetFormatPr defaultRowHeight="13.8" x14ac:dyDescent="0.25"/>
  <cols>
    <col min="1" max="1" width="10.8984375" bestFit="1" customWidth="1"/>
    <col min="2" max="2" width="11.3984375" bestFit="1" customWidth="1"/>
    <col min="3" max="3" width="11.3984375" customWidth="1"/>
    <col min="4" max="4" width="8.796875" style="4"/>
    <col min="5" max="5" width="9.796875" bestFit="1" customWidth="1"/>
    <col min="7" max="7" width="8.796875" style="5"/>
    <col min="8" max="8" width="9.19921875" bestFit="1" customWidth="1"/>
    <col min="9" max="9" width="9.3984375" bestFit="1" customWidth="1"/>
    <col min="10" max="10" width="9.09765625" customWidth="1"/>
    <col min="11" max="11" width="8.796875" customWidth="1"/>
  </cols>
  <sheetData>
    <row r="1" spans="1:19" s="2" customFormat="1" x14ac:dyDescent="0.25">
      <c r="A1" s="2" t="s">
        <v>47</v>
      </c>
      <c r="B1" s="2" t="s">
        <v>48</v>
      </c>
      <c r="C1" s="2" t="s">
        <v>0</v>
      </c>
      <c r="D1" s="3" t="s">
        <v>10</v>
      </c>
      <c r="E1" s="2" t="s">
        <v>12</v>
      </c>
      <c r="F1" s="2" t="s">
        <v>14</v>
      </c>
      <c r="G1" s="3" t="s">
        <v>16</v>
      </c>
      <c r="H1" s="2" t="s">
        <v>18</v>
      </c>
      <c r="I1" s="2" t="s">
        <v>20</v>
      </c>
      <c r="J1" s="2" t="s">
        <v>2</v>
      </c>
      <c r="K1" s="2" t="s">
        <v>4</v>
      </c>
      <c r="L1" s="2" t="s">
        <v>6</v>
      </c>
      <c r="M1" s="2" t="s">
        <v>8</v>
      </c>
      <c r="N1" s="2" t="s">
        <v>22</v>
      </c>
      <c r="O1" s="2" t="s">
        <v>24</v>
      </c>
      <c r="P1" s="2" t="s">
        <v>30</v>
      </c>
      <c r="Q1" s="2" t="s">
        <v>32</v>
      </c>
      <c r="R1" s="2" t="s">
        <v>34</v>
      </c>
      <c r="S1" s="2" t="s">
        <v>36</v>
      </c>
    </row>
    <row r="2" spans="1:19" x14ac:dyDescent="0.25">
      <c r="A2" t="s">
        <v>49</v>
      </c>
      <c r="B2" t="s">
        <v>50</v>
      </c>
      <c r="C2" t="s">
        <v>51</v>
      </c>
      <c r="D2" s="4">
        <v>20211</v>
      </c>
      <c r="E2" t="s">
        <v>54</v>
      </c>
      <c r="F2" t="s">
        <v>55</v>
      </c>
      <c r="G2" s="5">
        <v>329</v>
      </c>
      <c r="H2" s="1">
        <v>44470</v>
      </c>
      <c r="I2" s="1">
        <v>44484</v>
      </c>
      <c r="J2" s="1" t="s">
        <v>52</v>
      </c>
      <c r="K2">
        <v>44.229377999999997</v>
      </c>
      <c r="L2">
        <v>-98.130941000000007</v>
      </c>
      <c r="M2" t="s">
        <v>53</v>
      </c>
      <c r="N2">
        <v>56</v>
      </c>
      <c r="P2">
        <v>78</v>
      </c>
      <c r="Q2">
        <v>14</v>
      </c>
      <c r="R2">
        <v>8</v>
      </c>
    </row>
    <row r="3" spans="1:19" x14ac:dyDescent="0.25">
      <c r="A3" t="s">
        <v>49</v>
      </c>
      <c r="B3" t="s">
        <v>50</v>
      </c>
      <c r="C3" t="s">
        <v>51</v>
      </c>
      <c r="D3" s="4">
        <v>20211</v>
      </c>
      <c r="E3" t="s">
        <v>56</v>
      </c>
      <c r="F3" t="s">
        <v>57</v>
      </c>
      <c r="G3" s="5">
        <v>340</v>
      </c>
      <c r="H3" s="1">
        <v>44470</v>
      </c>
      <c r="I3" s="1">
        <v>44501</v>
      </c>
      <c r="J3" s="1" t="s">
        <v>52</v>
      </c>
      <c r="K3">
        <v>44.229377999999997</v>
      </c>
      <c r="L3">
        <v>-98.130941000000007</v>
      </c>
      <c r="M3" t="s">
        <v>53</v>
      </c>
      <c r="N3">
        <v>56</v>
      </c>
      <c r="P3">
        <v>160</v>
      </c>
      <c r="Q3">
        <v>51</v>
      </c>
      <c r="R3">
        <v>33</v>
      </c>
    </row>
    <row r="4" spans="1:19" x14ac:dyDescent="0.25">
      <c r="A4" t="s">
        <v>49</v>
      </c>
      <c r="B4" t="s">
        <v>50</v>
      </c>
      <c r="C4" t="s">
        <v>51</v>
      </c>
      <c r="D4" s="4">
        <v>20211</v>
      </c>
      <c r="E4" t="s">
        <v>58</v>
      </c>
      <c r="F4" t="s">
        <v>59</v>
      </c>
      <c r="G4" s="5">
        <v>556</v>
      </c>
      <c r="H4" s="1">
        <v>44470</v>
      </c>
      <c r="I4" s="1">
        <v>45154</v>
      </c>
      <c r="J4" s="1" t="s">
        <v>52</v>
      </c>
      <c r="K4">
        <v>44.229377999999997</v>
      </c>
      <c r="L4">
        <v>-98.130941000000007</v>
      </c>
      <c r="M4" t="s">
        <v>53</v>
      </c>
      <c r="N4">
        <v>56</v>
      </c>
      <c r="O4" t="s">
        <v>145</v>
      </c>
    </row>
    <row r="5" spans="1:19" x14ac:dyDescent="0.25">
      <c r="A5" t="s">
        <v>60</v>
      </c>
      <c r="B5" t="s">
        <v>61</v>
      </c>
      <c r="C5" t="s">
        <v>62</v>
      </c>
      <c r="D5" s="4" t="s">
        <v>65</v>
      </c>
      <c r="E5" t="s">
        <v>54</v>
      </c>
      <c r="F5" t="s">
        <v>55</v>
      </c>
      <c r="G5" s="5">
        <v>329</v>
      </c>
      <c r="H5" s="1">
        <v>45117</v>
      </c>
      <c r="I5" s="1">
        <v>45111</v>
      </c>
      <c r="J5" s="1" t="s">
        <v>63</v>
      </c>
      <c r="K5">
        <v>43.621378</v>
      </c>
      <c r="L5">
        <v>-98.079824000000002</v>
      </c>
      <c r="M5" t="s">
        <v>64</v>
      </c>
      <c r="N5">
        <v>128</v>
      </c>
      <c r="P5">
        <v>390.1</v>
      </c>
      <c r="Q5">
        <v>93.9</v>
      </c>
      <c r="R5">
        <v>55.6</v>
      </c>
    </row>
    <row r="6" spans="1:19" x14ac:dyDescent="0.25">
      <c r="A6" t="s">
        <v>60</v>
      </c>
      <c r="B6" t="s">
        <v>61</v>
      </c>
      <c r="C6" t="s">
        <v>62</v>
      </c>
      <c r="D6" s="4" t="s">
        <v>65</v>
      </c>
      <c r="E6" t="s">
        <v>56</v>
      </c>
      <c r="F6" t="s">
        <v>57</v>
      </c>
      <c r="G6" s="5">
        <v>340</v>
      </c>
      <c r="H6" s="1">
        <v>45117</v>
      </c>
      <c r="I6" s="1">
        <v>45139</v>
      </c>
      <c r="J6" s="1" t="s">
        <v>63</v>
      </c>
      <c r="K6">
        <v>43.621378</v>
      </c>
      <c r="L6">
        <v>-98.079824000000002</v>
      </c>
      <c r="M6" t="s">
        <v>64</v>
      </c>
      <c r="N6">
        <v>128</v>
      </c>
      <c r="P6">
        <v>469</v>
      </c>
      <c r="Q6">
        <v>139</v>
      </c>
      <c r="R6">
        <v>83.9</v>
      </c>
    </row>
    <row r="7" spans="1:19" x14ac:dyDescent="0.25">
      <c r="A7" t="s">
        <v>66</v>
      </c>
      <c r="B7" t="s">
        <v>67</v>
      </c>
      <c r="C7" t="s">
        <v>68</v>
      </c>
      <c r="D7" s="4" t="s">
        <v>70</v>
      </c>
      <c r="E7" t="s">
        <v>54</v>
      </c>
      <c r="F7" t="s">
        <v>55</v>
      </c>
      <c r="G7" s="5">
        <v>329</v>
      </c>
      <c r="H7" s="1">
        <v>44317</v>
      </c>
      <c r="I7" s="1">
        <v>44501</v>
      </c>
      <c r="J7" s="1" t="s">
        <v>69</v>
      </c>
      <c r="K7">
        <v>43.655670000000001</v>
      </c>
      <c r="L7">
        <v>-97.899885999999995</v>
      </c>
      <c r="M7" t="s">
        <v>64</v>
      </c>
      <c r="N7">
        <v>505</v>
      </c>
      <c r="P7">
        <v>487</v>
      </c>
      <c r="Q7">
        <v>68</v>
      </c>
      <c r="R7">
        <v>35</v>
      </c>
    </row>
    <row r="8" spans="1:19" x14ac:dyDescent="0.25">
      <c r="A8" t="s">
        <v>66</v>
      </c>
      <c r="B8" t="s">
        <v>67</v>
      </c>
      <c r="C8" t="s">
        <v>68</v>
      </c>
      <c r="D8" s="4" t="s">
        <v>70</v>
      </c>
      <c r="E8" t="s">
        <v>56</v>
      </c>
      <c r="F8" t="s">
        <v>57</v>
      </c>
      <c r="G8" s="5">
        <v>340</v>
      </c>
      <c r="H8" s="1">
        <v>44317</v>
      </c>
      <c r="I8" s="1">
        <v>44453</v>
      </c>
      <c r="J8" s="1" t="s">
        <v>69</v>
      </c>
      <c r="K8">
        <v>43.655670000000001</v>
      </c>
      <c r="L8">
        <v>-97.899885999999995</v>
      </c>
      <c r="M8" t="s">
        <v>64</v>
      </c>
      <c r="N8">
        <v>385</v>
      </c>
      <c r="P8">
        <v>405</v>
      </c>
      <c r="Q8">
        <v>125</v>
      </c>
      <c r="R8">
        <v>80</v>
      </c>
    </row>
    <row r="9" spans="1:19" x14ac:dyDescent="0.25">
      <c r="A9" t="s">
        <v>66</v>
      </c>
      <c r="B9" t="s">
        <v>67</v>
      </c>
      <c r="C9" t="s">
        <v>68</v>
      </c>
      <c r="D9" s="4" t="s">
        <v>70</v>
      </c>
      <c r="E9" t="s">
        <v>71</v>
      </c>
      <c r="F9" t="s">
        <v>72</v>
      </c>
      <c r="G9" s="5" t="s">
        <v>73</v>
      </c>
      <c r="H9" s="1">
        <v>44317</v>
      </c>
      <c r="I9" s="1">
        <v>44392</v>
      </c>
      <c r="J9" s="1" t="s">
        <v>69</v>
      </c>
      <c r="K9">
        <v>43.655670000000001</v>
      </c>
      <c r="L9">
        <v>-97.899885999999995</v>
      </c>
      <c r="M9" t="s">
        <v>64</v>
      </c>
      <c r="N9">
        <v>19.02</v>
      </c>
      <c r="P9">
        <v>42</v>
      </c>
      <c r="Q9">
        <v>12</v>
      </c>
      <c r="R9">
        <v>7</v>
      </c>
    </row>
    <row r="10" spans="1:19" x14ac:dyDescent="0.25">
      <c r="A10" t="s">
        <v>66</v>
      </c>
      <c r="B10" t="s">
        <v>67</v>
      </c>
      <c r="C10" t="s">
        <v>68</v>
      </c>
      <c r="D10" s="4" t="s">
        <v>74</v>
      </c>
      <c r="E10" t="s">
        <v>54</v>
      </c>
      <c r="F10" t="s">
        <v>55</v>
      </c>
      <c r="G10" s="5">
        <v>329</v>
      </c>
      <c r="H10" s="1">
        <v>44682</v>
      </c>
      <c r="I10" s="1">
        <v>44845</v>
      </c>
      <c r="J10" s="1" t="s">
        <v>69</v>
      </c>
      <c r="K10">
        <v>43.655670000000001</v>
      </c>
      <c r="L10">
        <v>-97.899885999999995</v>
      </c>
      <c r="M10" t="s">
        <v>64</v>
      </c>
      <c r="N10">
        <v>505</v>
      </c>
      <c r="P10">
        <v>270</v>
      </c>
      <c r="Q10">
        <v>45</v>
      </c>
      <c r="R10">
        <v>26</v>
      </c>
    </row>
    <row r="11" spans="1:19" x14ac:dyDescent="0.25">
      <c r="A11" t="s">
        <v>66</v>
      </c>
      <c r="B11" t="s">
        <v>67</v>
      </c>
      <c r="C11" t="s">
        <v>68</v>
      </c>
      <c r="D11" s="4" t="s">
        <v>74</v>
      </c>
      <c r="E11" t="s">
        <v>56</v>
      </c>
      <c r="F11" t="s">
        <v>57</v>
      </c>
      <c r="G11" s="5">
        <v>340</v>
      </c>
      <c r="H11" s="1">
        <v>44682</v>
      </c>
      <c r="I11" s="1">
        <v>44845</v>
      </c>
      <c r="J11" s="1" t="s">
        <v>69</v>
      </c>
      <c r="K11">
        <v>43.655670000000001</v>
      </c>
      <c r="L11">
        <v>-97.899885999999995</v>
      </c>
      <c r="M11" t="s">
        <v>64</v>
      </c>
      <c r="N11">
        <v>385</v>
      </c>
      <c r="P11">
        <v>490</v>
      </c>
      <c r="Q11">
        <v>146</v>
      </c>
      <c r="R11">
        <v>91</v>
      </c>
    </row>
    <row r="12" spans="1:19" x14ac:dyDescent="0.25">
      <c r="A12" t="s">
        <v>66</v>
      </c>
      <c r="B12" t="s">
        <v>67</v>
      </c>
      <c r="C12" t="s">
        <v>68</v>
      </c>
      <c r="D12" s="4" t="s">
        <v>74</v>
      </c>
      <c r="E12" t="s">
        <v>75</v>
      </c>
      <c r="F12" t="s">
        <v>59</v>
      </c>
      <c r="G12" s="5">
        <v>556</v>
      </c>
      <c r="H12" s="1">
        <v>44682</v>
      </c>
      <c r="I12" s="1">
        <v>44845</v>
      </c>
      <c r="J12" s="1" t="s">
        <v>69</v>
      </c>
      <c r="K12">
        <v>43.655670000000001</v>
      </c>
      <c r="L12">
        <v>-97.899885999999995</v>
      </c>
      <c r="M12" t="s">
        <v>64</v>
      </c>
      <c r="N12">
        <v>230</v>
      </c>
    </row>
    <row r="13" spans="1:19" x14ac:dyDescent="0.25">
      <c r="A13" t="s">
        <v>77</v>
      </c>
      <c r="B13" t="s">
        <v>78</v>
      </c>
      <c r="C13" t="s">
        <v>79</v>
      </c>
      <c r="D13" s="4" t="s">
        <v>82</v>
      </c>
      <c r="E13" t="s">
        <v>83</v>
      </c>
      <c r="F13" t="s">
        <v>84</v>
      </c>
      <c r="G13" s="5">
        <v>328</v>
      </c>
      <c r="H13" s="1">
        <v>44287</v>
      </c>
      <c r="I13" s="1">
        <v>44409</v>
      </c>
      <c r="J13" s="1" t="s">
        <v>80</v>
      </c>
      <c r="K13">
        <v>43.656303000000001</v>
      </c>
      <c r="L13">
        <v>-96.476612000000003</v>
      </c>
      <c r="M13" t="s">
        <v>81</v>
      </c>
      <c r="N13">
        <v>160</v>
      </c>
    </row>
    <row r="14" spans="1:19" x14ac:dyDescent="0.25">
      <c r="A14" t="s">
        <v>77</v>
      </c>
      <c r="B14" t="s">
        <v>78</v>
      </c>
      <c r="C14" t="s">
        <v>79</v>
      </c>
      <c r="D14" s="4" t="s">
        <v>82</v>
      </c>
      <c r="E14" t="s">
        <v>54</v>
      </c>
      <c r="F14" t="s">
        <v>55</v>
      </c>
      <c r="G14" s="5">
        <v>329</v>
      </c>
      <c r="H14" s="1">
        <v>44287</v>
      </c>
      <c r="I14" s="1">
        <v>44409</v>
      </c>
      <c r="J14" s="1" t="s">
        <v>80</v>
      </c>
      <c r="K14">
        <v>43.656303000000001</v>
      </c>
      <c r="L14">
        <v>-96.476612000000003</v>
      </c>
      <c r="M14" t="s">
        <v>81</v>
      </c>
      <c r="N14">
        <v>160</v>
      </c>
      <c r="P14">
        <v>726</v>
      </c>
      <c r="Q14">
        <v>138</v>
      </c>
      <c r="R14">
        <v>89</v>
      </c>
    </row>
    <row r="15" spans="1:19" x14ac:dyDescent="0.25">
      <c r="A15" t="s">
        <v>77</v>
      </c>
      <c r="B15" t="s">
        <v>78</v>
      </c>
      <c r="C15" t="s">
        <v>79</v>
      </c>
      <c r="D15" s="4" t="s">
        <v>82</v>
      </c>
      <c r="E15" t="s">
        <v>56</v>
      </c>
      <c r="F15" t="s">
        <v>57</v>
      </c>
      <c r="G15" s="5">
        <v>340</v>
      </c>
      <c r="H15" s="1">
        <v>44287</v>
      </c>
      <c r="I15" s="1">
        <v>44409</v>
      </c>
      <c r="J15" s="1" t="s">
        <v>80</v>
      </c>
      <c r="K15">
        <v>43.656303000000001</v>
      </c>
      <c r="L15">
        <v>-96.476612000000003</v>
      </c>
      <c r="M15" t="s">
        <v>81</v>
      </c>
      <c r="N15">
        <v>160</v>
      </c>
      <c r="P15">
        <v>1588</v>
      </c>
      <c r="Q15">
        <v>516</v>
      </c>
      <c r="R15">
        <v>349</v>
      </c>
    </row>
    <row r="16" spans="1:19" x14ac:dyDescent="0.25">
      <c r="A16" t="s">
        <v>77</v>
      </c>
      <c r="B16" t="s">
        <v>78</v>
      </c>
      <c r="C16" t="s">
        <v>79</v>
      </c>
      <c r="D16" s="4" t="s">
        <v>85</v>
      </c>
      <c r="E16" t="s">
        <v>83</v>
      </c>
      <c r="F16" t="s">
        <v>84</v>
      </c>
      <c r="G16" s="5">
        <v>328</v>
      </c>
      <c r="H16" s="1">
        <v>44682</v>
      </c>
      <c r="I16" s="1">
        <v>44845</v>
      </c>
      <c r="J16" s="1" t="s">
        <v>80</v>
      </c>
      <c r="K16">
        <v>43.656303000000001</v>
      </c>
      <c r="L16">
        <v>-96.476612000000003</v>
      </c>
      <c r="M16" t="s">
        <v>81</v>
      </c>
      <c r="N16">
        <v>160</v>
      </c>
    </row>
    <row r="17" spans="1:18" x14ac:dyDescent="0.25">
      <c r="A17" t="s">
        <v>77</v>
      </c>
      <c r="B17" t="s">
        <v>78</v>
      </c>
      <c r="C17" t="s">
        <v>79</v>
      </c>
      <c r="D17" s="4" t="s">
        <v>85</v>
      </c>
      <c r="E17" t="s">
        <v>54</v>
      </c>
      <c r="F17" t="s">
        <v>55</v>
      </c>
      <c r="G17" s="5">
        <v>329</v>
      </c>
      <c r="H17" s="1">
        <v>44682</v>
      </c>
      <c r="I17" s="1">
        <v>44845</v>
      </c>
      <c r="J17" s="1" t="s">
        <v>80</v>
      </c>
      <c r="K17">
        <v>43.656303000000001</v>
      </c>
      <c r="L17">
        <v>-96.476612000000003</v>
      </c>
      <c r="M17" t="s">
        <v>81</v>
      </c>
      <c r="N17">
        <v>160</v>
      </c>
      <c r="P17">
        <v>1220</v>
      </c>
      <c r="Q17">
        <v>231</v>
      </c>
      <c r="R17">
        <v>147</v>
      </c>
    </row>
    <row r="18" spans="1:18" x14ac:dyDescent="0.25">
      <c r="A18" t="s">
        <v>77</v>
      </c>
      <c r="B18" t="s">
        <v>78</v>
      </c>
      <c r="C18" t="s">
        <v>79</v>
      </c>
      <c r="D18" s="4" t="s">
        <v>85</v>
      </c>
      <c r="E18" t="s">
        <v>56</v>
      </c>
      <c r="F18" t="s">
        <v>57</v>
      </c>
      <c r="G18" s="5">
        <v>340</v>
      </c>
      <c r="H18" s="1">
        <v>44682</v>
      </c>
      <c r="I18" s="1">
        <v>44845</v>
      </c>
      <c r="J18" s="1" t="s">
        <v>80</v>
      </c>
      <c r="K18">
        <v>43.656303000000001</v>
      </c>
      <c r="L18">
        <v>-96.476612000000003</v>
      </c>
      <c r="M18" t="s">
        <v>81</v>
      </c>
      <c r="N18">
        <v>160</v>
      </c>
      <c r="P18">
        <v>936</v>
      </c>
      <c r="Q18">
        <v>312</v>
      </c>
      <c r="R18">
        <v>222</v>
      </c>
    </row>
    <row r="19" spans="1:18" x14ac:dyDescent="0.25">
      <c r="A19" t="s">
        <v>86</v>
      </c>
      <c r="B19" t="s">
        <v>87</v>
      </c>
      <c r="C19" t="s">
        <v>88</v>
      </c>
      <c r="D19" s="4">
        <v>202206</v>
      </c>
      <c r="E19" t="s">
        <v>54</v>
      </c>
      <c r="F19" t="s">
        <v>55</v>
      </c>
      <c r="G19" s="5">
        <v>329</v>
      </c>
      <c r="H19" s="1">
        <v>44682</v>
      </c>
      <c r="I19" s="1">
        <v>45078</v>
      </c>
      <c r="J19" s="1" t="s">
        <v>89</v>
      </c>
      <c r="K19">
        <v>45.069645999999999</v>
      </c>
      <c r="L19">
        <v>-98.579145999999994</v>
      </c>
      <c r="M19" t="s">
        <v>90</v>
      </c>
      <c r="N19">
        <v>1371</v>
      </c>
      <c r="P19">
        <v>1316</v>
      </c>
      <c r="Q19">
        <v>156</v>
      </c>
      <c r="R19">
        <v>68</v>
      </c>
    </row>
    <row r="20" spans="1:18" x14ac:dyDescent="0.25">
      <c r="A20" t="s">
        <v>86</v>
      </c>
      <c r="B20" t="s">
        <v>87</v>
      </c>
      <c r="C20" t="s">
        <v>88</v>
      </c>
      <c r="D20" s="4">
        <v>202206</v>
      </c>
      <c r="E20" t="s">
        <v>56</v>
      </c>
      <c r="F20" t="s">
        <v>57</v>
      </c>
      <c r="G20" s="5">
        <v>340</v>
      </c>
      <c r="H20" s="1">
        <v>44743</v>
      </c>
      <c r="I20" s="1">
        <v>44805</v>
      </c>
      <c r="J20" s="1" t="s">
        <v>89</v>
      </c>
      <c r="K20">
        <v>45.069645999999999</v>
      </c>
      <c r="L20">
        <v>-98.579145999999994</v>
      </c>
      <c r="M20" t="s">
        <v>91</v>
      </c>
      <c r="N20">
        <v>1371</v>
      </c>
      <c r="P20">
        <v>2030</v>
      </c>
      <c r="Q20">
        <v>543</v>
      </c>
      <c r="R20">
        <v>266</v>
      </c>
    </row>
    <row r="21" spans="1:18" x14ac:dyDescent="0.25">
      <c r="A21" t="s">
        <v>86</v>
      </c>
      <c r="B21" t="s">
        <v>92</v>
      </c>
      <c r="C21" t="s">
        <v>93</v>
      </c>
      <c r="D21" s="4" t="s">
        <v>95</v>
      </c>
      <c r="E21" t="s">
        <v>54</v>
      </c>
      <c r="F21" t="s">
        <v>55</v>
      </c>
      <c r="G21" s="5">
        <v>329</v>
      </c>
      <c r="H21" s="1">
        <v>44927</v>
      </c>
      <c r="I21" s="1">
        <v>45168</v>
      </c>
      <c r="J21" s="1" t="s">
        <v>89</v>
      </c>
      <c r="K21">
        <v>45.154879000000001</v>
      </c>
      <c r="L21">
        <v>-98.601916000000003</v>
      </c>
      <c r="M21" t="s">
        <v>94</v>
      </c>
      <c r="N21">
        <v>569</v>
      </c>
      <c r="P21">
        <v>1170</v>
      </c>
      <c r="Q21">
        <v>299</v>
      </c>
      <c r="R21">
        <v>1573</v>
      </c>
    </row>
    <row r="22" spans="1:18" x14ac:dyDescent="0.25">
      <c r="A22" t="s">
        <v>86</v>
      </c>
      <c r="B22" t="s">
        <v>92</v>
      </c>
      <c r="C22" t="s">
        <v>93</v>
      </c>
      <c r="D22" s="4" t="s">
        <v>95</v>
      </c>
      <c r="E22" t="s">
        <v>56</v>
      </c>
      <c r="F22" t="s">
        <v>57</v>
      </c>
      <c r="G22" s="5">
        <v>340</v>
      </c>
      <c r="H22" s="1">
        <v>44927</v>
      </c>
      <c r="I22" s="1">
        <v>45168</v>
      </c>
      <c r="J22" s="1" t="s">
        <v>89</v>
      </c>
      <c r="K22">
        <v>45.154879000000001</v>
      </c>
      <c r="L22">
        <v>-98.601916000000003</v>
      </c>
      <c r="M22" t="s">
        <v>94</v>
      </c>
      <c r="N22">
        <v>569</v>
      </c>
      <c r="P22">
        <v>989</v>
      </c>
      <c r="Q22">
        <v>272</v>
      </c>
      <c r="R22">
        <v>141</v>
      </c>
    </row>
    <row r="23" spans="1:18" x14ac:dyDescent="0.25">
      <c r="A23" t="s">
        <v>96</v>
      </c>
      <c r="B23" t="s">
        <v>97</v>
      </c>
      <c r="C23" t="s">
        <v>98</v>
      </c>
      <c r="D23" s="4" t="s">
        <v>101</v>
      </c>
      <c r="E23" t="s">
        <v>83</v>
      </c>
      <c r="F23" t="s">
        <v>84</v>
      </c>
      <c r="G23" s="5">
        <v>328</v>
      </c>
      <c r="H23" s="1">
        <v>45078</v>
      </c>
      <c r="I23" s="1">
        <v>45146</v>
      </c>
      <c r="J23" s="1" t="s">
        <v>99</v>
      </c>
      <c r="K23">
        <v>43.279971000000003</v>
      </c>
      <c r="L23">
        <v>-97.366298</v>
      </c>
      <c r="M23" t="s">
        <v>100</v>
      </c>
      <c r="N23">
        <v>12</v>
      </c>
    </row>
    <row r="24" spans="1:18" x14ac:dyDescent="0.25">
      <c r="A24" t="s">
        <v>96</v>
      </c>
      <c r="B24" t="s">
        <v>97</v>
      </c>
      <c r="C24" t="s">
        <v>98</v>
      </c>
      <c r="D24" s="4" t="s">
        <v>102</v>
      </c>
      <c r="E24" t="s">
        <v>54</v>
      </c>
      <c r="F24" t="s">
        <v>55</v>
      </c>
      <c r="G24" s="5">
        <v>329</v>
      </c>
      <c r="H24" s="1">
        <v>45078</v>
      </c>
      <c r="I24" s="1">
        <v>45146</v>
      </c>
      <c r="J24" s="1" t="s">
        <v>99</v>
      </c>
      <c r="K24">
        <v>43.279971000000003</v>
      </c>
      <c r="L24">
        <v>-97.366298</v>
      </c>
      <c r="M24" t="s">
        <v>100</v>
      </c>
      <c r="N24">
        <v>13</v>
      </c>
      <c r="P24">
        <v>35</v>
      </c>
      <c r="Q24">
        <v>6</v>
      </c>
      <c r="R24">
        <v>4</v>
      </c>
    </row>
    <row r="25" spans="1:18" x14ac:dyDescent="0.25">
      <c r="A25" t="s">
        <v>96</v>
      </c>
      <c r="B25" t="s">
        <v>97</v>
      </c>
      <c r="C25" t="s">
        <v>98</v>
      </c>
      <c r="D25" s="4" t="s">
        <v>103</v>
      </c>
      <c r="E25" t="s">
        <v>56</v>
      </c>
      <c r="F25" t="s">
        <v>57</v>
      </c>
      <c r="G25" s="5">
        <v>340</v>
      </c>
      <c r="H25" s="1">
        <v>45078</v>
      </c>
      <c r="I25" s="1">
        <v>45146</v>
      </c>
      <c r="J25" s="1" t="s">
        <v>99</v>
      </c>
      <c r="K25">
        <v>43.279971000000003</v>
      </c>
      <c r="L25">
        <v>-97.366298</v>
      </c>
      <c r="M25" t="s">
        <v>100</v>
      </c>
      <c r="N25">
        <v>12</v>
      </c>
      <c r="P25">
        <v>68</v>
      </c>
      <c r="Q25">
        <v>21</v>
      </c>
      <c r="R25">
        <v>14</v>
      </c>
    </row>
    <row r="26" spans="1:18" x14ac:dyDescent="0.25">
      <c r="A26" t="s">
        <v>96</v>
      </c>
      <c r="B26" t="s">
        <v>97</v>
      </c>
      <c r="C26" t="s">
        <v>98</v>
      </c>
      <c r="D26" s="4" t="s">
        <v>104</v>
      </c>
      <c r="E26" t="s">
        <v>105</v>
      </c>
      <c r="F26" t="s">
        <v>59</v>
      </c>
      <c r="G26" s="5">
        <v>556</v>
      </c>
      <c r="H26" s="1">
        <v>45078</v>
      </c>
      <c r="I26" s="1">
        <v>45146</v>
      </c>
      <c r="J26" s="1" t="s">
        <v>99</v>
      </c>
      <c r="K26">
        <v>43.279971000000003</v>
      </c>
      <c r="L26">
        <v>-97.366298</v>
      </c>
      <c r="M26" t="s">
        <v>100</v>
      </c>
      <c r="N26">
        <v>12.46</v>
      </c>
    </row>
    <row r="27" spans="1:18" x14ac:dyDescent="0.25">
      <c r="A27" t="s">
        <v>96</v>
      </c>
      <c r="B27" t="s">
        <v>106</v>
      </c>
      <c r="C27" t="s">
        <v>107</v>
      </c>
      <c r="D27" s="4" t="s">
        <v>108</v>
      </c>
      <c r="E27" t="s">
        <v>83</v>
      </c>
      <c r="F27" t="s">
        <v>84</v>
      </c>
      <c r="G27" s="5">
        <v>328</v>
      </c>
      <c r="H27" s="1">
        <v>45122</v>
      </c>
      <c r="I27" s="1">
        <v>45146</v>
      </c>
      <c r="J27" s="1" t="s">
        <v>99</v>
      </c>
      <c r="K27">
        <v>43.440432999999999</v>
      </c>
      <c r="L27">
        <v>-97.455648999999994</v>
      </c>
      <c r="M27" t="s">
        <v>100</v>
      </c>
      <c r="N27">
        <v>152</v>
      </c>
    </row>
    <row r="28" spans="1:18" x14ac:dyDescent="0.25">
      <c r="A28" t="s">
        <v>96</v>
      </c>
      <c r="B28" t="s">
        <v>106</v>
      </c>
      <c r="C28" t="s">
        <v>107</v>
      </c>
      <c r="D28" s="4" t="s">
        <v>108</v>
      </c>
      <c r="E28" t="s">
        <v>54</v>
      </c>
      <c r="F28" t="s">
        <v>55</v>
      </c>
      <c r="G28" s="5">
        <v>329</v>
      </c>
      <c r="H28" s="1">
        <v>45122</v>
      </c>
      <c r="I28" s="1">
        <v>45146</v>
      </c>
      <c r="J28" s="1" t="s">
        <v>99</v>
      </c>
      <c r="K28">
        <v>43.440432999999999</v>
      </c>
      <c r="L28">
        <v>-97.455648999999994</v>
      </c>
      <c r="M28" t="s">
        <v>100</v>
      </c>
      <c r="N28">
        <v>152</v>
      </c>
      <c r="P28">
        <v>484</v>
      </c>
      <c r="Q28">
        <v>190</v>
      </c>
      <c r="R28">
        <v>33</v>
      </c>
    </row>
    <row r="29" spans="1:18" x14ac:dyDescent="0.25">
      <c r="A29" t="s">
        <v>96</v>
      </c>
      <c r="B29" t="s">
        <v>106</v>
      </c>
      <c r="C29" t="s">
        <v>107</v>
      </c>
      <c r="D29" s="4" t="s">
        <v>108</v>
      </c>
      <c r="E29" t="s">
        <v>56</v>
      </c>
      <c r="F29" t="s">
        <v>57</v>
      </c>
      <c r="G29" s="5">
        <v>340</v>
      </c>
      <c r="H29" s="1">
        <v>45122</v>
      </c>
      <c r="I29" s="1">
        <v>45147</v>
      </c>
      <c r="J29" s="1" t="s">
        <v>99</v>
      </c>
      <c r="K29">
        <v>43.440432999999999</v>
      </c>
      <c r="L29">
        <v>-97.455648999999994</v>
      </c>
      <c r="M29" t="s">
        <v>100</v>
      </c>
      <c r="N29">
        <v>152</v>
      </c>
      <c r="P29">
        <v>172</v>
      </c>
      <c r="Q29">
        <v>48</v>
      </c>
      <c r="R29">
        <v>33</v>
      </c>
    </row>
    <row r="30" spans="1:18" x14ac:dyDescent="0.25">
      <c r="A30" t="s">
        <v>96</v>
      </c>
      <c r="B30" t="s">
        <v>106</v>
      </c>
      <c r="C30" t="s">
        <v>107</v>
      </c>
      <c r="D30" s="4" t="s">
        <v>108</v>
      </c>
      <c r="E30" t="s">
        <v>105</v>
      </c>
      <c r="F30" t="s">
        <v>59</v>
      </c>
      <c r="G30" s="5">
        <v>556</v>
      </c>
      <c r="H30" s="1">
        <v>45122</v>
      </c>
      <c r="I30" s="1">
        <v>45147</v>
      </c>
      <c r="J30" s="1" t="s">
        <v>99</v>
      </c>
      <c r="K30">
        <v>43.440432999999999</v>
      </c>
      <c r="L30">
        <v>-97.455648999999994</v>
      </c>
      <c r="M30" t="s">
        <v>100</v>
      </c>
      <c r="N30">
        <v>152</v>
      </c>
    </row>
    <row r="31" spans="1:18" x14ac:dyDescent="0.25">
      <c r="A31" t="s">
        <v>109</v>
      </c>
      <c r="B31" t="s">
        <v>110</v>
      </c>
      <c r="C31" t="s">
        <v>111</v>
      </c>
      <c r="D31" s="4">
        <v>20211004</v>
      </c>
      <c r="E31" t="s">
        <v>54</v>
      </c>
      <c r="F31" t="s">
        <v>55</v>
      </c>
      <c r="G31" s="5">
        <v>329</v>
      </c>
      <c r="H31" s="1">
        <v>44317</v>
      </c>
      <c r="I31" s="1">
        <v>44409</v>
      </c>
      <c r="J31" s="1" t="s">
        <v>112</v>
      </c>
      <c r="K31">
        <v>43.265368000000002</v>
      </c>
      <c r="L31">
        <v>-98.529054000000002</v>
      </c>
      <c r="M31" t="s">
        <v>113</v>
      </c>
      <c r="N31">
        <v>160</v>
      </c>
      <c r="P31">
        <v>438</v>
      </c>
      <c r="Q31">
        <v>101</v>
      </c>
      <c r="R31">
        <v>68</v>
      </c>
    </row>
    <row r="32" spans="1:18" x14ac:dyDescent="0.25">
      <c r="A32" t="s">
        <v>109</v>
      </c>
      <c r="B32" t="s">
        <v>110</v>
      </c>
      <c r="C32" t="s">
        <v>111</v>
      </c>
      <c r="D32" s="4">
        <v>20211004</v>
      </c>
      <c r="E32" t="s">
        <v>56</v>
      </c>
      <c r="F32" t="s">
        <v>57</v>
      </c>
      <c r="G32" s="5">
        <v>340</v>
      </c>
      <c r="H32" s="1">
        <v>44317</v>
      </c>
      <c r="I32" s="1">
        <v>44409</v>
      </c>
      <c r="J32" s="1" t="s">
        <v>112</v>
      </c>
      <c r="K32">
        <v>43.265368000000002</v>
      </c>
      <c r="L32">
        <v>-98.529054000000002</v>
      </c>
      <c r="M32" t="s">
        <v>113</v>
      </c>
      <c r="N32">
        <v>320</v>
      </c>
      <c r="P32">
        <v>1135</v>
      </c>
      <c r="Q32">
        <v>379</v>
      </c>
      <c r="R32">
        <v>265</v>
      </c>
    </row>
    <row r="33" spans="1:18" x14ac:dyDescent="0.25">
      <c r="A33" t="s">
        <v>109</v>
      </c>
      <c r="B33" t="s">
        <v>110</v>
      </c>
      <c r="C33" t="s">
        <v>111</v>
      </c>
      <c r="D33" s="4">
        <v>20211004</v>
      </c>
      <c r="E33" t="s">
        <v>105</v>
      </c>
      <c r="F33" t="s">
        <v>59</v>
      </c>
      <c r="G33" s="5">
        <v>556</v>
      </c>
      <c r="H33" s="1">
        <v>44317</v>
      </c>
      <c r="I33" s="1">
        <v>44409</v>
      </c>
      <c r="J33" s="1" t="s">
        <v>112</v>
      </c>
      <c r="K33">
        <v>43.265368000000002</v>
      </c>
      <c r="L33">
        <v>-98.529054000000002</v>
      </c>
      <c r="M33" t="s">
        <v>113</v>
      </c>
      <c r="N33">
        <v>160</v>
      </c>
    </row>
    <row r="34" spans="1:18" x14ac:dyDescent="0.25">
      <c r="A34" t="s">
        <v>109</v>
      </c>
      <c r="B34" t="s">
        <v>110</v>
      </c>
      <c r="C34" t="s">
        <v>111</v>
      </c>
      <c r="D34" s="4">
        <v>20211004</v>
      </c>
      <c r="E34" t="s">
        <v>132</v>
      </c>
      <c r="F34" t="s">
        <v>133</v>
      </c>
      <c r="H34" s="1">
        <v>44317</v>
      </c>
      <c r="I34" s="1">
        <v>45133</v>
      </c>
      <c r="J34" s="1" t="s">
        <v>112</v>
      </c>
      <c r="K34">
        <v>43.265368000000002</v>
      </c>
      <c r="L34">
        <v>-98.529054000000002</v>
      </c>
      <c r="M34" t="s">
        <v>113</v>
      </c>
      <c r="N34">
        <v>0</v>
      </c>
      <c r="O34" t="s">
        <v>145</v>
      </c>
    </row>
    <row r="35" spans="1:18" x14ac:dyDescent="0.25">
      <c r="A35" t="s">
        <v>109</v>
      </c>
      <c r="B35" t="s">
        <v>110</v>
      </c>
      <c r="C35" t="s">
        <v>111</v>
      </c>
      <c r="D35" s="4" t="s">
        <v>114</v>
      </c>
      <c r="E35" t="s">
        <v>54</v>
      </c>
      <c r="F35" t="s">
        <v>55</v>
      </c>
      <c r="G35" s="5">
        <v>329</v>
      </c>
      <c r="H35" s="1">
        <v>45031</v>
      </c>
      <c r="I35" s="1">
        <v>45117</v>
      </c>
      <c r="J35" s="1" t="s">
        <v>112</v>
      </c>
      <c r="K35">
        <v>43.265368000000002</v>
      </c>
      <c r="L35">
        <v>-98.529054000000002</v>
      </c>
      <c r="M35" t="s">
        <v>113</v>
      </c>
      <c r="N35">
        <v>160</v>
      </c>
      <c r="P35">
        <v>483</v>
      </c>
      <c r="Q35">
        <v>101</v>
      </c>
      <c r="R35">
        <v>68</v>
      </c>
    </row>
    <row r="36" spans="1:18" x14ac:dyDescent="0.25">
      <c r="A36" t="s">
        <v>109</v>
      </c>
      <c r="B36" t="s">
        <v>110</v>
      </c>
      <c r="C36" t="s">
        <v>111</v>
      </c>
      <c r="D36" s="4" t="s">
        <v>114</v>
      </c>
      <c r="E36" t="s">
        <v>56</v>
      </c>
      <c r="F36" t="s">
        <v>57</v>
      </c>
      <c r="G36" s="5">
        <v>340</v>
      </c>
      <c r="H36" s="1">
        <v>45031</v>
      </c>
      <c r="I36" s="1">
        <v>45117</v>
      </c>
      <c r="J36" s="1" t="s">
        <v>112</v>
      </c>
      <c r="K36">
        <v>43.265368000000002</v>
      </c>
      <c r="L36">
        <v>-98.529054000000002</v>
      </c>
      <c r="M36" t="s">
        <v>113</v>
      </c>
      <c r="N36">
        <v>320</v>
      </c>
      <c r="P36">
        <v>1135</v>
      </c>
      <c r="Q36">
        <v>379</v>
      </c>
      <c r="R36">
        <v>265</v>
      </c>
    </row>
    <row r="37" spans="1:18" x14ac:dyDescent="0.25">
      <c r="A37" t="s">
        <v>109</v>
      </c>
      <c r="B37" t="s">
        <v>110</v>
      </c>
      <c r="C37" t="s">
        <v>111</v>
      </c>
      <c r="D37" s="4" t="s">
        <v>114</v>
      </c>
      <c r="E37" t="s">
        <v>105</v>
      </c>
      <c r="F37" t="s">
        <v>59</v>
      </c>
      <c r="G37" s="5">
        <v>556</v>
      </c>
      <c r="H37" s="1">
        <v>45031</v>
      </c>
      <c r="I37" s="1">
        <v>45117</v>
      </c>
      <c r="J37" s="1" t="s">
        <v>112</v>
      </c>
      <c r="K37">
        <v>43.265368000000002</v>
      </c>
      <c r="L37">
        <v>-98.529054000000002</v>
      </c>
      <c r="M37" t="s">
        <v>113</v>
      </c>
      <c r="N37">
        <v>160</v>
      </c>
    </row>
    <row r="38" spans="1:18" x14ac:dyDescent="0.25">
      <c r="A38" t="s">
        <v>115</v>
      </c>
      <c r="B38" t="s">
        <v>116</v>
      </c>
      <c r="C38" t="s">
        <v>117</v>
      </c>
      <c r="D38" s="4" t="s">
        <v>120</v>
      </c>
      <c r="E38" t="s">
        <v>54</v>
      </c>
      <c r="F38" t="s">
        <v>55</v>
      </c>
      <c r="G38" s="5">
        <v>329</v>
      </c>
      <c r="H38" s="1">
        <v>44287</v>
      </c>
      <c r="I38" s="1">
        <v>44409</v>
      </c>
      <c r="J38" s="1" t="s">
        <v>118</v>
      </c>
      <c r="K38">
        <v>43.707427000000003</v>
      </c>
      <c r="L38">
        <v>-96.898537000000005</v>
      </c>
      <c r="M38" t="s">
        <v>119</v>
      </c>
      <c r="N38">
        <v>400</v>
      </c>
      <c r="P38">
        <v>1084</v>
      </c>
      <c r="Q38">
        <v>281</v>
      </c>
      <c r="R38">
        <v>127</v>
      </c>
    </row>
    <row r="39" spans="1:18" x14ac:dyDescent="0.25">
      <c r="A39" t="s">
        <v>115</v>
      </c>
      <c r="B39" t="s">
        <v>116</v>
      </c>
      <c r="C39" t="s">
        <v>117</v>
      </c>
      <c r="D39" s="4" t="s">
        <v>120</v>
      </c>
      <c r="E39" t="s">
        <v>56</v>
      </c>
      <c r="F39" t="s">
        <v>57</v>
      </c>
      <c r="G39" s="5">
        <v>340</v>
      </c>
      <c r="H39" s="1">
        <v>44287</v>
      </c>
      <c r="I39" s="1">
        <v>44409</v>
      </c>
      <c r="J39" s="1" t="s">
        <v>118</v>
      </c>
      <c r="K39">
        <v>43.707427000000003</v>
      </c>
      <c r="L39">
        <v>-96.898537000000005</v>
      </c>
      <c r="M39" t="s">
        <v>119</v>
      </c>
      <c r="N39">
        <v>30</v>
      </c>
      <c r="P39">
        <v>285</v>
      </c>
      <c r="Q39">
        <v>99</v>
      </c>
      <c r="R39">
        <v>605</v>
      </c>
    </row>
    <row r="40" spans="1:18" x14ac:dyDescent="0.25">
      <c r="A40" t="s">
        <v>121</v>
      </c>
      <c r="B40" t="s">
        <v>122</v>
      </c>
      <c r="C40" t="s">
        <v>123</v>
      </c>
      <c r="D40" s="4" t="s">
        <v>124</v>
      </c>
      <c r="E40" t="s">
        <v>83</v>
      </c>
      <c r="F40" t="s">
        <v>84</v>
      </c>
      <c r="G40" s="5">
        <v>328</v>
      </c>
      <c r="H40" s="1">
        <v>44287</v>
      </c>
      <c r="I40" s="1">
        <v>44473</v>
      </c>
      <c r="J40" s="1" t="s">
        <v>80</v>
      </c>
      <c r="K40">
        <v>43.671343999999998</v>
      </c>
      <c r="L40">
        <v>-96.464568</v>
      </c>
      <c r="M40" t="s">
        <v>81</v>
      </c>
      <c r="N40">
        <v>250</v>
      </c>
    </row>
    <row r="41" spans="1:18" x14ac:dyDescent="0.25">
      <c r="A41" t="s">
        <v>121</v>
      </c>
      <c r="B41" t="s">
        <v>122</v>
      </c>
      <c r="C41" t="s">
        <v>123</v>
      </c>
      <c r="D41" s="4" t="s">
        <v>124</v>
      </c>
      <c r="E41" t="s">
        <v>54</v>
      </c>
      <c r="F41" t="s">
        <v>55</v>
      </c>
      <c r="G41" s="5">
        <v>329</v>
      </c>
      <c r="H41" s="1">
        <v>44287</v>
      </c>
      <c r="I41" s="1">
        <v>44409</v>
      </c>
      <c r="J41" s="1" t="s">
        <v>80</v>
      </c>
      <c r="K41">
        <v>43.671343999999998</v>
      </c>
      <c r="L41">
        <v>-96.464568</v>
      </c>
      <c r="M41" t="s">
        <v>81</v>
      </c>
      <c r="N41">
        <v>250</v>
      </c>
      <c r="P41">
        <v>363</v>
      </c>
      <c r="Q41">
        <v>69</v>
      </c>
      <c r="R41">
        <v>45</v>
      </c>
    </row>
    <row r="42" spans="1:18" x14ac:dyDescent="0.25">
      <c r="A42" t="s">
        <v>121</v>
      </c>
      <c r="B42" t="s">
        <v>122</v>
      </c>
      <c r="C42" t="s">
        <v>123</v>
      </c>
      <c r="D42" s="4" t="s">
        <v>124</v>
      </c>
      <c r="E42" t="s">
        <v>56</v>
      </c>
      <c r="F42" t="s">
        <v>57</v>
      </c>
      <c r="G42" s="5">
        <v>340</v>
      </c>
      <c r="H42" s="1">
        <v>44287</v>
      </c>
      <c r="I42" s="1">
        <v>44409</v>
      </c>
      <c r="J42" s="1" t="s">
        <v>80</v>
      </c>
      <c r="K42">
        <v>43.671343999999998</v>
      </c>
      <c r="L42">
        <v>-96.464568</v>
      </c>
      <c r="M42" t="s">
        <v>81</v>
      </c>
      <c r="N42">
        <v>250</v>
      </c>
      <c r="P42">
        <v>381</v>
      </c>
      <c r="Q42">
        <v>124</v>
      </c>
      <c r="R42">
        <v>83</v>
      </c>
    </row>
    <row r="43" spans="1:18" x14ac:dyDescent="0.25">
      <c r="A43" t="s">
        <v>121</v>
      </c>
      <c r="B43" t="s">
        <v>122</v>
      </c>
      <c r="C43" t="s">
        <v>123</v>
      </c>
      <c r="D43" s="4" t="s">
        <v>125</v>
      </c>
      <c r="E43" t="s">
        <v>83</v>
      </c>
      <c r="F43" t="s">
        <v>84</v>
      </c>
      <c r="G43" s="5">
        <v>328</v>
      </c>
      <c r="H43" s="1">
        <v>44703</v>
      </c>
      <c r="I43" s="1">
        <v>44845</v>
      </c>
      <c r="J43" s="1" t="s">
        <v>80</v>
      </c>
      <c r="K43">
        <v>43.671343999999998</v>
      </c>
      <c r="L43">
        <v>-96.464568</v>
      </c>
      <c r="M43" t="s">
        <v>81</v>
      </c>
      <c r="N43">
        <v>250</v>
      </c>
    </row>
    <row r="44" spans="1:18" x14ac:dyDescent="0.25">
      <c r="A44" t="s">
        <v>121</v>
      </c>
      <c r="B44" t="s">
        <v>122</v>
      </c>
      <c r="C44" t="s">
        <v>123</v>
      </c>
      <c r="D44" s="4" t="s">
        <v>125</v>
      </c>
      <c r="E44" t="s">
        <v>54</v>
      </c>
      <c r="F44" t="s">
        <v>55</v>
      </c>
      <c r="G44" s="5">
        <v>329</v>
      </c>
      <c r="H44" s="1">
        <v>44703</v>
      </c>
      <c r="I44" s="1">
        <v>44845</v>
      </c>
      <c r="J44" s="1" t="s">
        <v>80</v>
      </c>
      <c r="K44">
        <v>43.671343999999998</v>
      </c>
      <c r="L44">
        <v>-96.464568</v>
      </c>
      <c r="M44" t="s">
        <v>81</v>
      </c>
      <c r="N44">
        <v>250</v>
      </c>
      <c r="P44">
        <v>1124</v>
      </c>
      <c r="Q44">
        <v>207</v>
      </c>
      <c r="R44">
        <v>131</v>
      </c>
    </row>
    <row r="45" spans="1:18" x14ac:dyDescent="0.25">
      <c r="A45" t="s">
        <v>121</v>
      </c>
      <c r="B45" t="s">
        <v>122</v>
      </c>
      <c r="C45" t="s">
        <v>123</v>
      </c>
      <c r="D45" s="4" t="s">
        <v>125</v>
      </c>
      <c r="E45" t="s">
        <v>56</v>
      </c>
      <c r="F45" t="s">
        <v>57</v>
      </c>
      <c r="G45" s="5">
        <v>340</v>
      </c>
      <c r="H45" s="1">
        <v>44703</v>
      </c>
      <c r="I45" s="1">
        <v>44845</v>
      </c>
      <c r="J45" s="1" t="s">
        <v>80</v>
      </c>
      <c r="K45">
        <v>43.671343999999998</v>
      </c>
      <c r="L45">
        <v>-96.464568</v>
      </c>
      <c r="M45" t="s">
        <v>81</v>
      </c>
      <c r="N45">
        <v>250</v>
      </c>
      <c r="P45">
        <v>684</v>
      </c>
      <c r="Q45">
        <v>229</v>
      </c>
      <c r="R45">
        <v>164</v>
      </c>
    </row>
    <row r="46" spans="1:18" x14ac:dyDescent="0.25">
      <c r="A46" t="s">
        <v>121</v>
      </c>
      <c r="B46" t="s">
        <v>122</v>
      </c>
      <c r="C46" t="s">
        <v>123</v>
      </c>
      <c r="D46" s="4" t="s">
        <v>125</v>
      </c>
      <c r="E46" t="s">
        <v>105</v>
      </c>
      <c r="F46" t="s">
        <v>59</v>
      </c>
      <c r="G46" s="5">
        <v>556</v>
      </c>
      <c r="H46" s="1">
        <v>44703</v>
      </c>
      <c r="I46" s="1">
        <v>44845</v>
      </c>
      <c r="J46" s="1" t="s">
        <v>80</v>
      </c>
      <c r="K46">
        <v>43.671343999999998</v>
      </c>
      <c r="L46">
        <v>-96.464568</v>
      </c>
      <c r="M46" t="s">
        <v>81</v>
      </c>
      <c r="N46">
        <v>250</v>
      </c>
    </row>
    <row r="47" spans="1:18" x14ac:dyDescent="0.25">
      <c r="A47" t="s">
        <v>121</v>
      </c>
      <c r="B47" t="s">
        <v>122</v>
      </c>
      <c r="C47" t="s">
        <v>123</v>
      </c>
      <c r="D47" s="4" t="s">
        <v>659</v>
      </c>
      <c r="E47" t="s">
        <v>56</v>
      </c>
      <c r="F47" t="s">
        <v>57</v>
      </c>
      <c r="G47" s="5">
        <v>340</v>
      </c>
      <c r="H47" s="1">
        <v>43920</v>
      </c>
      <c r="I47" s="1">
        <v>44042</v>
      </c>
      <c r="J47" s="1" t="s">
        <v>80</v>
      </c>
      <c r="K47">
        <v>43.672013999999997</v>
      </c>
      <c r="L47">
        <v>-96.454537000000002</v>
      </c>
      <c r="M47" t="s">
        <v>81</v>
      </c>
      <c r="N47">
        <v>0</v>
      </c>
      <c r="O47" t="s">
        <v>145</v>
      </c>
      <c r="P47">
        <v>63</v>
      </c>
      <c r="Q47">
        <v>21</v>
      </c>
      <c r="R47">
        <v>17</v>
      </c>
    </row>
    <row r="48" spans="1:18" x14ac:dyDescent="0.25">
      <c r="A48" t="s">
        <v>121</v>
      </c>
      <c r="B48" t="s">
        <v>126</v>
      </c>
      <c r="C48" t="s">
        <v>123</v>
      </c>
      <c r="D48" s="4" t="s">
        <v>129</v>
      </c>
      <c r="E48" t="s">
        <v>54</v>
      </c>
      <c r="F48" t="s">
        <v>55</v>
      </c>
      <c r="G48" s="5">
        <v>329</v>
      </c>
      <c r="H48" s="1">
        <v>44287</v>
      </c>
      <c r="I48" s="1">
        <v>44409</v>
      </c>
      <c r="J48" s="1" t="s">
        <v>127</v>
      </c>
      <c r="K48">
        <v>44.503782000000001</v>
      </c>
      <c r="L48">
        <v>-97.292654999999996</v>
      </c>
      <c r="M48" t="s">
        <v>128</v>
      </c>
      <c r="N48">
        <v>300</v>
      </c>
      <c r="P48">
        <v>300</v>
      </c>
      <c r="Q48">
        <v>271</v>
      </c>
      <c r="R48">
        <v>147</v>
      </c>
    </row>
    <row r="49" spans="1:18" x14ac:dyDescent="0.25">
      <c r="A49" t="s">
        <v>121</v>
      </c>
      <c r="B49" t="s">
        <v>126</v>
      </c>
      <c r="C49" t="s">
        <v>123</v>
      </c>
      <c r="D49" s="4" t="s">
        <v>129</v>
      </c>
      <c r="E49" t="s">
        <v>56</v>
      </c>
      <c r="F49" t="s">
        <v>57</v>
      </c>
      <c r="G49" s="5">
        <v>340</v>
      </c>
      <c r="H49" s="1">
        <v>44287</v>
      </c>
      <c r="I49" s="1">
        <v>44409</v>
      </c>
      <c r="J49" s="1" t="s">
        <v>127</v>
      </c>
      <c r="K49">
        <v>44.503782000000001</v>
      </c>
      <c r="L49">
        <v>-97.292654999999996</v>
      </c>
      <c r="M49" t="s">
        <v>128</v>
      </c>
      <c r="N49">
        <v>300</v>
      </c>
      <c r="P49">
        <v>256</v>
      </c>
      <c r="Q49">
        <v>79</v>
      </c>
      <c r="R49">
        <v>574</v>
      </c>
    </row>
    <row r="50" spans="1:18" x14ac:dyDescent="0.25">
      <c r="A50" t="s">
        <v>121</v>
      </c>
      <c r="B50" t="s">
        <v>126</v>
      </c>
      <c r="C50" t="s">
        <v>123</v>
      </c>
      <c r="D50" s="4" t="s">
        <v>131</v>
      </c>
      <c r="E50" t="s">
        <v>83</v>
      </c>
      <c r="F50" t="s">
        <v>84</v>
      </c>
      <c r="G50" s="5">
        <v>328</v>
      </c>
      <c r="H50" s="1">
        <v>45355</v>
      </c>
      <c r="I50" s="1">
        <v>45525</v>
      </c>
      <c r="J50" s="1" t="s">
        <v>127</v>
      </c>
      <c r="K50">
        <v>44.481755</v>
      </c>
      <c r="L50">
        <v>-97.627313999999998</v>
      </c>
      <c r="M50" t="s">
        <v>130</v>
      </c>
      <c r="N50">
        <v>108</v>
      </c>
    </row>
    <row r="51" spans="1:18" x14ac:dyDescent="0.25">
      <c r="A51" t="s">
        <v>121</v>
      </c>
      <c r="B51" t="s">
        <v>126</v>
      </c>
      <c r="C51" t="s">
        <v>123</v>
      </c>
      <c r="D51" s="4" t="s">
        <v>131</v>
      </c>
      <c r="E51" t="s">
        <v>54</v>
      </c>
      <c r="F51" t="s">
        <v>55</v>
      </c>
      <c r="G51" s="5">
        <v>329</v>
      </c>
      <c r="H51" s="1">
        <v>45352</v>
      </c>
      <c r="I51" s="1">
        <v>45600</v>
      </c>
      <c r="J51" s="1" t="s">
        <v>127</v>
      </c>
      <c r="K51">
        <v>44.481755</v>
      </c>
      <c r="L51">
        <v>-97.627313999999998</v>
      </c>
      <c r="M51" t="s">
        <v>130</v>
      </c>
      <c r="N51">
        <v>108</v>
      </c>
      <c r="P51">
        <v>232</v>
      </c>
      <c r="Q51">
        <v>37</v>
      </c>
      <c r="R51">
        <v>21</v>
      </c>
    </row>
    <row r="52" spans="1:18" x14ac:dyDescent="0.25">
      <c r="A52" t="s">
        <v>121</v>
      </c>
      <c r="B52" t="s">
        <v>126</v>
      </c>
      <c r="C52" t="s">
        <v>123</v>
      </c>
      <c r="D52" s="4" t="s">
        <v>131</v>
      </c>
      <c r="E52" t="s">
        <v>132</v>
      </c>
      <c r="F52" t="s">
        <v>133</v>
      </c>
      <c r="H52" s="1">
        <v>45433</v>
      </c>
      <c r="I52" s="1">
        <v>45552</v>
      </c>
      <c r="J52" s="1" t="s">
        <v>127</v>
      </c>
      <c r="K52">
        <v>44.481755</v>
      </c>
      <c r="L52">
        <v>-97.627313999999998</v>
      </c>
      <c r="M52" t="s">
        <v>130</v>
      </c>
      <c r="N52">
        <v>108</v>
      </c>
      <c r="P52">
        <v>411</v>
      </c>
      <c r="Q52">
        <v>120</v>
      </c>
      <c r="R52">
        <v>74</v>
      </c>
    </row>
    <row r="53" spans="1:18" x14ac:dyDescent="0.25">
      <c r="A53" t="s">
        <v>134</v>
      </c>
      <c r="B53" t="s">
        <v>135</v>
      </c>
      <c r="C53" t="s">
        <v>136</v>
      </c>
      <c r="D53" s="4">
        <v>20211008</v>
      </c>
      <c r="E53" t="s">
        <v>54</v>
      </c>
      <c r="F53" t="s">
        <v>55</v>
      </c>
      <c r="G53" s="5">
        <v>329</v>
      </c>
      <c r="H53" s="1">
        <v>44403</v>
      </c>
      <c r="I53" s="1">
        <v>44463</v>
      </c>
      <c r="J53" s="1" t="s">
        <v>80</v>
      </c>
      <c r="K53">
        <v>43.013342999999999</v>
      </c>
      <c r="L53">
        <v>-97.414660999999995</v>
      </c>
      <c r="M53" t="s">
        <v>137</v>
      </c>
      <c r="N53">
        <v>124</v>
      </c>
      <c r="P53">
        <v>417</v>
      </c>
      <c r="Q53">
        <v>93</v>
      </c>
      <c r="R53">
        <v>65</v>
      </c>
    </row>
    <row r="54" spans="1:18" x14ac:dyDescent="0.25">
      <c r="A54" t="s">
        <v>134</v>
      </c>
      <c r="B54" t="s">
        <v>135</v>
      </c>
      <c r="C54" t="s">
        <v>136</v>
      </c>
      <c r="D54" s="4">
        <v>20211008</v>
      </c>
      <c r="E54" t="s">
        <v>56</v>
      </c>
      <c r="F54" t="s">
        <v>57</v>
      </c>
      <c r="G54" s="5">
        <v>340</v>
      </c>
      <c r="H54" s="1">
        <v>44287</v>
      </c>
      <c r="I54" s="1">
        <v>44463</v>
      </c>
      <c r="J54" s="1" t="s">
        <v>80</v>
      </c>
      <c r="K54">
        <v>43.013342999999999</v>
      </c>
      <c r="L54">
        <v>-97.414660999999995</v>
      </c>
      <c r="M54" t="s">
        <v>137</v>
      </c>
      <c r="N54">
        <v>124</v>
      </c>
      <c r="P54">
        <v>1033</v>
      </c>
      <c r="Q54">
        <v>352</v>
      </c>
      <c r="R54">
        <v>252</v>
      </c>
    </row>
    <row r="55" spans="1:18" x14ac:dyDescent="0.25">
      <c r="A55" t="s">
        <v>134</v>
      </c>
      <c r="B55" t="s">
        <v>135</v>
      </c>
      <c r="C55" t="s">
        <v>136</v>
      </c>
      <c r="D55" s="4">
        <v>20211008</v>
      </c>
      <c r="E55" t="s">
        <v>105</v>
      </c>
      <c r="F55" t="s">
        <v>59</v>
      </c>
      <c r="G55" s="5">
        <v>556</v>
      </c>
      <c r="H55" s="1">
        <v>44317</v>
      </c>
      <c r="I55" s="1">
        <v>44409</v>
      </c>
      <c r="J55" s="1" t="s">
        <v>80</v>
      </c>
      <c r="K55">
        <v>43.013342999999999</v>
      </c>
      <c r="L55">
        <v>-97.414660999999995</v>
      </c>
      <c r="M55" t="s">
        <v>137</v>
      </c>
      <c r="N55">
        <v>124</v>
      </c>
    </row>
    <row r="56" spans="1:18" x14ac:dyDescent="0.25">
      <c r="A56" t="s">
        <v>134</v>
      </c>
      <c r="B56" t="s">
        <v>138</v>
      </c>
      <c r="C56" t="s">
        <v>136</v>
      </c>
      <c r="D56" s="4">
        <v>20211007</v>
      </c>
      <c r="E56" t="s">
        <v>54</v>
      </c>
      <c r="F56" t="s">
        <v>55</v>
      </c>
      <c r="G56" s="5">
        <v>329</v>
      </c>
      <c r="H56" s="1">
        <v>44287</v>
      </c>
      <c r="I56" s="1">
        <v>44463</v>
      </c>
      <c r="J56" s="1" t="s">
        <v>139</v>
      </c>
      <c r="K56">
        <v>43.036881999999999</v>
      </c>
      <c r="L56">
        <v>-97.424096000000006</v>
      </c>
      <c r="M56" t="s">
        <v>137</v>
      </c>
      <c r="N56">
        <v>123</v>
      </c>
      <c r="P56">
        <v>417</v>
      </c>
      <c r="Q56">
        <v>93</v>
      </c>
      <c r="R56">
        <v>64</v>
      </c>
    </row>
    <row r="57" spans="1:18" x14ac:dyDescent="0.25">
      <c r="A57" t="s">
        <v>134</v>
      </c>
      <c r="B57" t="s">
        <v>138</v>
      </c>
      <c r="C57" t="s">
        <v>136</v>
      </c>
      <c r="D57" s="4">
        <v>20211007</v>
      </c>
      <c r="E57" t="s">
        <v>56</v>
      </c>
      <c r="F57" t="s">
        <v>57</v>
      </c>
      <c r="G57" s="5">
        <v>340</v>
      </c>
      <c r="H57" s="1">
        <v>44287</v>
      </c>
      <c r="I57" s="1">
        <v>44463</v>
      </c>
      <c r="J57" s="1" t="s">
        <v>139</v>
      </c>
      <c r="K57">
        <v>43.036881999999999</v>
      </c>
      <c r="L57">
        <v>-97.424096000000006</v>
      </c>
      <c r="M57" t="s">
        <v>137</v>
      </c>
      <c r="N57">
        <v>123</v>
      </c>
      <c r="P57">
        <v>1033</v>
      </c>
      <c r="Q57">
        <v>352</v>
      </c>
      <c r="R57">
        <v>252</v>
      </c>
    </row>
    <row r="58" spans="1:18" x14ac:dyDescent="0.25">
      <c r="A58" t="s">
        <v>134</v>
      </c>
      <c r="B58" t="s">
        <v>138</v>
      </c>
      <c r="C58" t="s">
        <v>136</v>
      </c>
      <c r="D58" s="4">
        <v>20211007</v>
      </c>
      <c r="E58" t="s">
        <v>105</v>
      </c>
      <c r="F58" t="s">
        <v>59</v>
      </c>
      <c r="G58" s="5">
        <v>556</v>
      </c>
      <c r="H58" s="1">
        <v>44287</v>
      </c>
      <c r="I58" s="1">
        <v>44463</v>
      </c>
      <c r="J58" s="1" t="s">
        <v>139</v>
      </c>
      <c r="K58">
        <v>43.036881999999999</v>
      </c>
      <c r="L58">
        <v>-97.424096000000006</v>
      </c>
      <c r="M58" t="s">
        <v>137</v>
      </c>
      <c r="N58">
        <v>0</v>
      </c>
      <c r="O58" t="s">
        <v>145</v>
      </c>
    </row>
    <row r="59" spans="1:18" x14ac:dyDescent="0.25">
      <c r="A59" t="s">
        <v>140</v>
      </c>
      <c r="B59" t="s">
        <v>141</v>
      </c>
      <c r="C59" t="s">
        <v>142</v>
      </c>
      <c r="D59" s="4" t="s">
        <v>144</v>
      </c>
      <c r="E59" t="s">
        <v>83</v>
      </c>
      <c r="F59" t="s">
        <v>84</v>
      </c>
      <c r="G59" s="5">
        <v>328</v>
      </c>
      <c r="H59" s="1">
        <v>44287</v>
      </c>
      <c r="I59" s="1">
        <v>44409</v>
      </c>
      <c r="J59" t="s">
        <v>69</v>
      </c>
      <c r="K59">
        <v>43.720559000000002</v>
      </c>
      <c r="L59">
        <v>-98.272563000000005</v>
      </c>
      <c r="M59" t="s">
        <v>143</v>
      </c>
      <c r="N59">
        <v>0</v>
      </c>
      <c r="O59" t="s">
        <v>145</v>
      </c>
    </row>
    <row r="60" spans="1:18" x14ac:dyDescent="0.25">
      <c r="A60" t="s">
        <v>140</v>
      </c>
      <c r="B60" t="s">
        <v>141</v>
      </c>
      <c r="C60" t="s">
        <v>142</v>
      </c>
      <c r="D60" s="4" t="s">
        <v>144</v>
      </c>
      <c r="E60" t="s">
        <v>54</v>
      </c>
      <c r="F60" t="s">
        <v>55</v>
      </c>
      <c r="G60" s="5">
        <v>329</v>
      </c>
      <c r="H60" s="1">
        <v>44287</v>
      </c>
      <c r="I60" s="1">
        <v>44409</v>
      </c>
      <c r="J60" t="s">
        <v>69</v>
      </c>
      <c r="K60">
        <v>43.720559000000002</v>
      </c>
      <c r="L60">
        <v>-98.272563000000005</v>
      </c>
      <c r="M60" t="s">
        <v>143</v>
      </c>
      <c r="N60">
        <v>0</v>
      </c>
      <c r="O60" t="s">
        <v>145</v>
      </c>
    </row>
    <row r="61" spans="1:18" x14ac:dyDescent="0.25">
      <c r="A61" t="s">
        <v>140</v>
      </c>
      <c r="B61" t="s">
        <v>141</v>
      </c>
      <c r="C61" t="s">
        <v>142</v>
      </c>
      <c r="D61" s="4" t="s">
        <v>144</v>
      </c>
      <c r="E61" t="s">
        <v>56</v>
      </c>
      <c r="F61" t="s">
        <v>57</v>
      </c>
      <c r="G61" s="5">
        <v>340</v>
      </c>
      <c r="H61" s="1">
        <v>44287</v>
      </c>
      <c r="I61" s="1">
        <v>44409</v>
      </c>
      <c r="J61" t="s">
        <v>69</v>
      </c>
      <c r="K61">
        <v>43.720559000000002</v>
      </c>
      <c r="L61">
        <v>-98.272563000000005</v>
      </c>
      <c r="M61" t="s">
        <v>143</v>
      </c>
      <c r="N61">
        <v>0</v>
      </c>
      <c r="O61" t="s">
        <v>145</v>
      </c>
      <c r="P61">
        <v>1405</v>
      </c>
      <c r="Q61">
        <v>382</v>
      </c>
      <c r="R61">
        <v>194</v>
      </c>
    </row>
    <row r="62" spans="1:18" x14ac:dyDescent="0.25">
      <c r="A62" t="s">
        <v>146</v>
      </c>
      <c r="B62" t="s">
        <v>147</v>
      </c>
      <c r="C62" t="s">
        <v>148</v>
      </c>
      <c r="D62" s="4" t="s">
        <v>151</v>
      </c>
      <c r="E62" t="s">
        <v>54</v>
      </c>
      <c r="F62" t="s">
        <v>55</v>
      </c>
      <c r="G62" s="5">
        <v>329</v>
      </c>
      <c r="H62" s="1">
        <v>45047</v>
      </c>
      <c r="I62" s="1">
        <v>45118</v>
      </c>
      <c r="J62" t="s">
        <v>149</v>
      </c>
      <c r="K62">
        <v>45.745404999999998</v>
      </c>
      <c r="L62">
        <v>-98.635947999999999</v>
      </c>
      <c r="M62" t="s">
        <v>150</v>
      </c>
      <c r="N62">
        <v>1210</v>
      </c>
      <c r="P62">
        <v>2301.4</v>
      </c>
      <c r="Q62">
        <v>421.5</v>
      </c>
      <c r="R62">
        <v>172.1</v>
      </c>
    </row>
    <row r="63" spans="1:18" x14ac:dyDescent="0.25">
      <c r="A63" t="s">
        <v>146</v>
      </c>
      <c r="B63" t="s">
        <v>147</v>
      </c>
      <c r="C63" t="s">
        <v>148</v>
      </c>
      <c r="D63" s="4" t="s">
        <v>151</v>
      </c>
      <c r="E63" t="s">
        <v>56</v>
      </c>
      <c r="F63" t="s">
        <v>57</v>
      </c>
      <c r="G63" s="5">
        <v>340</v>
      </c>
      <c r="H63" s="1">
        <v>45047</v>
      </c>
      <c r="I63" s="1">
        <v>45118</v>
      </c>
      <c r="J63" t="s">
        <v>149</v>
      </c>
      <c r="K63">
        <v>45.745404999999998</v>
      </c>
      <c r="L63">
        <v>-98.635947999999999</v>
      </c>
      <c r="M63" t="s">
        <v>150</v>
      </c>
      <c r="N63">
        <v>1210</v>
      </c>
      <c r="P63">
        <v>2486.3000000000002</v>
      </c>
      <c r="Q63">
        <v>622.1</v>
      </c>
      <c r="R63">
        <v>259.5</v>
      </c>
    </row>
    <row r="64" spans="1:18" x14ac:dyDescent="0.25">
      <c r="A64" t="s">
        <v>152</v>
      </c>
      <c r="B64" t="s">
        <v>153</v>
      </c>
      <c r="C64" t="s">
        <v>154</v>
      </c>
      <c r="D64" s="4" t="s">
        <v>157</v>
      </c>
      <c r="E64" t="s">
        <v>54</v>
      </c>
      <c r="F64" t="s">
        <v>55</v>
      </c>
      <c r="G64" s="5">
        <v>329</v>
      </c>
      <c r="H64" s="1">
        <v>44287</v>
      </c>
      <c r="I64" s="1">
        <v>44409</v>
      </c>
      <c r="J64" t="s">
        <v>155</v>
      </c>
      <c r="K64">
        <v>43.689903999999999</v>
      </c>
      <c r="L64">
        <v>-96.779409000000001</v>
      </c>
      <c r="M64" t="s">
        <v>156</v>
      </c>
      <c r="N64">
        <v>250</v>
      </c>
      <c r="P64">
        <v>1940</v>
      </c>
      <c r="Q64">
        <v>566</v>
      </c>
      <c r="R64">
        <v>399</v>
      </c>
    </row>
    <row r="65" spans="1:18" x14ac:dyDescent="0.25">
      <c r="A65" t="s">
        <v>152</v>
      </c>
      <c r="B65" t="s">
        <v>153</v>
      </c>
      <c r="C65" t="s">
        <v>154</v>
      </c>
      <c r="D65" s="4" t="s">
        <v>158</v>
      </c>
      <c r="E65" t="s">
        <v>56</v>
      </c>
      <c r="F65" t="s">
        <v>57</v>
      </c>
      <c r="G65" s="5">
        <v>340</v>
      </c>
      <c r="H65" s="1">
        <v>44287</v>
      </c>
      <c r="I65" s="1">
        <v>44409</v>
      </c>
      <c r="J65" t="s">
        <v>155</v>
      </c>
      <c r="K65">
        <v>43.689903999999999</v>
      </c>
      <c r="L65">
        <v>-96.779409000000001</v>
      </c>
      <c r="M65" t="s">
        <v>156</v>
      </c>
      <c r="N65">
        <v>314</v>
      </c>
      <c r="P65">
        <v>1442.7</v>
      </c>
      <c r="Q65">
        <v>489</v>
      </c>
      <c r="R65">
        <v>349</v>
      </c>
    </row>
    <row r="66" spans="1:18" x14ac:dyDescent="0.25">
      <c r="A66" t="s">
        <v>152</v>
      </c>
      <c r="B66" t="s">
        <v>153</v>
      </c>
      <c r="C66" t="s">
        <v>154</v>
      </c>
      <c r="D66" s="4" t="s">
        <v>159</v>
      </c>
      <c r="E66" t="s">
        <v>54</v>
      </c>
      <c r="F66" t="s">
        <v>55</v>
      </c>
      <c r="G66" s="5">
        <v>329</v>
      </c>
      <c r="H66" s="1">
        <v>44682</v>
      </c>
      <c r="I66" s="1">
        <v>44880</v>
      </c>
      <c r="J66" t="s">
        <v>155</v>
      </c>
      <c r="K66">
        <v>43.689903999999999</v>
      </c>
      <c r="L66">
        <v>-96.779409000000001</v>
      </c>
      <c r="M66" t="s">
        <v>156</v>
      </c>
      <c r="N66">
        <v>250</v>
      </c>
      <c r="P66">
        <v>860</v>
      </c>
      <c r="Q66">
        <v>162</v>
      </c>
      <c r="R66">
        <v>104</v>
      </c>
    </row>
    <row r="67" spans="1:18" x14ac:dyDescent="0.25">
      <c r="A67" t="s">
        <v>152</v>
      </c>
      <c r="B67" t="s">
        <v>153</v>
      </c>
      <c r="C67" t="s">
        <v>154</v>
      </c>
      <c r="D67" s="4" t="s">
        <v>160</v>
      </c>
      <c r="E67" t="s">
        <v>105</v>
      </c>
      <c r="F67" t="s">
        <v>59</v>
      </c>
      <c r="G67" s="5">
        <v>556</v>
      </c>
      <c r="H67" s="1">
        <v>44682</v>
      </c>
      <c r="I67" s="1">
        <v>44880</v>
      </c>
      <c r="J67" t="s">
        <v>155</v>
      </c>
      <c r="K67">
        <v>43.689903999999999</v>
      </c>
      <c r="L67">
        <v>-96.779409000000001</v>
      </c>
      <c r="M67" t="s">
        <v>156</v>
      </c>
      <c r="N67">
        <v>0</v>
      </c>
      <c r="O67" t="s">
        <v>145</v>
      </c>
    </row>
    <row r="68" spans="1:18" x14ac:dyDescent="0.25">
      <c r="A68" t="s">
        <v>152</v>
      </c>
      <c r="B68" t="s">
        <v>153</v>
      </c>
      <c r="C68" t="s">
        <v>154</v>
      </c>
      <c r="D68" s="4" t="s">
        <v>161</v>
      </c>
      <c r="E68" t="s">
        <v>83</v>
      </c>
      <c r="F68" t="s">
        <v>84</v>
      </c>
      <c r="G68" s="5">
        <v>328</v>
      </c>
      <c r="H68" s="1">
        <v>45047</v>
      </c>
      <c r="I68" s="1">
        <v>45147</v>
      </c>
      <c r="J68" t="s">
        <v>155</v>
      </c>
      <c r="K68">
        <v>43.689903999999999</v>
      </c>
      <c r="L68">
        <v>-96.779409000000001</v>
      </c>
      <c r="M68" t="s">
        <v>156</v>
      </c>
      <c r="N68">
        <v>0</v>
      </c>
      <c r="O68" t="s">
        <v>145</v>
      </c>
    </row>
    <row r="69" spans="1:18" x14ac:dyDescent="0.25">
      <c r="A69" t="s">
        <v>152</v>
      </c>
      <c r="B69" t="s">
        <v>153</v>
      </c>
      <c r="C69" t="s">
        <v>154</v>
      </c>
      <c r="D69" s="4" t="s">
        <v>108</v>
      </c>
      <c r="E69" t="s">
        <v>54</v>
      </c>
      <c r="F69" t="s">
        <v>55</v>
      </c>
      <c r="G69" s="5">
        <v>329</v>
      </c>
      <c r="H69" s="1">
        <v>45047</v>
      </c>
      <c r="I69" s="1">
        <v>45147</v>
      </c>
      <c r="J69" t="s">
        <v>155</v>
      </c>
      <c r="K69">
        <v>43.689903999999999</v>
      </c>
      <c r="L69">
        <v>-96.779409000000001</v>
      </c>
      <c r="M69" t="s">
        <v>156</v>
      </c>
      <c r="N69">
        <v>250</v>
      </c>
    </row>
    <row r="70" spans="1:18" x14ac:dyDescent="0.25">
      <c r="A70" t="s">
        <v>152</v>
      </c>
      <c r="B70" t="s">
        <v>153</v>
      </c>
      <c r="C70" t="s">
        <v>154</v>
      </c>
      <c r="D70" s="4" t="s">
        <v>162</v>
      </c>
      <c r="E70" t="s">
        <v>56</v>
      </c>
      <c r="F70" t="s">
        <v>57</v>
      </c>
      <c r="G70" s="5">
        <v>340</v>
      </c>
      <c r="H70" s="1">
        <v>45047</v>
      </c>
      <c r="I70" s="1">
        <v>45147</v>
      </c>
      <c r="J70" t="s">
        <v>155</v>
      </c>
      <c r="K70">
        <v>43.689903999999999</v>
      </c>
      <c r="L70">
        <v>-96.779409000000001</v>
      </c>
      <c r="M70" t="s">
        <v>156</v>
      </c>
      <c r="N70">
        <v>314</v>
      </c>
      <c r="P70">
        <v>133</v>
      </c>
      <c r="Q70">
        <v>43</v>
      </c>
      <c r="R70">
        <v>32</v>
      </c>
    </row>
    <row r="71" spans="1:18" x14ac:dyDescent="0.25">
      <c r="A71" t="s">
        <v>152</v>
      </c>
      <c r="B71" t="s">
        <v>153</v>
      </c>
      <c r="C71" t="s">
        <v>154</v>
      </c>
      <c r="D71" s="4" t="s">
        <v>163</v>
      </c>
      <c r="E71" t="s">
        <v>105</v>
      </c>
      <c r="F71" t="s">
        <v>59</v>
      </c>
      <c r="G71" s="5">
        <v>556</v>
      </c>
      <c r="H71" s="1">
        <v>45047</v>
      </c>
      <c r="I71" s="1">
        <v>45147</v>
      </c>
      <c r="J71" t="s">
        <v>155</v>
      </c>
      <c r="K71">
        <v>43.689903999999999</v>
      </c>
      <c r="L71">
        <v>-96.779409000000001</v>
      </c>
      <c r="M71" t="s">
        <v>156</v>
      </c>
      <c r="N71">
        <v>0</v>
      </c>
      <c r="O71" t="s">
        <v>145</v>
      </c>
    </row>
    <row r="72" spans="1:18" x14ac:dyDescent="0.25">
      <c r="A72" t="s">
        <v>152</v>
      </c>
      <c r="B72" t="s">
        <v>153</v>
      </c>
      <c r="C72" t="s">
        <v>154</v>
      </c>
      <c r="D72" s="4" t="s">
        <v>164</v>
      </c>
      <c r="E72" t="s">
        <v>54</v>
      </c>
      <c r="F72" t="s">
        <v>55</v>
      </c>
      <c r="G72" s="5">
        <v>329</v>
      </c>
      <c r="H72" s="1">
        <v>45432</v>
      </c>
      <c r="I72" s="1">
        <v>45555</v>
      </c>
      <c r="J72" t="s">
        <v>155</v>
      </c>
      <c r="K72">
        <v>43.692777999999997</v>
      </c>
      <c r="L72">
        <v>-96.773408000000003</v>
      </c>
      <c r="M72" t="s">
        <v>156</v>
      </c>
      <c r="N72">
        <v>56</v>
      </c>
      <c r="P72">
        <v>204</v>
      </c>
      <c r="Q72">
        <v>47</v>
      </c>
      <c r="R72">
        <v>33</v>
      </c>
    </row>
    <row r="73" spans="1:18" x14ac:dyDescent="0.25">
      <c r="A73" t="s">
        <v>152</v>
      </c>
      <c r="B73" t="s">
        <v>153</v>
      </c>
      <c r="C73" t="s">
        <v>154</v>
      </c>
      <c r="D73" s="4" t="s">
        <v>164</v>
      </c>
      <c r="E73" t="s">
        <v>56</v>
      </c>
      <c r="F73" t="s">
        <v>57</v>
      </c>
      <c r="G73" s="5">
        <v>340</v>
      </c>
      <c r="H73" s="1">
        <v>45432</v>
      </c>
      <c r="I73" s="1">
        <v>45555</v>
      </c>
      <c r="J73" t="s">
        <v>155</v>
      </c>
      <c r="K73">
        <v>43.692777999999997</v>
      </c>
      <c r="L73">
        <v>-96.773408000000003</v>
      </c>
      <c r="M73" t="s">
        <v>156</v>
      </c>
      <c r="N73">
        <v>56</v>
      </c>
      <c r="P73">
        <v>469</v>
      </c>
      <c r="Q73">
        <v>158</v>
      </c>
      <c r="R73">
        <v>113</v>
      </c>
    </row>
    <row r="74" spans="1:18" x14ac:dyDescent="0.25">
      <c r="A74" t="s">
        <v>152</v>
      </c>
      <c r="B74" t="s">
        <v>153</v>
      </c>
      <c r="C74" t="s">
        <v>154</v>
      </c>
      <c r="D74" s="4" t="s">
        <v>164</v>
      </c>
      <c r="E74" t="s">
        <v>105</v>
      </c>
      <c r="F74" t="s">
        <v>59</v>
      </c>
      <c r="G74" s="5">
        <v>556</v>
      </c>
      <c r="H74" s="1">
        <v>45413</v>
      </c>
      <c r="I74" s="1">
        <v>45555</v>
      </c>
      <c r="J74" t="s">
        <v>155</v>
      </c>
      <c r="K74">
        <v>43.692777999999997</v>
      </c>
      <c r="L74">
        <v>-96.773408000000003</v>
      </c>
      <c r="M74" t="s">
        <v>156</v>
      </c>
      <c r="N74">
        <v>56</v>
      </c>
    </row>
    <row r="75" spans="1:18" x14ac:dyDescent="0.25">
      <c r="A75" t="s">
        <v>165</v>
      </c>
      <c r="B75" t="s">
        <v>166</v>
      </c>
      <c r="C75" t="s">
        <v>167</v>
      </c>
      <c r="D75" s="4">
        <v>2021110</v>
      </c>
      <c r="E75" t="s">
        <v>54</v>
      </c>
      <c r="F75" t="s">
        <v>55</v>
      </c>
      <c r="G75" s="5">
        <v>329</v>
      </c>
      <c r="H75" s="1">
        <v>44470</v>
      </c>
      <c r="I75" s="1">
        <v>44742</v>
      </c>
      <c r="J75" t="s">
        <v>168</v>
      </c>
      <c r="K75">
        <v>45.649925000000003</v>
      </c>
      <c r="L75">
        <v>-97.611886999999996</v>
      </c>
      <c r="M75" t="s">
        <v>169</v>
      </c>
      <c r="N75">
        <v>117</v>
      </c>
      <c r="P75">
        <v>289</v>
      </c>
      <c r="Q75">
        <v>67</v>
      </c>
      <c r="R75">
        <v>48</v>
      </c>
    </row>
    <row r="76" spans="1:18" x14ac:dyDescent="0.25">
      <c r="A76" t="s">
        <v>165</v>
      </c>
      <c r="B76" t="s">
        <v>166</v>
      </c>
      <c r="C76" t="s">
        <v>167</v>
      </c>
      <c r="D76" s="4">
        <v>2021110</v>
      </c>
      <c r="E76" t="s">
        <v>56</v>
      </c>
      <c r="F76" t="s">
        <v>57</v>
      </c>
      <c r="G76" s="5">
        <v>340</v>
      </c>
      <c r="H76" s="1">
        <v>44470</v>
      </c>
      <c r="I76" s="1">
        <v>44480</v>
      </c>
      <c r="J76" t="s">
        <v>168</v>
      </c>
      <c r="K76">
        <v>45.649925000000003</v>
      </c>
      <c r="L76">
        <v>-97.611886999999996</v>
      </c>
      <c r="M76" t="s">
        <v>169</v>
      </c>
      <c r="N76">
        <v>117</v>
      </c>
      <c r="P76">
        <v>672</v>
      </c>
      <c r="Q76">
        <v>226</v>
      </c>
      <c r="R76">
        <v>164</v>
      </c>
    </row>
    <row r="77" spans="1:18" x14ac:dyDescent="0.25">
      <c r="A77" t="s">
        <v>165</v>
      </c>
      <c r="B77" t="s">
        <v>166</v>
      </c>
      <c r="C77" t="s">
        <v>167</v>
      </c>
      <c r="D77" s="4">
        <v>2021110</v>
      </c>
      <c r="E77" t="s">
        <v>105</v>
      </c>
      <c r="F77" t="s">
        <v>59</v>
      </c>
      <c r="G77" s="5">
        <v>556</v>
      </c>
      <c r="H77" s="1">
        <v>44470</v>
      </c>
      <c r="I77" s="1">
        <v>45147</v>
      </c>
      <c r="J77" t="s">
        <v>168</v>
      </c>
      <c r="K77">
        <v>45.649925000000003</v>
      </c>
      <c r="L77">
        <v>-97.611886999999996</v>
      </c>
      <c r="M77" t="s">
        <v>169</v>
      </c>
      <c r="N77">
        <v>117</v>
      </c>
    </row>
    <row r="78" spans="1:18" x14ac:dyDescent="0.25">
      <c r="A78" t="s">
        <v>170</v>
      </c>
      <c r="B78" t="s">
        <v>171</v>
      </c>
      <c r="C78" t="s">
        <v>172</v>
      </c>
      <c r="D78" s="4">
        <v>20211007</v>
      </c>
      <c r="E78" t="s">
        <v>54</v>
      </c>
      <c r="F78" t="s">
        <v>55</v>
      </c>
      <c r="G78" s="5">
        <v>329</v>
      </c>
      <c r="H78" s="1">
        <v>44713</v>
      </c>
      <c r="I78" s="1">
        <v>45154</v>
      </c>
      <c r="J78" t="s">
        <v>173</v>
      </c>
      <c r="K78">
        <v>45.132477000000002</v>
      </c>
      <c r="L78">
        <v>-96.797469000000007</v>
      </c>
      <c r="M78" t="s">
        <v>174</v>
      </c>
      <c r="N78">
        <v>160</v>
      </c>
      <c r="P78">
        <v>259</v>
      </c>
      <c r="Q78">
        <v>51</v>
      </c>
      <c r="R78">
        <v>33</v>
      </c>
    </row>
    <row r="79" spans="1:18" x14ac:dyDescent="0.25">
      <c r="A79" t="s">
        <v>170</v>
      </c>
      <c r="B79" t="s">
        <v>171</v>
      </c>
      <c r="C79" t="s">
        <v>172</v>
      </c>
      <c r="D79" s="4">
        <v>20211007</v>
      </c>
      <c r="E79" t="s">
        <v>56</v>
      </c>
      <c r="F79" t="s">
        <v>57</v>
      </c>
      <c r="G79" s="5">
        <v>340</v>
      </c>
      <c r="H79" s="1">
        <v>44713</v>
      </c>
      <c r="I79" s="1">
        <v>45154</v>
      </c>
      <c r="J79" t="s">
        <v>173</v>
      </c>
      <c r="K79">
        <v>45.132477000000002</v>
      </c>
      <c r="L79">
        <v>-96.797469000000007</v>
      </c>
      <c r="M79" t="s">
        <v>174</v>
      </c>
      <c r="N79">
        <v>143</v>
      </c>
      <c r="P79">
        <v>163</v>
      </c>
      <c r="Q79">
        <v>55</v>
      </c>
      <c r="R79">
        <v>38</v>
      </c>
    </row>
    <row r="80" spans="1:18" x14ac:dyDescent="0.25">
      <c r="A80" t="s">
        <v>170</v>
      </c>
      <c r="B80" t="s">
        <v>171</v>
      </c>
      <c r="C80" t="s">
        <v>172</v>
      </c>
      <c r="D80" s="4">
        <v>20211007</v>
      </c>
      <c r="E80" t="s">
        <v>132</v>
      </c>
      <c r="F80" t="s">
        <v>133</v>
      </c>
      <c r="H80" s="1">
        <v>44713</v>
      </c>
      <c r="I80" s="1">
        <v>45146</v>
      </c>
      <c r="J80" t="s">
        <v>173</v>
      </c>
      <c r="K80">
        <v>45.132477000000002</v>
      </c>
      <c r="L80">
        <v>-96.797469000000007</v>
      </c>
      <c r="M80" t="s">
        <v>174</v>
      </c>
      <c r="N80">
        <v>0</v>
      </c>
      <c r="O80" t="s">
        <v>145</v>
      </c>
      <c r="P80">
        <v>198</v>
      </c>
      <c r="Q80">
        <v>40</v>
      </c>
      <c r="R80">
        <v>26</v>
      </c>
    </row>
    <row r="81" spans="1:18" x14ac:dyDescent="0.25">
      <c r="A81" t="s">
        <v>175</v>
      </c>
      <c r="B81" t="s">
        <v>176</v>
      </c>
      <c r="C81" t="s">
        <v>177</v>
      </c>
      <c r="D81" s="4" t="s">
        <v>180</v>
      </c>
      <c r="E81" t="s">
        <v>56</v>
      </c>
      <c r="F81" t="s">
        <v>57</v>
      </c>
      <c r="G81" s="5">
        <v>340</v>
      </c>
      <c r="H81" s="1">
        <v>44470</v>
      </c>
      <c r="I81" s="1">
        <v>44505</v>
      </c>
      <c r="J81" t="s">
        <v>178</v>
      </c>
      <c r="K81">
        <v>42.983561000000002</v>
      </c>
      <c r="L81">
        <v>-98.013389000000004</v>
      </c>
      <c r="M81" t="s">
        <v>179</v>
      </c>
      <c r="N81">
        <v>0</v>
      </c>
      <c r="O81" t="s">
        <v>145</v>
      </c>
      <c r="P81">
        <v>405</v>
      </c>
      <c r="Q81">
        <v>141</v>
      </c>
      <c r="R81">
        <v>103</v>
      </c>
    </row>
    <row r="82" spans="1:18" x14ac:dyDescent="0.25">
      <c r="A82" t="s">
        <v>181</v>
      </c>
      <c r="B82" t="s">
        <v>182</v>
      </c>
      <c r="C82" t="s">
        <v>183</v>
      </c>
      <c r="D82" s="4" t="s">
        <v>184</v>
      </c>
      <c r="E82" t="s">
        <v>56</v>
      </c>
      <c r="F82" t="s">
        <v>57</v>
      </c>
      <c r="G82" s="5">
        <v>340</v>
      </c>
      <c r="H82" s="1">
        <v>44378</v>
      </c>
      <c r="I82" s="1">
        <v>44530</v>
      </c>
      <c r="J82" t="s">
        <v>139</v>
      </c>
      <c r="K82">
        <v>42.954563999999998</v>
      </c>
      <c r="L82">
        <v>-97.356232000000006</v>
      </c>
      <c r="M82" t="s">
        <v>137</v>
      </c>
      <c r="N82">
        <v>0</v>
      </c>
      <c r="O82" t="s">
        <v>145</v>
      </c>
      <c r="P82">
        <v>1364</v>
      </c>
      <c r="Q82">
        <v>463</v>
      </c>
      <c r="R82">
        <v>330</v>
      </c>
    </row>
    <row r="83" spans="1:18" x14ac:dyDescent="0.25">
      <c r="A83" t="s">
        <v>185</v>
      </c>
      <c r="B83" t="s">
        <v>186</v>
      </c>
      <c r="C83" t="s">
        <v>187</v>
      </c>
      <c r="D83" s="4" t="s">
        <v>190</v>
      </c>
      <c r="E83" t="s">
        <v>54</v>
      </c>
      <c r="F83" t="s">
        <v>55</v>
      </c>
      <c r="G83" s="5">
        <v>329</v>
      </c>
      <c r="H83" s="1">
        <v>44753</v>
      </c>
      <c r="I83" s="1">
        <v>44850</v>
      </c>
      <c r="J83" t="s">
        <v>188</v>
      </c>
      <c r="K83">
        <v>43.916442000000004</v>
      </c>
      <c r="L83">
        <v>-97.696316999999993</v>
      </c>
      <c r="M83" t="s">
        <v>189</v>
      </c>
      <c r="N83">
        <v>0</v>
      </c>
      <c r="O83" t="s">
        <v>145</v>
      </c>
      <c r="P83">
        <v>154</v>
      </c>
      <c r="Q83">
        <v>23</v>
      </c>
      <c r="R83">
        <v>13</v>
      </c>
    </row>
    <row r="84" spans="1:18" x14ac:dyDescent="0.25">
      <c r="A84" t="s">
        <v>185</v>
      </c>
      <c r="B84" t="s">
        <v>186</v>
      </c>
      <c r="C84" t="s">
        <v>187</v>
      </c>
      <c r="D84" s="4" t="s">
        <v>190</v>
      </c>
      <c r="E84" t="s">
        <v>56</v>
      </c>
      <c r="F84" t="s">
        <v>57</v>
      </c>
      <c r="G84" s="5">
        <v>340</v>
      </c>
      <c r="H84" s="1">
        <v>44753</v>
      </c>
      <c r="I84" s="1">
        <v>44850</v>
      </c>
      <c r="J84" t="s">
        <v>188</v>
      </c>
      <c r="K84">
        <v>43.916442000000004</v>
      </c>
      <c r="L84">
        <v>-97.696316999999993</v>
      </c>
      <c r="M84" t="s">
        <v>189</v>
      </c>
      <c r="N84">
        <v>0</v>
      </c>
      <c r="O84" t="s">
        <v>145</v>
      </c>
      <c r="P84">
        <v>280</v>
      </c>
      <c r="Q84">
        <v>83</v>
      </c>
      <c r="R84">
        <v>50</v>
      </c>
    </row>
    <row r="85" spans="1:18" x14ac:dyDescent="0.25">
      <c r="A85" t="s">
        <v>185</v>
      </c>
      <c r="B85" t="s">
        <v>166</v>
      </c>
      <c r="C85" t="s">
        <v>187</v>
      </c>
      <c r="D85" s="4" t="s">
        <v>191</v>
      </c>
      <c r="E85" t="s">
        <v>54</v>
      </c>
      <c r="F85" t="s">
        <v>55</v>
      </c>
      <c r="G85" s="5">
        <v>329</v>
      </c>
      <c r="H85" s="1">
        <v>44805</v>
      </c>
      <c r="I85" s="1">
        <v>44873</v>
      </c>
      <c r="J85" t="s">
        <v>188</v>
      </c>
      <c r="K85">
        <v>43.874657999999997</v>
      </c>
      <c r="L85">
        <v>-97.632651999999993</v>
      </c>
      <c r="M85" t="s">
        <v>189</v>
      </c>
      <c r="N85">
        <v>0</v>
      </c>
      <c r="O85" t="s">
        <v>145</v>
      </c>
      <c r="P85">
        <v>271</v>
      </c>
      <c r="Q85">
        <v>39</v>
      </c>
      <c r="R85">
        <v>20</v>
      </c>
    </row>
    <row r="86" spans="1:18" x14ac:dyDescent="0.25">
      <c r="A86" t="s">
        <v>185</v>
      </c>
      <c r="B86" t="s">
        <v>166</v>
      </c>
      <c r="C86" t="s">
        <v>187</v>
      </c>
      <c r="D86" s="4" t="s">
        <v>191</v>
      </c>
      <c r="E86" t="s">
        <v>56</v>
      </c>
      <c r="F86" t="s">
        <v>57</v>
      </c>
      <c r="G86" s="5">
        <v>340</v>
      </c>
      <c r="H86" s="1">
        <v>44805</v>
      </c>
      <c r="I86" s="1">
        <v>44873</v>
      </c>
      <c r="J86" t="s">
        <v>188</v>
      </c>
      <c r="K86">
        <v>43.874657999999997</v>
      </c>
      <c r="L86">
        <v>-97.632651999999993</v>
      </c>
      <c r="M86" t="s">
        <v>189</v>
      </c>
      <c r="N86">
        <v>0</v>
      </c>
      <c r="O86" t="s">
        <v>145</v>
      </c>
      <c r="P86">
        <v>480</v>
      </c>
      <c r="Q86">
        <v>141</v>
      </c>
      <c r="R86">
        <v>81</v>
      </c>
    </row>
    <row r="87" spans="1:18" x14ac:dyDescent="0.25">
      <c r="A87" t="s">
        <v>185</v>
      </c>
      <c r="B87" t="s">
        <v>67</v>
      </c>
      <c r="C87" t="s">
        <v>187</v>
      </c>
      <c r="D87" s="4" t="s">
        <v>193</v>
      </c>
      <c r="E87" t="s">
        <v>54</v>
      </c>
      <c r="F87" t="s">
        <v>55</v>
      </c>
      <c r="G87" s="5">
        <v>329</v>
      </c>
      <c r="H87" s="1">
        <v>44743</v>
      </c>
      <c r="I87" s="1">
        <v>44867</v>
      </c>
      <c r="J87" t="s">
        <v>188</v>
      </c>
      <c r="K87">
        <v>43.859940999999999</v>
      </c>
      <c r="L87">
        <v>-97.615333000000007</v>
      </c>
      <c r="M87" t="s">
        <v>192</v>
      </c>
      <c r="N87">
        <v>0</v>
      </c>
      <c r="O87" t="s">
        <v>145</v>
      </c>
      <c r="P87">
        <v>272</v>
      </c>
      <c r="Q87">
        <v>40</v>
      </c>
      <c r="R87">
        <v>21</v>
      </c>
    </row>
    <row r="88" spans="1:18" x14ac:dyDescent="0.25">
      <c r="A88" t="s">
        <v>185</v>
      </c>
      <c r="B88" t="s">
        <v>67</v>
      </c>
      <c r="C88" t="s">
        <v>187</v>
      </c>
      <c r="D88" s="4" t="s">
        <v>193</v>
      </c>
      <c r="E88" t="s">
        <v>56</v>
      </c>
      <c r="F88" t="s">
        <v>57</v>
      </c>
      <c r="G88" s="5">
        <v>340</v>
      </c>
      <c r="H88" s="1">
        <v>44743</v>
      </c>
      <c r="I88" s="1">
        <v>44867</v>
      </c>
      <c r="J88" t="s">
        <v>188</v>
      </c>
      <c r="K88">
        <v>43.859940999999999</v>
      </c>
      <c r="L88">
        <v>-97.615333000000007</v>
      </c>
      <c r="M88" t="s">
        <v>192</v>
      </c>
      <c r="N88">
        <v>0</v>
      </c>
      <c r="O88" t="s">
        <v>145</v>
      </c>
      <c r="P88">
        <v>485</v>
      </c>
      <c r="Q88">
        <v>142</v>
      </c>
      <c r="R88">
        <v>83</v>
      </c>
    </row>
    <row r="89" spans="1:18" x14ac:dyDescent="0.25">
      <c r="A89" t="s">
        <v>194</v>
      </c>
      <c r="B89" t="s">
        <v>195</v>
      </c>
      <c r="C89" t="s">
        <v>196</v>
      </c>
      <c r="D89" s="4">
        <v>2014</v>
      </c>
      <c r="E89" t="s">
        <v>54</v>
      </c>
      <c r="F89" t="s">
        <v>55</v>
      </c>
      <c r="G89" s="5">
        <v>329</v>
      </c>
      <c r="H89" s="1">
        <v>44774</v>
      </c>
      <c r="I89" s="1">
        <v>44819</v>
      </c>
      <c r="J89" t="s">
        <v>197</v>
      </c>
      <c r="K89">
        <v>43.311056000000001</v>
      </c>
      <c r="L89">
        <v>-97.175206000000003</v>
      </c>
      <c r="M89" t="s">
        <v>100</v>
      </c>
      <c r="N89">
        <v>0</v>
      </c>
      <c r="O89" t="s">
        <v>145</v>
      </c>
      <c r="P89">
        <v>282</v>
      </c>
      <c r="Q89">
        <v>46</v>
      </c>
      <c r="R89">
        <v>27</v>
      </c>
    </row>
    <row r="90" spans="1:18" x14ac:dyDescent="0.25">
      <c r="A90" t="s">
        <v>194</v>
      </c>
      <c r="B90" t="s">
        <v>195</v>
      </c>
      <c r="C90" t="s">
        <v>196</v>
      </c>
      <c r="D90" s="4">
        <v>2014</v>
      </c>
      <c r="E90" t="s">
        <v>56</v>
      </c>
      <c r="F90" t="s">
        <v>57</v>
      </c>
      <c r="G90" s="5">
        <v>340</v>
      </c>
      <c r="H90" s="1">
        <v>44774</v>
      </c>
      <c r="I90" s="1">
        <v>44819</v>
      </c>
      <c r="J90" t="s">
        <v>197</v>
      </c>
      <c r="K90">
        <v>43.311056000000001</v>
      </c>
      <c r="L90">
        <v>-97.175206000000003</v>
      </c>
      <c r="M90" t="s">
        <v>100</v>
      </c>
      <c r="N90">
        <v>0</v>
      </c>
      <c r="O90" t="s">
        <v>145</v>
      </c>
      <c r="P90">
        <v>547</v>
      </c>
      <c r="Q90">
        <v>168</v>
      </c>
      <c r="R90">
        <v>105</v>
      </c>
    </row>
    <row r="91" spans="1:18" x14ac:dyDescent="0.25">
      <c r="A91" t="s">
        <v>194</v>
      </c>
      <c r="B91" t="s">
        <v>198</v>
      </c>
      <c r="C91" t="s">
        <v>199</v>
      </c>
      <c r="D91" s="4">
        <v>2015</v>
      </c>
      <c r="E91" t="s">
        <v>54</v>
      </c>
      <c r="F91" t="s">
        <v>55</v>
      </c>
      <c r="G91" s="5">
        <v>329</v>
      </c>
      <c r="H91" s="1">
        <v>44799</v>
      </c>
      <c r="I91" s="1">
        <v>44826</v>
      </c>
      <c r="J91" t="s">
        <v>200</v>
      </c>
      <c r="K91">
        <v>43.296892</v>
      </c>
      <c r="L91">
        <v>-97.107156000000003</v>
      </c>
      <c r="M91" t="s">
        <v>100</v>
      </c>
      <c r="N91">
        <v>0</v>
      </c>
      <c r="O91" t="s">
        <v>145</v>
      </c>
      <c r="P91">
        <v>822</v>
      </c>
      <c r="Q91">
        <v>156</v>
      </c>
      <c r="R91">
        <v>99</v>
      </c>
    </row>
    <row r="92" spans="1:18" x14ac:dyDescent="0.25">
      <c r="A92" t="s">
        <v>194</v>
      </c>
      <c r="B92" t="s">
        <v>198</v>
      </c>
      <c r="C92" t="s">
        <v>199</v>
      </c>
      <c r="D92" s="4">
        <v>2015</v>
      </c>
      <c r="E92" t="s">
        <v>56</v>
      </c>
      <c r="F92" t="s">
        <v>57</v>
      </c>
      <c r="G92" s="5">
        <v>340</v>
      </c>
      <c r="H92" s="1">
        <v>44799</v>
      </c>
      <c r="I92" s="1">
        <v>44826</v>
      </c>
      <c r="J92" t="s">
        <v>200</v>
      </c>
      <c r="K92">
        <v>43.296892</v>
      </c>
      <c r="L92">
        <v>-97.107156000000003</v>
      </c>
      <c r="M92" t="s">
        <v>100</v>
      </c>
      <c r="N92">
        <v>0</v>
      </c>
      <c r="O92" t="s">
        <v>145</v>
      </c>
      <c r="P92">
        <v>1789</v>
      </c>
      <c r="Q92">
        <v>579</v>
      </c>
      <c r="R92">
        <v>390</v>
      </c>
    </row>
    <row r="93" spans="1:18" x14ac:dyDescent="0.25">
      <c r="A93" t="s">
        <v>194</v>
      </c>
      <c r="B93" t="s">
        <v>201</v>
      </c>
      <c r="C93" t="s">
        <v>202</v>
      </c>
      <c r="D93" s="4">
        <v>2007</v>
      </c>
      <c r="E93" t="s">
        <v>54</v>
      </c>
      <c r="F93" t="s">
        <v>55</v>
      </c>
      <c r="G93" s="5">
        <v>329</v>
      </c>
      <c r="H93" s="1">
        <v>44722</v>
      </c>
      <c r="I93" s="1">
        <v>44767</v>
      </c>
      <c r="J93" t="s">
        <v>99</v>
      </c>
      <c r="K93">
        <v>43.348407999999999</v>
      </c>
      <c r="L93">
        <v>-97.343086999999997</v>
      </c>
      <c r="M93" t="s">
        <v>203</v>
      </c>
      <c r="N93">
        <v>0</v>
      </c>
      <c r="O93" t="s">
        <v>145</v>
      </c>
      <c r="P93">
        <v>196.8</v>
      </c>
      <c r="Q93">
        <v>45.5</v>
      </c>
      <c r="R93">
        <v>31.8</v>
      </c>
    </row>
    <row r="94" spans="1:18" x14ac:dyDescent="0.25">
      <c r="A94" t="s">
        <v>194</v>
      </c>
      <c r="B94" t="s">
        <v>201</v>
      </c>
      <c r="C94" t="s">
        <v>202</v>
      </c>
      <c r="D94" s="4">
        <v>2007</v>
      </c>
      <c r="E94" t="s">
        <v>56</v>
      </c>
      <c r="F94" t="s">
        <v>57</v>
      </c>
      <c r="G94" s="5">
        <v>340</v>
      </c>
      <c r="H94" s="1">
        <v>44725</v>
      </c>
      <c r="I94" s="1">
        <v>44879</v>
      </c>
      <c r="J94" t="s">
        <v>99</v>
      </c>
      <c r="K94">
        <v>43.348407999999999</v>
      </c>
      <c r="L94">
        <v>-97.343086999999997</v>
      </c>
      <c r="M94" t="s">
        <v>203</v>
      </c>
      <c r="N94">
        <v>0</v>
      </c>
      <c r="O94" t="s">
        <v>145</v>
      </c>
      <c r="P94">
        <v>500.9</v>
      </c>
      <c r="Q94">
        <v>172.3</v>
      </c>
      <c r="R94">
        <v>124.8</v>
      </c>
    </row>
    <row r="95" spans="1:18" x14ac:dyDescent="0.25">
      <c r="A95" t="s">
        <v>194</v>
      </c>
      <c r="B95" t="s">
        <v>201</v>
      </c>
      <c r="C95" t="s">
        <v>202</v>
      </c>
      <c r="D95" s="4">
        <v>2008</v>
      </c>
      <c r="E95" t="s">
        <v>54</v>
      </c>
      <c r="F95" t="s">
        <v>55</v>
      </c>
      <c r="G95" s="5">
        <v>329</v>
      </c>
      <c r="H95" s="1">
        <v>44743</v>
      </c>
      <c r="I95" s="1">
        <v>44746</v>
      </c>
      <c r="J95" t="s">
        <v>99</v>
      </c>
      <c r="K95">
        <v>43.348407999999999</v>
      </c>
      <c r="L95">
        <v>-97.343086999999997</v>
      </c>
      <c r="M95" t="s">
        <v>203</v>
      </c>
      <c r="N95">
        <v>0</v>
      </c>
      <c r="O95" t="s">
        <v>145</v>
      </c>
      <c r="P95">
        <v>140.30000000000001</v>
      </c>
      <c r="Q95">
        <v>32.9</v>
      </c>
      <c r="R95">
        <v>23.2</v>
      </c>
    </row>
    <row r="96" spans="1:18" x14ac:dyDescent="0.25">
      <c r="A96" t="s">
        <v>194</v>
      </c>
      <c r="B96" t="s">
        <v>201</v>
      </c>
      <c r="C96" t="s">
        <v>202</v>
      </c>
      <c r="D96" s="4">
        <v>2008</v>
      </c>
      <c r="E96" t="s">
        <v>56</v>
      </c>
      <c r="F96" t="s">
        <v>57</v>
      </c>
      <c r="G96" s="5">
        <v>340</v>
      </c>
      <c r="H96" s="1">
        <v>44805</v>
      </c>
      <c r="I96" s="1">
        <v>44819</v>
      </c>
      <c r="J96" t="s">
        <v>99</v>
      </c>
      <c r="K96">
        <v>43.348407999999999</v>
      </c>
      <c r="L96">
        <v>-97.343086999999997</v>
      </c>
      <c r="M96" t="s">
        <v>203</v>
      </c>
      <c r="N96">
        <v>0</v>
      </c>
      <c r="O96" t="s">
        <v>145</v>
      </c>
      <c r="P96">
        <v>361.7</v>
      </c>
      <c r="Q96">
        <v>124.9</v>
      </c>
      <c r="R96">
        <v>90.9</v>
      </c>
    </row>
    <row r="97" spans="1:18" x14ac:dyDescent="0.25">
      <c r="A97" t="s">
        <v>194</v>
      </c>
      <c r="B97" t="s">
        <v>201</v>
      </c>
      <c r="C97" t="s">
        <v>202</v>
      </c>
      <c r="D97" s="4">
        <v>2009</v>
      </c>
      <c r="E97" t="s">
        <v>54</v>
      </c>
      <c r="F97" t="s">
        <v>55</v>
      </c>
      <c r="G97" s="5">
        <v>329</v>
      </c>
      <c r="H97" s="1">
        <v>44774</v>
      </c>
      <c r="I97" s="1">
        <v>44788</v>
      </c>
      <c r="J97" t="s">
        <v>99</v>
      </c>
      <c r="K97">
        <v>43.348407999999999</v>
      </c>
      <c r="L97">
        <v>-97.343086999999997</v>
      </c>
      <c r="M97" t="s">
        <v>203</v>
      </c>
      <c r="N97">
        <v>0</v>
      </c>
      <c r="O97" t="s">
        <v>145</v>
      </c>
      <c r="P97">
        <v>116.7</v>
      </c>
      <c r="Q97">
        <v>27.6</v>
      </c>
      <c r="R97">
        <v>19.5</v>
      </c>
    </row>
    <row r="98" spans="1:18" x14ac:dyDescent="0.25">
      <c r="A98" t="s">
        <v>194</v>
      </c>
      <c r="B98" t="s">
        <v>201</v>
      </c>
      <c r="C98" t="s">
        <v>202</v>
      </c>
      <c r="D98" s="4">
        <v>2009</v>
      </c>
      <c r="E98" t="s">
        <v>56</v>
      </c>
      <c r="F98" t="s">
        <v>57</v>
      </c>
      <c r="G98" s="5">
        <v>340</v>
      </c>
      <c r="H98" s="1">
        <v>44774</v>
      </c>
      <c r="I98" s="1">
        <v>44788</v>
      </c>
      <c r="J98" t="s">
        <v>99</v>
      </c>
      <c r="K98">
        <v>43.348407999999999</v>
      </c>
      <c r="L98">
        <v>-97.343086999999997</v>
      </c>
      <c r="M98" t="s">
        <v>203</v>
      </c>
      <c r="N98">
        <v>0</v>
      </c>
      <c r="O98" t="s">
        <v>145</v>
      </c>
      <c r="P98">
        <v>302.8</v>
      </c>
      <c r="Q98">
        <v>104.8</v>
      </c>
      <c r="R98">
        <v>76.400000000000006</v>
      </c>
    </row>
    <row r="99" spans="1:18" x14ac:dyDescent="0.25">
      <c r="A99" t="s">
        <v>204</v>
      </c>
      <c r="B99" t="s">
        <v>205</v>
      </c>
      <c r="C99" t="s">
        <v>206</v>
      </c>
      <c r="D99" s="4">
        <v>2021915</v>
      </c>
      <c r="E99" t="s">
        <v>54</v>
      </c>
      <c r="F99" t="s">
        <v>55</v>
      </c>
      <c r="G99" s="5">
        <v>329</v>
      </c>
      <c r="H99" s="1">
        <v>44317</v>
      </c>
      <c r="I99" s="1">
        <v>44423</v>
      </c>
      <c r="J99" t="s">
        <v>207</v>
      </c>
      <c r="K99">
        <v>44.437491000000001</v>
      </c>
      <c r="L99">
        <v>-103.22508500000001</v>
      </c>
      <c r="M99" t="s">
        <v>208</v>
      </c>
      <c r="N99">
        <v>230</v>
      </c>
      <c r="P99">
        <v>727</v>
      </c>
      <c r="Q99">
        <v>235</v>
      </c>
      <c r="R99">
        <v>174</v>
      </c>
    </row>
    <row r="100" spans="1:18" x14ac:dyDescent="0.25">
      <c r="A100" t="s">
        <v>204</v>
      </c>
      <c r="B100" t="s">
        <v>205</v>
      </c>
      <c r="C100" t="s">
        <v>206</v>
      </c>
      <c r="D100" s="4">
        <v>2021915</v>
      </c>
      <c r="E100" t="s">
        <v>56</v>
      </c>
      <c r="F100" t="s">
        <v>57</v>
      </c>
      <c r="G100" s="5">
        <v>340</v>
      </c>
      <c r="H100" s="1">
        <v>44317</v>
      </c>
      <c r="I100" s="1">
        <v>44423</v>
      </c>
      <c r="J100" t="s">
        <v>207</v>
      </c>
      <c r="K100">
        <v>44.437491000000001</v>
      </c>
      <c r="L100">
        <v>-103.22508500000001</v>
      </c>
      <c r="M100" t="s">
        <v>208</v>
      </c>
      <c r="N100">
        <v>230</v>
      </c>
      <c r="P100">
        <v>906</v>
      </c>
      <c r="Q100">
        <v>314</v>
      </c>
      <c r="R100">
        <v>233</v>
      </c>
    </row>
    <row r="101" spans="1:18" x14ac:dyDescent="0.25">
      <c r="A101" t="s">
        <v>204</v>
      </c>
      <c r="B101" t="s">
        <v>205</v>
      </c>
      <c r="C101" t="s">
        <v>206</v>
      </c>
      <c r="D101" s="4">
        <v>2021915</v>
      </c>
      <c r="E101" t="s">
        <v>105</v>
      </c>
      <c r="F101" t="s">
        <v>59</v>
      </c>
      <c r="G101" s="5">
        <v>556</v>
      </c>
      <c r="H101" s="1">
        <v>44317</v>
      </c>
      <c r="I101" s="1">
        <v>44423</v>
      </c>
      <c r="J101" t="s">
        <v>207</v>
      </c>
      <c r="K101">
        <v>44.437491000000001</v>
      </c>
      <c r="L101">
        <v>-103.22508500000001</v>
      </c>
      <c r="M101" t="s">
        <v>208</v>
      </c>
      <c r="N101">
        <v>230</v>
      </c>
    </row>
    <row r="102" spans="1:18" x14ac:dyDescent="0.25">
      <c r="A102" t="s">
        <v>209</v>
      </c>
      <c r="B102" t="s">
        <v>210</v>
      </c>
      <c r="C102" t="s">
        <v>211</v>
      </c>
      <c r="D102" s="4" t="s">
        <v>213</v>
      </c>
      <c r="E102" t="s">
        <v>56</v>
      </c>
      <c r="F102" t="s">
        <v>57</v>
      </c>
      <c r="G102" s="5">
        <v>340</v>
      </c>
      <c r="H102" s="1">
        <v>44470</v>
      </c>
      <c r="I102" s="1">
        <v>44498</v>
      </c>
      <c r="J102" t="s">
        <v>212</v>
      </c>
      <c r="K102">
        <v>42.971603999999999</v>
      </c>
      <c r="L102">
        <v>-97.326511999999994</v>
      </c>
      <c r="N102">
        <v>170</v>
      </c>
      <c r="P102">
        <v>1243</v>
      </c>
      <c r="Q102">
        <v>413</v>
      </c>
      <c r="R102">
        <v>293</v>
      </c>
    </row>
    <row r="103" spans="1:18" x14ac:dyDescent="0.25">
      <c r="A103" t="s">
        <v>214</v>
      </c>
      <c r="B103" t="s">
        <v>215</v>
      </c>
      <c r="C103" t="s">
        <v>216</v>
      </c>
      <c r="D103" s="4">
        <v>2021003</v>
      </c>
      <c r="E103" t="s">
        <v>83</v>
      </c>
      <c r="F103" t="s">
        <v>84</v>
      </c>
      <c r="G103" s="5">
        <v>328</v>
      </c>
      <c r="H103" s="1">
        <v>44270</v>
      </c>
      <c r="I103" s="1">
        <v>44463</v>
      </c>
      <c r="J103" t="s">
        <v>217</v>
      </c>
      <c r="K103">
        <v>43.078023999999999</v>
      </c>
      <c r="L103">
        <v>-100.144284</v>
      </c>
      <c r="M103" t="s">
        <v>218</v>
      </c>
      <c r="N103">
        <v>70</v>
      </c>
    </row>
    <row r="104" spans="1:18" x14ac:dyDescent="0.25">
      <c r="A104" t="s">
        <v>214</v>
      </c>
      <c r="B104" t="s">
        <v>215</v>
      </c>
      <c r="C104" t="s">
        <v>216</v>
      </c>
      <c r="D104" s="4">
        <v>2021003</v>
      </c>
      <c r="E104" t="s">
        <v>54</v>
      </c>
      <c r="F104" t="s">
        <v>55</v>
      </c>
      <c r="G104" s="5">
        <v>329</v>
      </c>
      <c r="H104" s="1">
        <v>44317</v>
      </c>
      <c r="I104" s="1">
        <v>44409</v>
      </c>
      <c r="J104" t="s">
        <v>217</v>
      </c>
      <c r="K104">
        <v>43.078023999999999</v>
      </c>
      <c r="L104">
        <v>-100.144284</v>
      </c>
      <c r="M104" t="s">
        <v>218</v>
      </c>
      <c r="N104">
        <v>70</v>
      </c>
      <c r="P104">
        <v>230</v>
      </c>
      <c r="Q104">
        <v>59</v>
      </c>
      <c r="R104">
        <v>43</v>
      </c>
    </row>
    <row r="105" spans="1:18" x14ac:dyDescent="0.25">
      <c r="A105" t="s">
        <v>214</v>
      </c>
      <c r="B105" t="s">
        <v>215</v>
      </c>
      <c r="C105" t="s">
        <v>216</v>
      </c>
      <c r="D105" s="4">
        <v>2021003</v>
      </c>
      <c r="E105" t="s">
        <v>56</v>
      </c>
      <c r="F105" t="s">
        <v>57</v>
      </c>
      <c r="G105" s="5">
        <v>340</v>
      </c>
      <c r="H105" s="1">
        <v>44287</v>
      </c>
      <c r="I105" s="1">
        <v>44417</v>
      </c>
      <c r="J105" t="s">
        <v>217</v>
      </c>
      <c r="K105">
        <v>43.078023999999999</v>
      </c>
      <c r="L105">
        <v>-100.144284</v>
      </c>
      <c r="M105" t="s">
        <v>218</v>
      </c>
      <c r="N105">
        <v>70</v>
      </c>
      <c r="P105">
        <v>636</v>
      </c>
      <c r="Q105">
        <v>225</v>
      </c>
      <c r="R105">
        <v>167</v>
      </c>
    </row>
    <row r="106" spans="1:18" x14ac:dyDescent="0.25">
      <c r="A106" t="s">
        <v>214</v>
      </c>
      <c r="B106" t="s">
        <v>215</v>
      </c>
      <c r="C106" t="s">
        <v>216</v>
      </c>
      <c r="D106" s="4">
        <v>2021003</v>
      </c>
      <c r="E106" t="s">
        <v>105</v>
      </c>
      <c r="F106" t="s">
        <v>59</v>
      </c>
      <c r="G106" s="5">
        <v>556</v>
      </c>
      <c r="H106" s="1">
        <v>44317</v>
      </c>
      <c r="I106" s="1">
        <v>44409</v>
      </c>
      <c r="J106" t="s">
        <v>217</v>
      </c>
      <c r="K106">
        <v>43.078023999999999</v>
      </c>
      <c r="L106">
        <v>-100.144284</v>
      </c>
      <c r="M106" t="s">
        <v>218</v>
      </c>
      <c r="N106">
        <v>70</v>
      </c>
    </row>
    <row r="107" spans="1:18" x14ac:dyDescent="0.25">
      <c r="A107" t="s">
        <v>214</v>
      </c>
      <c r="B107" t="s">
        <v>215</v>
      </c>
      <c r="C107" t="s">
        <v>216</v>
      </c>
      <c r="D107" s="4" t="s">
        <v>219</v>
      </c>
      <c r="E107" t="s">
        <v>83</v>
      </c>
      <c r="F107" t="s">
        <v>84</v>
      </c>
      <c r="G107" s="5">
        <v>328</v>
      </c>
      <c r="H107" s="1">
        <v>44682</v>
      </c>
      <c r="I107" s="1">
        <v>44872</v>
      </c>
      <c r="J107" t="s">
        <v>217</v>
      </c>
      <c r="K107">
        <v>43.078023999999999</v>
      </c>
      <c r="L107">
        <v>-100.144284</v>
      </c>
      <c r="M107" t="s">
        <v>218</v>
      </c>
      <c r="N107">
        <v>70</v>
      </c>
    </row>
    <row r="108" spans="1:18" x14ac:dyDescent="0.25">
      <c r="A108" t="s">
        <v>214</v>
      </c>
      <c r="B108" t="s">
        <v>215</v>
      </c>
      <c r="C108" t="s">
        <v>216</v>
      </c>
      <c r="D108" s="4" t="s">
        <v>219</v>
      </c>
      <c r="E108" t="s">
        <v>54</v>
      </c>
      <c r="F108" t="s">
        <v>55</v>
      </c>
      <c r="G108" s="5">
        <v>329</v>
      </c>
      <c r="H108" s="1">
        <v>44682</v>
      </c>
      <c r="I108" s="1">
        <v>44872</v>
      </c>
      <c r="J108" t="s">
        <v>217</v>
      </c>
      <c r="K108">
        <v>43.078023999999999</v>
      </c>
      <c r="L108">
        <v>-100.144284</v>
      </c>
      <c r="M108" t="s">
        <v>218</v>
      </c>
      <c r="N108">
        <v>70</v>
      </c>
      <c r="P108">
        <v>236</v>
      </c>
      <c r="Q108">
        <v>60</v>
      </c>
      <c r="R108">
        <v>44</v>
      </c>
    </row>
    <row r="109" spans="1:18" x14ac:dyDescent="0.25">
      <c r="A109" t="s">
        <v>214</v>
      </c>
      <c r="B109" t="s">
        <v>215</v>
      </c>
      <c r="C109" t="s">
        <v>216</v>
      </c>
      <c r="D109" s="4" t="s">
        <v>219</v>
      </c>
      <c r="E109" t="s">
        <v>56</v>
      </c>
      <c r="F109" t="s">
        <v>57</v>
      </c>
      <c r="G109" s="5">
        <v>340</v>
      </c>
      <c r="H109" s="1">
        <v>44762</v>
      </c>
      <c r="I109" s="1">
        <v>44932</v>
      </c>
      <c r="J109" t="s">
        <v>217</v>
      </c>
      <c r="K109">
        <v>43.078023999999999</v>
      </c>
      <c r="L109">
        <v>-100.144284</v>
      </c>
      <c r="M109" t="s">
        <v>218</v>
      </c>
      <c r="N109">
        <v>70</v>
      </c>
      <c r="P109">
        <v>590</v>
      </c>
      <c r="Q109">
        <v>205</v>
      </c>
      <c r="R109">
        <v>153</v>
      </c>
    </row>
    <row r="110" spans="1:18" x14ac:dyDescent="0.25">
      <c r="A110" t="s">
        <v>214</v>
      </c>
      <c r="B110" t="s">
        <v>215</v>
      </c>
      <c r="C110" t="s">
        <v>216</v>
      </c>
      <c r="D110" s="4" t="s">
        <v>219</v>
      </c>
      <c r="E110" t="s">
        <v>105</v>
      </c>
      <c r="F110" t="s">
        <v>59</v>
      </c>
      <c r="G110" s="5">
        <v>556</v>
      </c>
      <c r="H110" s="1">
        <v>44682</v>
      </c>
      <c r="I110" s="1">
        <v>44872</v>
      </c>
      <c r="J110" t="s">
        <v>217</v>
      </c>
      <c r="K110">
        <v>43.078023999999999</v>
      </c>
      <c r="L110">
        <v>-100.144284</v>
      </c>
      <c r="M110" t="s">
        <v>218</v>
      </c>
      <c r="N110">
        <v>70</v>
      </c>
    </row>
    <row r="111" spans="1:18" x14ac:dyDescent="0.25">
      <c r="A111" t="s">
        <v>220</v>
      </c>
      <c r="B111" t="s">
        <v>205</v>
      </c>
      <c r="C111" t="s">
        <v>221</v>
      </c>
      <c r="D111" s="4" t="s">
        <v>95</v>
      </c>
      <c r="E111" t="s">
        <v>132</v>
      </c>
      <c r="F111" t="s">
        <v>133</v>
      </c>
      <c r="H111" s="1">
        <v>44927</v>
      </c>
      <c r="I111" s="1">
        <v>45061</v>
      </c>
      <c r="J111" t="s">
        <v>222</v>
      </c>
      <c r="K111">
        <v>44.899106000000003</v>
      </c>
      <c r="L111">
        <v>-97.205034999999995</v>
      </c>
      <c r="M111" t="s">
        <v>223</v>
      </c>
      <c r="N111">
        <v>10</v>
      </c>
      <c r="P111">
        <v>65</v>
      </c>
      <c r="Q111">
        <v>23</v>
      </c>
      <c r="R111">
        <v>17</v>
      </c>
    </row>
    <row r="112" spans="1:18" x14ac:dyDescent="0.25">
      <c r="A112" t="s">
        <v>224</v>
      </c>
      <c r="B112" t="s">
        <v>225</v>
      </c>
      <c r="C112" t="s">
        <v>226</v>
      </c>
      <c r="D112" s="4">
        <v>2021002</v>
      </c>
      <c r="E112" t="s">
        <v>83</v>
      </c>
      <c r="F112" t="s">
        <v>84</v>
      </c>
      <c r="G112" s="5">
        <v>328</v>
      </c>
      <c r="H112" s="1">
        <v>44317</v>
      </c>
      <c r="I112" s="1">
        <v>44409</v>
      </c>
      <c r="J112" t="s">
        <v>227</v>
      </c>
      <c r="K112">
        <v>43.866072000000003</v>
      </c>
      <c r="L112">
        <v>-96.759816999999998</v>
      </c>
      <c r="M112" t="s">
        <v>228</v>
      </c>
      <c r="N112">
        <v>31.66</v>
      </c>
    </row>
    <row r="113" spans="1:18" x14ac:dyDescent="0.25">
      <c r="A113" t="s">
        <v>224</v>
      </c>
      <c r="B113" t="s">
        <v>225</v>
      </c>
      <c r="C113" t="s">
        <v>226</v>
      </c>
      <c r="D113" s="4">
        <v>2021002</v>
      </c>
      <c r="E113" t="s">
        <v>54</v>
      </c>
      <c r="F113" t="s">
        <v>55</v>
      </c>
      <c r="G113" s="5">
        <v>329</v>
      </c>
      <c r="H113" s="1">
        <v>44317</v>
      </c>
      <c r="I113" s="1">
        <v>44409</v>
      </c>
      <c r="J113" t="s">
        <v>227</v>
      </c>
      <c r="K113">
        <v>43.866072000000003</v>
      </c>
      <c r="L113">
        <v>-96.759816999999998</v>
      </c>
      <c r="M113" t="s">
        <v>228</v>
      </c>
      <c r="N113">
        <v>31.66</v>
      </c>
      <c r="P113">
        <v>544</v>
      </c>
      <c r="Q113">
        <v>119</v>
      </c>
      <c r="R113">
        <v>82</v>
      </c>
    </row>
    <row r="114" spans="1:18" x14ac:dyDescent="0.25">
      <c r="A114" t="s">
        <v>224</v>
      </c>
      <c r="B114" t="s">
        <v>225</v>
      </c>
      <c r="C114" t="s">
        <v>226</v>
      </c>
      <c r="D114" s="4">
        <v>2021002</v>
      </c>
      <c r="E114" t="s">
        <v>56</v>
      </c>
      <c r="F114" t="s">
        <v>57</v>
      </c>
      <c r="G114" s="5">
        <v>340</v>
      </c>
      <c r="H114" s="1">
        <v>44348</v>
      </c>
      <c r="I114" s="1">
        <v>44439</v>
      </c>
      <c r="J114" t="s">
        <v>227</v>
      </c>
      <c r="K114">
        <v>43.866072000000003</v>
      </c>
      <c r="L114">
        <v>-96.759816999999998</v>
      </c>
      <c r="M114" t="s">
        <v>228</v>
      </c>
      <c r="N114">
        <v>31.66</v>
      </c>
      <c r="P114">
        <v>196</v>
      </c>
      <c r="Q114">
        <v>64</v>
      </c>
      <c r="R114">
        <v>11</v>
      </c>
    </row>
    <row r="115" spans="1:18" x14ac:dyDescent="0.25">
      <c r="A115" t="s">
        <v>224</v>
      </c>
      <c r="B115" t="s">
        <v>225</v>
      </c>
      <c r="C115" t="s">
        <v>226</v>
      </c>
      <c r="D115" s="4">
        <v>2021002</v>
      </c>
      <c r="E115" t="s">
        <v>105</v>
      </c>
      <c r="F115" t="s">
        <v>59</v>
      </c>
      <c r="G115" s="5">
        <v>556</v>
      </c>
      <c r="H115" s="1">
        <v>44317</v>
      </c>
      <c r="I115" s="1">
        <v>44409</v>
      </c>
      <c r="J115" t="s">
        <v>227</v>
      </c>
      <c r="K115">
        <v>43.866072000000003</v>
      </c>
      <c r="L115">
        <v>-96.759816999999998</v>
      </c>
      <c r="M115" t="s">
        <v>228</v>
      </c>
      <c r="N115">
        <v>31.66</v>
      </c>
    </row>
    <row r="116" spans="1:18" x14ac:dyDescent="0.25">
      <c r="A116" t="s">
        <v>229</v>
      </c>
      <c r="B116" t="s">
        <v>230</v>
      </c>
      <c r="C116" t="s">
        <v>231</v>
      </c>
      <c r="D116" s="4">
        <v>2003</v>
      </c>
      <c r="E116" t="s">
        <v>54</v>
      </c>
      <c r="F116" t="s">
        <v>55</v>
      </c>
      <c r="G116" s="5">
        <v>329</v>
      </c>
      <c r="H116" s="1">
        <v>44718</v>
      </c>
      <c r="I116" s="1">
        <v>44770</v>
      </c>
      <c r="J116" t="s">
        <v>232</v>
      </c>
      <c r="K116">
        <v>45.425331</v>
      </c>
      <c r="L116">
        <v>-98.027854000000005</v>
      </c>
      <c r="M116" t="s">
        <v>233</v>
      </c>
      <c r="N116">
        <v>0</v>
      </c>
      <c r="O116" t="s">
        <v>145</v>
      </c>
      <c r="P116">
        <v>254.2</v>
      </c>
      <c r="Q116">
        <v>33.9</v>
      </c>
      <c r="R116">
        <v>16.8</v>
      </c>
    </row>
    <row r="117" spans="1:18" x14ac:dyDescent="0.25">
      <c r="A117" t="s">
        <v>229</v>
      </c>
      <c r="B117" t="s">
        <v>230</v>
      </c>
      <c r="C117" t="s">
        <v>231</v>
      </c>
      <c r="D117" s="4">
        <v>2003</v>
      </c>
      <c r="E117" t="s">
        <v>56</v>
      </c>
      <c r="F117" t="s">
        <v>57</v>
      </c>
      <c r="G117" s="5">
        <v>340</v>
      </c>
      <c r="H117" s="1">
        <v>44718</v>
      </c>
      <c r="I117" s="1">
        <v>44770</v>
      </c>
      <c r="J117" t="s">
        <v>232</v>
      </c>
      <c r="K117">
        <v>45.425331</v>
      </c>
      <c r="L117">
        <v>-98.027854000000005</v>
      </c>
      <c r="M117" t="s">
        <v>233</v>
      </c>
      <c r="N117">
        <v>0</v>
      </c>
      <c r="O117" t="s">
        <v>145</v>
      </c>
      <c r="P117">
        <v>425.4</v>
      </c>
      <c r="Q117">
        <v>120.3</v>
      </c>
      <c r="R117">
        <v>65.8</v>
      </c>
    </row>
    <row r="118" spans="1:18" x14ac:dyDescent="0.25">
      <c r="A118" t="s">
        <v>234</v>
      </c>
      <c r="B118" t="s">
        <v>122</v>
      </c>
      <c r="C118" t="s">
        <v>235</v>
      </c>
      <c r="D118" s="4" t="s">
        <v>236</v>
      </c>
      <c r="E118" t="s">
        <v>54</v>
      </c>
      <c r="F118" t="s">
        <v>55</v>
      </c>
      <c r="G118" s="5">
        <v>329</v>
      </c>
      <c r="H118" s="1">
        <v>44682</v>
      </c>
      <c r="I118" s="1">
        <v>44845</v>
      </c>
      <c r="J118" t="s">
        <v>99</v>
      </c>
      <c r="K118">
        <v>43.410054000000002</v>
      </c>
      <c r="L118">
        <v>-97.545253000000002</v>
      </c>
      <c r="M118" t="s">
        <v>192</v>
      </c>
      <c r="N118">
        <v>261</v>
      </c>
      <c r="P118">
        <v>569</v>
      </c>
      <c r="Q118">
        <v>82</v>
      </c>
      <c r="R118">
        <v>44</v>
      </c>
    </row>
    <row r="119" spans="1:18" x14ac:dyDescent="0.25">
      <c r="A119" t="s">
        <v>234</v>
      </c>
      <c r="B119" t="s">
        <v>122</v>
      </c>
      <c r="C119" t="s">
        <v>235</v>
      </c>
      <c r="D119" s="4" t="s">
        <v>236</v>
      </c>
      <c r="E119" t="s">
        <v>56</v>
      </c>
      <c r="F119" t="s">
        <v>57</v>
      </c>
      <c r="G119" s="5">
        <v>340</v>
      </c>
      <c r="H119" s="1">
        <v>44682</v>
      </c>
      <c r="I119" s="1">
        <v>44848</v>
      </c>
      <c r="J119" t="s">
        <v>99</v>
      </c>
      <c r="K119">
        <v>43.410054000000002</v>
      </c>
      <c r="L119">
        <v>-97.545253000000002</v>
      </c>
      <c r="M119" t="s">
        <v>192</v>
      </c>
      <c r="N119">
        <v>261</v>
      </c>
      <c r="P119">
        <v>1009</v>
      </c>
      <c r="Q119">
        <v>296</v>
      </c>
      <c r="R119">
        <v>172</v>
      </c>
    </row>
    <row r="120" spans="1:18" x14ac:dyDescent="0.25">
      <c r="A120" t="s">
        <v>237</v>
      </c>
      <c r="B120" t="s">
        <v>660</v>
      </c>
      <c r="C120" t="s">
        <v>238</v>
      </c>
      <c r="D120" s="4" t="s">
        <v>240</v>
      </c>
      <c r="E120" t="s">
        <v>54</v>
      </c>
      <c r="F120" t="s">
        <v>55</v>
      </c>
      <c r="G120" s="5">
        <v>329</v>
      </c>
      <c r="H120" s="1">
        <v>45047</v>
      </c>
      <c r="I120" s="1">
        <v>45168</v>
      </c>
      <c r="J120" t="s">
        <v>239</v>
      </c>
      <c r="K120">
        <v>43.468524000000002</v>
      </c>
      <c r="L120">
        <v>-98.023386000000002</v>
      </c>
      <c r="M120" t="s">
        <v>64</v>
      </c>
      <c r="N120">
        <v>40</v>
      </c>
      <c r="P120">
        <v>83</v>
      </c>
      <c r="Q120">
        <v>17</v>
      </c>
      <c r="R120">
        <v>12</v>
      </c>
    </row>
    <row r="121" spans="1:18" x14ac:dyDescent="0.25">
      <c r="A121" t="s">
        <v>237</v>
      </c>
      <c r="B121" t="s">
        <v>660</v>
      </c>
      <c r="C121" t="s">
        <v>238</v>
      </c>
      <c r="D121" s="4" t="s">
        <v>240</v>
      </c>
      <c r="E121" t="s">
        <v>56</v>
      </c>
      <c r="F121" t="s">
        <v>57</v>
      </c>
      <c r="G121" s="5">
        <v>340</v>
      </c>
      <c r="H121" s="1">
        <v>45047</v>
      </c>
      <c r="I121" s="1">
        <v>45168</v>
      </c>
      <c r="J121" t="s">
        <v>239</v>
      </c>
      <c r="K121">
        <v>43.468524000000002</v>
      </c>
      <c r="L121">
        <v>-98.023386000000002</v>
      </c>
      <c r="M121" t="s">
        <v>64</v>
      </c>
      <c r="N121">
        <v>40</v>
      </c>
      <c r="P121">
        <v>195</v>
      </c>
      <c r="Q121">
        <v>64</v>
      </c>
      <c r="R121">
        <v>43</v>
      </c>
    </row>
    <row r="122" spans="1:18" x14ac:dyDescent="0.25">
      <c r="A122" t="s">
        <v>237</v>
      </c>
      <c r="B122" t="s">
        <v>241</v>
      </c>
      <c r="C122" t="s">
        <v>242</v>
      </c>
      <c r="D122" s="4">
        <v>2021014</v>
      </c>
      <c r="E122" t="s">
        <v>54</v>
      </c>
      <c r="F122" t="s">
        <v>55</v>
      </c>
      <c r="G122" s="5">
        <v>329</v>
      </c>
      <c r="H122" s="1">
        <v>44317</v>
      </c>
      <c r="I122" s="1">
        <v>45160</v>
      </c>
      <c r="J122" t="s">
        <v>239</v>
      </c>
      <c r="K122">
        <v>43.469451999999997</v>
      </c>
      <c r="L122">
        <v>-98.025881999999996</v>
      </c>
      <c r="M122" t="s">
        <v>64</v>
      </c>
      <c r="N122">
        <v>100</v>
      </c>
      <c r="P122">
        <v>140</v>
      </c>
      <c r="Q122">
        <v>29</v>
      </c>
      <c r="R122">
        <v>19</v>
      </c>
    </row>
    <row r="123" spans="1:18" x14ac:dyDescent="0.25">
      <c r="A123" t="s">
        <v>237</v>
      </c>
      <c r="B123" t="s">
        <v>241</v>
      </c>
      <c r="C123" t="s">
        <v>242</v>
      </c>
      <c r="D123" s="4">
        <v>2021014</v>
      </c>
      <c r="E123" t="s">
        <v>56</v>
      </c>
      <c r="F123" t="s">
        <v>57</v>
      </c>
      <c r="G123" s="5">
        <v>340</v>
      </c>
      <c r="H123" s="1">
        <v>44417</v>
      </c>
      <c r="I123" s="1">
        <v>44550</v>
      </c>
      <c r="J123" t="s">
        <v>239</v>
      </c>
      <c r="K123">
        <v>43.469451999999997</v>
      </c>
      <c r="L123">
        <v>-98.025881999999996</v>
      </c>
      <c r="M123" t="s">
        <v>64</v>
      </c>
      <c r="N123">
        <v>100</v>
      </c>
      <c r="P123">
        <v>323</v>
      </c>
      <c r="Q123">
        <v>107</v>
      </c>
      <c r="R123">
        <v>74</v>
      </c>
    </row>
    <row r="124" spans="1:18" x14ac:dyDescent="0.25">
      <c r="A124" t="s">
        <v>237</v>
      </c>
      <c r="B124" t="s">
        <v>241</v>
      </c>
      <c r="C124" t="s">
        <v>242</v>
      </c>
      <c r="D124" s="4">
        <v>202201</v>
      </c>
      <c r="E124" t="s">
        <v>54</v>
      </c>
      <c r="F124" t="s">
        <v>55</v>
      </c>
      <c r="G124" s="5">
        <v>329</v>
      </c>
      <c r="H124" s="1">
        <v>44774</v>
      </c>
      <c r="I124" s="1">
        <v>44845</v>
      </c>
      <c r="J124" t="s">
        <v>239</v>
      </c>
      <c r="K124">
        <v>43.469451999999997</v>
      </c>
      <c r="L124">
        <v>-98.025881999999996</v>
      </c>
      <c r="M124" t="s">
        <v>64</v>
      </c>
      <c r="N124">
        <v>100</v>
      </c>
      <c r="P124">
        <v>196</v>
      </c>
      <c r="Q124">
        <v>39</v>
      </c>
      <c r="R124">
        <v>26</v>
      </c>
    </row>
    <row r="125" spans="1:18" x14ac:dyDescent="0.25">
      <c r="A125" t="s">
        <v>237</v>
      </c>
      <c r="B125" t="s">
        <v>241</v>
      </c>
      <c r="C125" t="s">
        <v>242</v>
      </c>
      <c r="D125" s="4">
        <v>202201</v>
      </c>
      <c r="E125" t="s">
        <v>56</v>
      </c>
      <c r="F125" t="s">
        <v>57</v>
      </c>
      <c r="G125" s="5">
        <v>340</v>
      </c>
      <c r="H125" s="1">
        <v>44774</v>
      </c>
      <c r="I125" s="1">
        <v>44805</v>
      </c>
      <c r="J125" t="s">
        <v>239</v>
      </c>
      <c r="K125">
        <v>43.469451999999997</v>
      </c>
      <c r="L125">
        <v>-98.025881999999996</v>
      </c>
      <c r="M125" t="s">
        <v>64</v>
      </c>
      <c r="N125">
        <v>100</v>
      </c>
      <c r="P125">
        <v>446</v>
      </c>
      <c r="Q125">
        <v>147</v>
      </c>
      <c r="R125">
        <v>101</v>
      </c>
    </row>
    <row r="126" spans="1:18" x14ac:dyDescent="0.25">
      <c r="A126" t="s">
        <v>243</v>
      </c>
      <c r="B126" t="s">
        <v>244</v>
      </c>
      <c r="C126" t="s">
        <v>245</v>
      </c>
      <c r="D126" s="4" t="s">
        <v>247</v>
      </c>
      <c r="E126" t="s">
        <v>83</v>
      </c>
      <c r="F126" t="s">
        <v>84</v>
      </c>
      <c r="G126" s="5">
        <v>328</v>
      </c>
      <c r="H126" s="1">
        <v>44703</v>
      </c>
      <c r="I126" s="1">
        <v>44879</v>
      </c>
      <c r="J126" t="s">
        <v>52</v>
      </c>
      <c r="K126">
        <v>44.482517999999999</v>
      </c>
      <c r="L126">
        <v>-97.967359000000002</v>
      </c>
      <c r="M126" t="s">
        <v>246</v>
      </c>
      <c r="N126">
        <v>202</v>
      </c>
    </row>
    <row r="127" spans="1:18" x14ac:dyDescent="0.25">
      <c r="A127" t="s">
        <v>243</v>
      </c>
      <c r="B127" t="s">
        <v>244</v>
      </c>
      <c r="C127" t="s">
        <v>245</v>
      </c>
      <c r="D127" s="4" t="s">
        <v>247</v>
      </c>
      <c r="E127" t="s">
        <v>54</v>
      </c>
      <c r="F127" t="s">
        <v>55</v>
      </c>
      <c r="G127" s="5">
        <v>329</v>
      </c>
      <c r="H127" s="1">
        <v>44703</v>
      </c>
      <c r="I127" s="1">
        <v>44879</v>
      </c>
      <c r="J127" t="s">
        <v>52</v>
      </c>
      <c r="K127">
        <v>44.482517999999999</v>
      </c>
      <c r="L127">
        <v>-97.967359000000002</v>
      </c>
      <c r="M127" t="s">
        <v>246</v>
      </c>
      <c r="N127">
        <v>202</v>
      </c>
      <c r="P127">
        <v>303</v>
      </c>
      <c r="Q127">
        <v>43</v>
      </c>
      <c r="R127">
        <v>23</v>
      </c>
    </row>
    <row r="128" spans="1:18" x14ac:dyDescent="0.25">
      <c r="A128" t="s">
        <v>243</v>
      </c>
      <c r="B128" t="s">
        <v>244</v>
      </c>
      <c r="C128" t="s">
        <v>245</v>
      </c>
      <c r="D128" s="4" t="s">
        <v>247</v>
      </c>
      <c r="E128" t="s">
        <v>56</v>
      </c>
      <c r="F128" t="s">
        <v>57</v>
      </c>
      <c r="G128" s="5">
        <v>340</v>
      </c>
      <c r="H128" s="1">
        <v>44760</v>
      </c>
      <c r="I128" s="1">
        <v>44879</v>
      </c>
      <c r="J128" t="s">
        <v>52</v>
      </c>
      <c r="K128">
        <v>44.482517999999999</v>
      </c>
      <c r="L128">
        <v>-97.967359000000002</v>
      </c>
      <c r="M128" t="s">
        <v>246</v>
      </c>
      <c r="N128">
        <v>202</v>
      </c>
      <c r="P128">
        <v>496</v>
      </c>
      <c r="Q128">
        <v>138</v>
      </c>
      <c r="R128">
        <v>79</v>
      </c>
    </row>
    <row r="129" spans="1:18" x14ac:dyDescent="0.25">
      <c r="A129" t="s">
        <v>243</v>
      </c>
      <c r="B129" t="s">
        <v>244</v>
      </c>
      <c r="C129" t="s">
        <v>245</v>
      </c>
      <c r="D129" s="4" t="s">
        <v>247</v>
      </c>
      <c r="E129" t="s">
        <v>105</v>
      </c>
      <c r="F129" t="s">
        <v>59</v>
      </c>
      <c r="G129" s="5">
        <v>556</v>
      </c>
      <c r="H129" s="1">
        <v>44703</v>
      </c>
      <c r="I129" s="1">
        <v>44879</v>
      </c>
      <c r="J129" t="s">
        <v>52</v>
      </c>
      <c r="K129">
        <v>44.482517999999999</v>
      </c>
      <c r="L129">
        <v>-97.967359000000002</v>
      </c>
      <c r="M129" t="s">
        <v>246</v>
      </c>
      <c r="N129">
        <v>202</v>
      </c>
    </row>
    <row r="130" spans="1:18" x14ac:dyDescent="0.25">
      <c r="A130" t="s">
        <v>243</v>
      </c>
      <c r="B130" t="s">
        <v>244</v>
      </c>
      <c r="C130" t="s">
        <v>245</v>
      </c>
      <c r="D130" s="4" t="s">
        <v>162</v>
      </c>
      <c r="E130" t="s">
        <v>83</v>
      </c>
      <c r="F130" t="s">
        <v>84</v>
      </c>
      <c r="G130" s="5">
        <v>328</v>
      </c>
      <c r="H130" s="1">
        <v>45082</v>
      </c>
      <c r="I130" s="1">
        <v>45154</v>
      </c>
      <c r="J130" t="s">
        <v>52</v>
      </c>
      <c r="K130">
        <v>44.482517999999999</v>
      </c>
      <c r="L130">
        <v>-97.967359000000002</v>
      </c>
      <c r="M130" t="s">
        <v>246</v>
      </c>
      <c r="N130">
        <v>202</v>
      </c>
    </row>
    <row r="131" spans="1:18" x14ac:dyDescent="0.25">
      <c r="A131" t="s">
        <v>243</v>
      </c>
      <c r="B131" t="s">
        <v>244</v>
      </c>
      <c r="C131" t="s">
        <v>245</v>
      </c>
      <c r="D131" s="4" t="s">
        <v>162</v>
      </c>
      <c r="E131" t="s">
        <v>54</v>
      </c>
      <c r="F131" t="s">
        <v>55</v>
      </c>
      <c r="G131" s="5">
        <v>329</v>
      </c>
      <c r="H131" s="1">
        <v>45082</v>
      </c>
      <c r="I131" s="1">
        <v>45148</v>
      </c>
      <c r="J131" t="s">
        <v>52</v>
      </c>
      <c r="K131">
        <v>44.482517999999999</v>
      </c>
      <c r="L131">
        <v>-97.967359000000002</v>
      </c>
      <c r="M131" t="s">
        <v>246</v>
      </c>
      <c r="N131">
        <v>202</v>
      </c>
      <c r="P131">
        <v>473</v>
      </c>
      <c r="Q131">
        <v>100</v>
      </c>
      <c r="R131">
        <v>51</v>
      </c>
    </row>
    <row r="132" spans="1:18" x14ac:dyDescent="0.25">
      <c r="A132" t="s">
        <v>243</v>
      </c>
      <c r="B132" t="s">
        <v>244</v>
      </c>
      <c r="C132" t="s">
        <v>245</v>
      </c>
      <c r="D132" s="4" t="s">
        <v>162</v>
      </c>
      <c r="E132" t="s">
        <v>54</v>
      </c>
      <c r="F132" t="s">
        <v>55</v>
      </c>
      <c r="G132" s="5">
        <v>329</v>
      </c>
      <c r="H132" s="1">
        <v>45124</v>
      </c>
      <c r="I132" s="1">
        <v>45143</v>
      </c>
      <c r="J132" t="s">
        <v>52</v>
      </c>
      <c r="K132">
        <v>44.482517999999999</v>
      </c>
      <c r="L132">
        <v>-97.967359000000002</v>
      </c>
      <c r="M132" t="s">
        <v>246</v>
      </c>
      <c r="N132">
        <v>202</v>
      </c>
      <c r="P132">
        <v>539</v>
      </c>
      <c r="Q132">
        <v>148</v>
      </c>
      <c r="R132">
        <v>77</v>
      </c>
    </row>
    <row r="133" spans="1:18" x14ac:dyDescent="0.25">
      <c r="A133" t="s">
        <v>248</v>
      </c>
      <c r="B133" t="s">
        <v>50</v>
      </c>
      <c r="C133" t="s">
        <v>249</v>
      </c>
      <c r="D133" s="4" t="s">
        <v>251</v>
      </c>
      <c r="E133" t="s">
        <v>54</v>
      </c>
      <c r="F133" t="s">
        <v>55</v>
      </c>
      <c r="G133" s="5">
        <v>329</v>
      </c>
      <c r="H133" s="1">
        <v>44682</v>
      </c>
      <c r="I133" s="1">
        <v>44844</v>
      </c>
      <c r="J133" t="s">
        <v>250</v>
      </c>
      <c r="K133">
        <v>43.163657999999998</v>
      </c>
      <c r="L133">
        <v>-97.874202999999994</v>
      </c>
      <c r="M133" t="s">
        <v>64</v>
      </c>
      <c r="N133">
        <v>0</v>
      </c>
      <c r="O133" t="s">
        <v>145</v>
      </c>
      <c r="P133">
        <v>66</v>
      </c>
      <c r="Q133">
        <v>16</v>
      </c>
      <c r="R133">
        <v>11</v>
      </c>
    </row>
    <row r="134" spans="1:18" x14ac:dyDescent="0.25">
      <c r="A134" t="s">
        <v>248</v>
      </c>
      <c r="B134" t="s">
        <v>50</v>
      </c>
      <c r="C134" t="s">
        <v>249</v>
      </c>
      <c r="D134" s="4" t="s">
        <v>251</v>
      </c>
      <c r="E134" t="s">
        <v>56</v>
      </c>
      <c r="F134" t="s">
        <v>57</v>
      </c>
      <c r="G134" s="5">
        <v>340</v>
      </c>
      <c r="H134" s="1">
        <v>44655</v>
      </c>
      <c r="I134" s="1">
        <v>44795</v>
      </c>
      <c r="J134" t="s">
        <v>250</v>
      </c>
      <c r="K134">
        <v>43.163657999999998</v>
      </c>
      <c r="L134">
        <v>-97.874202999999994</v>
      </c>
      <c r="M134" t="s">
        <v>64</v>
      </c>
      <c r="N134">
        <v>0</v>
      </c>
      <c r="O134" t="s">
        <v>145</v>
      </c>
      <c r="P134">
        <v>163</v>
      </c>
      <c r="Q134">
        <v>56</v>
      </c>
      <c r="R134">
        <v>41</v>
      </c>
    </row>
    <row r="135" spans="1:18" x14ac:dyDescent="0.25">
      <c r="A135" t="s">
        <v>248</v>
      </c>
      <c r="B135" t="s">
        <v>50</v>
      </c>
      <c r="C135" t="s">
        <v>249</v>
      </c>
      <c r="D135" s="4" t="s">
        <v>251</v>
      </c>
      <c r="E135" t="s">
        <v>132</v>
      </c>
      <c r="F135" t="s">
        <v>133</v>
      </c>
      <c r="H135" s="1">
        <v>44655</v>
      </c>
      <c r="I135" s="1">
        <v>44713</v>
      </c>
      <c r="J135" t="s">
        <v>250</v>
      </c>
      <c r="K135">
        <v>43.163657999999998</v>
      </c>
      <c r="L135">
        <v>-97.874202999999994</v>
      </c>
      <c r="M135" t="s">
        <v>64</v>
      </c>
      <c r="N135">
        <v>2.68</v>
      </c>
    </row>
    <row r="136" spans="1:18" x14ac:dyDescent="0.25">
      <c r="A136" t="s">
        <v>248</v>
      </c>
      <c r="B136" t="s">
        <v>50</v>
      </c>
      <c r="C136" t="s">
        <v>249</v>
      </c>
      <c r="D136" s="4" t="s">
        <v>252</v>
      </c>
      <c r="E136" t="s">
        <v>54</v>
      </c>
      <c r="F136" t="s">
        <v>55</v>
      </c>
      <c r="G136" s="5">
        <v>329</v>
      </c>
      <c r="H136" s="1">
        <v>45017</v>
      </c>
      <c r="I136" s="1">
        <v>45083</v>
      </c>
      <c r="J136" t="s">
        <v>250</v>
      </c>
      <c r="K136">
        <v>43.163657999999998</v>
      </c>
      <c r="L136">
        <v>-97.874202999999994</v>
      </c>
      <c r="M136" t="s">
        <v>64</v>
      </c>
      <c r="N136">
        <v>0</v>
      </c>
      <c r="O136" t="s">
        <v>145</v>
      </c>
      <c r="P136">
        <v>100</v>
      </c>
      <c r="Q136">
        <v>35</v>
      </c>
      <c r="R136">
        <v>24</v>
      </c>
    </row>
    <row r="137" spans="1:18" x14ac:dyDescent="0.25">
      <c r="A137" t="s">
        <v>248</v>
      </c>
      <c r="B137" t="s">
        <v>50</v>
      </c>
      <c r="C137" t="s">
        <v>249</v>
      </c>
      <c r="D137" s="4" t="s">
        <v>252</v>
      </c>
      <c r="E137" t="s">
        <v>132</v>
      </c>
      <c r="F137" t="s">
        <v>133</v>
      </c>
      <c r="H137" s="1">
        <v>45017</v>
      </c>
      <c r="I137" s="1">
        <v>45077</v>
      </c>
      <c r="J137" t="s">
        <v>250</v>
      </c>
      <c r="K137">
        <v>43.163657999999998</v>
      </c>
      <c r="L137">
        <v>-97.874202999999994</v>
      </c>
      <c r="M137" t="s">
        <v>64</v>
      </c>
      <c r="N137">
        <v>2.68</v>
      </c>
      <c r="P137">
        <v>342</v>
      </c>
      <c r="Q137">
        <v>117</v>
      </c>
      <c r="R137">
        <v>85</v>
      </c>
    </row>
    <row r="138" spans="1:18" x14ac:dyDescent="0.25">
      <c r="A138" t="s">
        <v>248</v>
      </c>
      <c r="B138" t="s">
        <v>50</v>
      </c>
      <c r="C138" t="s">
        <v>249</v>
      </c>
      <c r="D138" s="4" t="s">
        <v>253</v>
      </c>
      <c r="E138" t="s">
        <v>83</v>
      </c>
      <c r="F138" t="s">
        <v>84</v>
      </c>
      <c r="G138" s="5">
        <v>328</v>
      </c>
      <c r="H138" s="1">
        <v>45413</v>
      </c>
      <c r="I138" s="1">
        <v>45600</v>
      </c>
      <c r="J138" t="s">
        <v>250</v>
      </c>
      <c r="K138">
        <v>43.157899</v>
      </c>
      <c r="L138">
        <v>-97.895435000000006</v>
      </c>
      <c r="M138" t="s">
        <v>64</v>
      </c>
      <c r="N138">
        <v>84</v>
      </c>
    </row>
    <row r="139" spans="1:18" x14ac:dyDescent="0.25">
      <c r="A139" t="s">
        <v>248</v>
      </c>
      <c r="B139" t="s">
        <v>50</v>
      </c>
      <c r="C139" t="s">
        <v>249</v>
      </c>
      <c r="D139" s="4" t="s">
        <v>253</v>
      </c>
      <c r="E139" t="s">
        <v>54</v>
      </c>
      <c r="F139" t="s">
        <v>55</v>
      </c>
      <c r="G139" s="5">
        <v>329</v>
      </c>
      <c r="H139" s="1">
        <v>45433</v>
      </c>
      <c r="I139" s="1">
        <v>45600</v>
      </c>
      <c r="J139" t="s">
        <v>250</v>
      </c>
      <c r="K139">
        <v>43.157899</v>
      </c>
      <c r="L139">
        <v>-97.895435000000006</v>
      </c>
      <c r="M139" t="s">
        <v>64</v>
      </c>
      <c r="N139">
        <v>84</v>
      </c>
      <c r="P139">
        <v>296</v>
      </c>
      <c r="Q139">
        <v>69</v>
      </c>
      <c r="R139">
        <v>48</v>
      </c>
    </row>
    <row r="140" spans="1:18" x14ac:dyDescent="0.25">
      <c r="A140" t="s">
        <v>248</v>
      </c>
      <c r="B140" t="s">
        <v>50</v>
      </c>
      <c r="C140" t="s">
        <v>249</v>
      </c>
      <c r="D140" s="4" t="s">
        <v>253</v>
      </c>
      <c r="E140" t="s">
        <v>56</v>
      </c>
      <c r="F140" t="s">
        <v>57</v>
      </c>
      <c r="G140" s="5">
        <v>340</v>
      </c>
      <c r="H140" s="1">
        <v>45433</v>
      </c>
      <c r="I140" s="1">
        <v>45600</v>
      </c>
      <c r="J140" t="s">
        <v>250</v>
      </c>
      <c r="K140">
        <v>43.157899</v>
      </c>
      <c r="L140">
        <v>-97.895435000000006</v>
      </c>
      <c r="M140" t="s">
        <v>64</v>
      </c>
      <c r="N140">
        <v>84</v>
      </c>
      <c r="P140">
        <v>756</v>
      </c>
      <c r="Q140">
        <v>260</v>
      </c>
      <c r="R140">
        <v>189</v>
      </c>
    </row>
    <row r="141" spans="1:18" x14ac:dyDescent="0.25">
      <c r="A141" t="s">
        <v>254</v>
      </c>
      <c r="B141" t="s">
        <v>255</v>
      </c>
      <c r="C141" t="s">
        <v>256</v>
      </c>
      <c r="D141" s="4" t="s">
        <v>259</v>
      </c>
      <c r="E141" t="s">
        <v>54</v>
      </c>
      <c r="F141" t="s">
        <v>55</v>
      </c>
      <c r="G141" s="5">
        <v>329</v>
      </c>
      <c r="H141" s="1">
        <v>44682</v>
      </c>
      <c r="I141" s="1">
        <v>44875</v>
      </c>
      <c r="J141" t="s">
        <v>257</v>
      </c>
      <c r="K141">
        <v>43.980998999999997</v>
      </c>
      <c r="L141">
        <v>-96.686104999999998</v>
      </c>
      <c r="M141" t="s">
        <v>258</v>
      </c>
      <c r="N141">
        <v>0</v>
      </c>
      <c r="O141" t="s">
        <v>145</v>
      </c>
      <c r="P141">
        <v>83</v>
      </c>
      <c r="Q141">
        <v>16</v>
      </c>
      <c r="R141">
        <v>11</v>
      </c>
    </row>
    <row r="142" spans="1:18" x14ac:dyDescent="0.25">
      <c r="A142" t="s">
        <v>254</v>
      </c>
      <c r="B142" t="s">
        <v>255</v>
      </c>
      <c r="C142" t="s">
        <v>256</v>
      </c>
      <c r="D142" s="4" t="s">
        <v>259</v>
      </c>
      <c r="E142" t="s">
        <v>56</v>
      </c>
      <c r="F142" t="s">
        <v>57</v>
      </c>
      <c r="G142" s="5">
        <v>340</v>
      </c>
      <c r="H142" s="1">
        <v>44713</v>
      </c>
      <c r="I142" s="1">
        <v>44858</v>
      </c>
      <c r="J142" t="s">
        <v>257</v>
      </c>
      <c r="K142">
        <v>43.980998999999997</v>
      </c>
      <c r="L142">
        <v>-96.686104999999998</v>
      </c>
      <c r="M142" t="s">
        <v>258</v>
      </c>
      <c r="N142">
        <v>0</v>
      </c>
      <c r="O142" t="s">
        <v>145</v>
      </c>
      <c r="P142">
        <v>170</v>
      </c>
      <c r="Q142">
        <v>54</v>
      </c>
      <c r="R142">
        <v>37</v>
      </c>
    </row>
    <row r="143" spans="1:18" x14ac:dyDescent="0.25">
      <c r="A143" t="s">
        <v>260</v>
      </c>
      <c r="B143" t="s">
        <v>261</v>
      </c>
      <c r="C143" t="s">
        <v>262</v>
      </c>
      <c r="D143" s="4" t="s">
        <v>264</v>
      </c>
      <c r="E143" t="s">
        <v>54</v>
      </c>
      <c r="F143" t="s">
        <v>55</v>
      </c>
      <c r="G143" s="5">
        <v>329</v>
      </c>
      <c r="H143" s="1">
        <v>44682</v>
      </c>
      <c r="I143" s="1">
        <v>44875</v>
      </c>
      <c r="J143" t="s">
        <v>263</v>
      </c>
      <c r="K143">
        <v>44.042935</v>
      </c>
      <c r="L143">
        <v>-97.576173999999995</v>
      </c>
      <c r="M143" t="s">
        <v>189</v>
      </c>
      <c r="N143">
        <v>0</v>
      </c>
      <c r="O143" t="s">
        <v>145</v>
      </c>
      <c r="P143">
        <v>317</v>
      </c>
      <c r="Q143">
        <v>46</v>
      </c>
      <c r="R143">
        <v>24</v>
      </c>
    </row>
    <row r="144" spans="1:18" x14ac:dyDescent="0.25">
      <c r="A144" t="s">
        <v>260</v>
      </c>
      <c r="B144" t="s">
        <v>261</v>
      </c>
      <c r="C144" t="s">
        <v>262</v>
      </c>
      <c r="D144" s="4" t="s">
        <v>264</v>
      </c>
      <c r="E144" t="s">
        <v>56</v>
      </c>
      <c r="F144" t="s">
        <v>57</v>
      </c>
      <c r="G144" s="5">
        <v>340</v>
      </c>
      <c r="H144" s="1">
        <v>44759</v>
      </c>
      <c r="I144" s="1">
        <v>44867</v>
      </c>
      <c r="J144" t="s">
        <v>263</v>
      </c>
      <c r="K144">
        <v>44.042935</v>
      </c>
      <c r="L144">
        <v>-97.576173999999995</v>
      </c>
      <c r="M144" t="s">
        <v>189</v>
      </c>
      <c r="N144">
        <v>0</v>
      </c>
      <c r="O144" t="s">
        <v>145</v>
      </c>
      <c r="P144">
        <v>524</v>
      </c>
      <c r="Q144">
        <v>147</v>
      </c>
      <c r="R144">
        <v>85</v>
      </c>
    </row>
    <row r="145" spans="1:18" x14ac:dyDescent="0.25">
      <c r="A145" t="s">
        <v>265</v>
      </c>
      <c r="B145" t="s">
        <v>266</v>
      </c>
      <c r="C145" t="s">
        <v>267</v>
      </c>
      <c r="D145" s="4" t="s">
        <v>270</v>
      </c>
      <c r="E145" t="s">
        <v>54</v>
      </c>
      <c r="F145" t="s">
        <v>55</v>
      </c>
      <c r="G145" s="5">
        <v>329</v>
      </c>
      <c r="H145" s="1">
        <v>44682</v>
      </c>
      <c r="I145" s="1">
        <v>44875</v>
      </c>
      <c r="J145" t="s">
        <v>268</v>
      </c>
      <c r="K145">
        <v>43.289501999999999</v>
      </c>
      <c r="L145">
        <v>-98.992805000000004</v>
      </c>
      <c r="M145" t="s">
        <v>269</v>
      </c>
      <c r="N145">
        <v>0</v>
      </c>
      <c r="O145" t="s">
        <v>145</v>
      </c>
      <c r="P145">
        <v>596</v>
      </c>
      <c r="Q145">
        <v>124</v>
      </c>
      <c r="R145">
        <v>83</v>
      </c>
    </row>
    <row r="146" spans="1:18" x14ac:dyDescent="0.25">
      <c r="A146" t="s">
        <v>265</v>
      </c>
      <c r="B146" t="s">
        <v>266</v>
      </c>
      <c r="C146" t="s">
        <v>267</v>
      </c>
      <c r="D146" s="4" t="s">
        <v>270</v>
      </c>
      <c r="E146" t="s">
        <v>56</v>
      </c>
      <c r="F146" t="s">
        <v>57</v>
      </c>
      <c r="G146" s="5">
        <v>340</v>
      </c>
      <c r="H146" s="1">
        <v>44753</v>
      </c>
      <c r="I146" s="1">
        <v>44928</v>
      </c>
      <c r="J146" t="s">
        <v>268</v>
      </c>
      <c r="K146">
        <v>43.289501999999999</v>
      </c>
      <c r="L146">
        <v>-98.992805000000004</v>
      </c>
      <c r="M146" t="s">
        <v>269</v>
      </c>
      <c r="N146">
        <v>0</v>
      </c>
      <c r="O146" t="s">
        <v>145</v>
      </c>
      <c r="P146">
        <v>1270</v>
      </c>
      <c r="Q146">
        <v>413</v>
      </c>
      <c r="R146">
        <v>287</v>
      </c>
    </row>
    <row r="147" spans="1:18" x14ac:dyDescent="0.25">
      <c r="A147" t="s">
        <v>265</v>
      </c>
      <c r="B147" t="s">
        <v>266</v>
      </c>
      <c r="C147" t="s">
        <v>267</v>
      </c>
      <c r="D147" s="4" t="s">
        <v>270</v>
      </c>
      <c r="E147" t="s">
        <v>105</v>
      </c>
      <c r="F147" t="s">
        <v>59</v>
      </c>
      <c r="G147" s="5">
        <v>556</v>
      </c>
      <c r="H147" s="1">
        <v>44682</v>
      </c>
      <c r="I147" s="1">
        <v>44875</v>
      </c>
      <c r="J147" t="s">
        <v>268</v>
      </c>
      <c r="K147">
        <v>43.289501999999999</v>
      </c>
      <c r="L147">
        <v>-98.992805000000004</v>
      </c>
      <c r="M147" t="s">
        <v>269</v>
      </c>
      <c r="N147">
        <v>0</v>
      </c>
      <c r="O147" t="s">
        <v>145</v>
      </c>
    </row>
    <row r="148" spans="1:18" x14ac:dyDescent="0.25">
      <c r="A148" t="s">
        <v>271</v>
      </c>
      <c r="B148" t="s">
        <v>272</v>
      </c>
      <c r="C148" t="s">
        <v>273</v>
      </c>
      <c r="D148" s="4">
        <v>2021003</v>
      </c>
      <c r="E148" t="s">
        <v>54</v>
      </c>
      <c r="F148" t="s">
        <v>55</v>
      </c>
      <c r="G148" s="5">
        <v>329</v>
      </c>
      <c r="H148" s="1">
        <v>44409</v>
      </c>
      <c r="I148" s="1">
        <v>44454</v>
      </c>
      <c r="J148" t="s">
        <v>274</v>
      </c>
      <c r="K148">
        <v>45.244373000000003</v>
      </c>
      <c r="L148">
        <v>-96.858258000000006</v>
      </c>
      <c r="M148" t="s">
        <v>275</v>
      </c>
      <c r="N148">
        <v>120</v>
      </c>
      <c r="P148">
        <v>221</v>
      </c>
      <c r="Q148">
        <v>44</v>
      </c>
      <c r="R148">
        <v>29</v>
      </c>
    </row>
    <row r="149" spans="1:18" x14ac:dyDescent="0.25">
      <c r="A149" t="s">
        <v>271</v>
      </c>
      <c r="B149" t="s">
        <v>272</v>
      </c>
      <c r="C149" t="s">
        <v>273</v>
      </c>
      <c r="D149" s="4">
        <v>2021003</v>
      </c>
      <c r="E149" t="s">
        <v>54</v>
      </c>
      <c r="F149" t="s">
        <v>55</v>
      </c>
      <c r="G149" s="5">
        <v>329</v>
      </c>
      <c r="H149" s="1">
        <v>44409</v>
      </c>
      <c r="I149" s="1">
        <v>44423</v>
      </c>
      <c r="J149" t="s">
        <v>274</v>
      </c>
      <c r="K149">
        <v>45.271711000000003</v>
      </c>
      <c r="L149">
        <v>-96.847289000000004</v>
      </c>
      <c r="M149" t="s">
        <v>275</v>
      </c>
      <c r="N149">
        <v>135</v>
      </c>
      <c r="P149">
        <v>247</v>
      </c>
      <c r="Q149">
        <v>49</v>
      </c>
      <c r="R149">
        <v>32</v>
      </c>
    </row>
    <row r="150" spans="1:18" x14ac:dyDescent="0.25">
      <c r="A150" t="s">
        <v>271</v>
      </c>
      <c r="B150" t="s">
        <v>272</v>
      </c>
      <c r="C150" t="s">
        <v>273</v>
      </c>
      <c r="D150" s="4">
        <v>2021003</v>
      </c>
      <c r="E150" t="s">
        <v>56</v>
      </c>
      <c r="F150" t="s">
        <v>57</v>
      </c>
      <c r="G150" s="5">
        <v>340</v>
      </c>
      <c r="H150" s="1">
        <v>44378</v>
      </c>
      <c r="I150" s="1">
        <v>44392</v>
      </c>
      <c r="J150" t="s">
        <v>274</v>
      </c>
      <c r="K150">
        <v>45.244373000000003</v>
      </c>
      <c r="L150">
        <v>-96.858258000000006</v>
      </c>
      <c r="M150" t="s">
        <v>275</v>
      </c>
      <c r="N150">
        <v>120</v>
      </c>
      <c r="P150">
        <v>457</v>
      </c>
      <c r="Q150">
        <v>146</v>
      </c>
      <c r="R150">
        <v>100</v>
      </c>
    </row>
    <row r="151" spans="1:18" x14ac:dyDescent="0.25">
      <c r="A151" t="s">
        <v>271</v>
      </c>
      <c r="B151" t="s">
        <v>272</v>
      </c>
      <c r="C151" t="s">
        <v>273</v>
      </c>
      <c r="D151" s="4">
        <v>2021003</v>
      </c>
      <c r="E151" t="s">
        <v>56</v>
      </c>
      <c r="F151" t="s">
        <v>57</v>
      </c>
      <c r="G151" s="5">
        <v>240</v>
      </c>
      <c r="H151" s="1">
        <v>44378</v>
      </c>
      <c r="I151" s="1">
        <v>44386</v>
      </c>
      <c r="J151" t="s">
        <v>274</v>
      </c>
      <c r="K151">
        <v>45.271711000000003</v>
      </c>
      <c r="L151">
        <v>-96.847289000000004</v>
      </c>
      <c r="M151" t="s">
        <v>275</v>
      </c>
      <c r="N151">
        <v>135</v>
      </c>
      <c r="P151">
        <v>509</v>
      </c>
      <c r="Q151">
        <v>136</v>
      </c>
      <c r="R151">
        <v>111</v>
      </c>
    </row>
    <row r="152" spans="1:18" x14ac:dyDescent="0.25">
      <c r="A152" t="s">
        <v>271</v>
      </c>
      <c r="B152" t="s">
        <v>272</v>
      </c>
      <c r="C152" t="s">
        <v>273</v>
      </c>
      <c r="D152" s="4">
        <v>2021003</v>
      </c>
      <c r="E152" t="s">
        <v>105</v>
      </c>
      <c r="F152" t="s">
        <v>276</v>
      </c>
      <c r="G152" s="5">
        <v>528</v>
      </c>
      <c r="H152" s="1">
        <v>44440</v>
      </c>
      <c r="I152" s="1">
        <v>44470</v>
      </c>
      <c r="J152" t="s">
        <v>274</v>
      </c>
      <c r="K152">
        <v>45.244373000000003</v>
      </c>
      <c r="L152">
        <v>-96.858258000000006</v>
      </c>
      <c r="M152" t="s">
        <v>275</v>
      </c>
      <c r="N152">
        <v>120</v>
      </c>
    </row>
    <row r="153" spans="1:18" x14ac:dyDescent="0.25">
      <c r="A153" t="s">
        <v>271</v>
      </c>
      <c r="B153" t="s">
        <v>272</v>
      </c>
      <c r="C153" t="s">
        <v>273</v>
      </c>
      <c r="D153" s="4">
        <v>202401</v>
      </c>
      <c r="E153" t="s">
        <v>54</v>
      </c>
      <c r="F153" t="s">
        <v>55</v>
      </c>
      <c r="G153" s="5">
        <v>329</v>
      </c>
      <c r="H153" s="1">
        <v>45809</v>
      </c>
      <c r="I153" s="1">
        <v>45809</v>
      </c>
      <c r="J153" t="s">
        <v>274</v>
      </c>
      <c r="K153">
        <v>45.242403000000003</v>
      </c>
      <c r="L153">
        <v>-96.899850999999998</v>
      </c>
      <c r="M153" t="s">
        <v>275</v>
      </c>
      <c r="N153">
        <v>0</v>
      </c>
    </row>
    <row r="154" spans="1:18" x14ac:dyDescent="0.25">
      <c r="A154" t="s">
        <v>271</v>
      </c>
      <c r="B154" t="s">
        <v>272</v>
      </c>
      <c r="C154" t="s">
        <v>273</v>
      </c>
      <c r="D154" s="4">
        <v>202401</v>
      </c>
      <c r="E154" t="s">
        <v>56</v>
      </c>
      <c r="F154" t="s">
        <v>57</v>
      </c>
      <c r="G154" s="5">
        <v>340</v>
      </c>
      <c r="H154" s="1">
        <v>45809</v>
      </c>
      <c r="I154" s="1">
        <v>45809</v>
      </c>
      <c r="J154" t="s">
        <v>274</v>
      </c>
      <c r="K154">
        <v>45.242403000000003</v>
      </c>
      <c r="L154">
        <v>-96.899850999999998</v>
      </c>
      <c r="M154" t="s">
        <v>275</v>
      </c>
      <c r="N154">
        <v>0</v>
      </c>
    </row>
    <row r="155" spans="1:18" x14ac:dyDescent="0.25">
      <c r="A155" t="s">
        <v>278</v>
      </c>
      <c r="B155" t="s">
        <v>279</v>
      </c>
      <c r="C155" t="s">
        <v>280</v>
      </c>
      <c r="D155" s="4" t="s">
        <v>282</v>
      </c>
      <c r="E155" t="s">
        <v>83</v>
      </c>
      <c r="F155" t="s">
        <v>84</v>
      </c>
      <c r="G155" s="5">
        <v>328</v>
      </c>
      <c r="H155" s="1">
        <v>44287</v>
      </c>
      <c r="I155" s="1">
        <v>44409</v>
      </c>
      <c r="J155" t="s">
        <v>80</v>
      </c>
      <c r="K155">
        <v>43.737093000000002</v>
      </c>
      <c r="L155">
        <v>-96.603538</v>
      </c>
      <c r="M155" t="s">
        <v>281</v>
      </c>
      <c r="N155">
        <v>110</v>
      </c>
    </row>
    <row r="156" spans="1:18" x14ac:dyDescent="0.25">
      <c r="A156" t="s">
        <v>278</v>
      </c>
      <c r="B156" t="s">
        <v>279</v>
      </c>
      <c r="C156" t="s">
        <v>280</v>
      </c>
      <c r="D156" s="4" t="s">
        <v>282</v>
      </c>
      <c r="E156" t="s">
        <v>54</v>
      </c>
      <c r="F156" t="s">
        <v>55</v>
      </c>
      <c r="G156" s="5">
        <v>329</v>
      </c>
      <c r="H156" s="1">
        <v>44287</v>
      </c>
      <c r="I156" s="1">
        <v>44409</v>
      </c>
      <c r="J156" t="s">
        <v>80</v>
      </c>
      <c r="K156">
        <v>43.737093000000002</v>
      </c>
      <c r="L156">
        <v>-96.603538</v>
      </c>
      <c r="M156" t="s">
        <v>281</v>
      </c>
      <c r="N156">
        <v>110</v>
      </c>
      <c r="P156">
        <v>726</v>
      </c>
      <c r="Q156">
        <v>138</v>
      </c>
      <c r="R156">
        <v>89</v>
      </c>
    </row>
    <row r="157" spans="1:18" x14ac:dyDescent="0.25">
      <c r="A157" t="s">
        <v>278</v>
      </c>
      <c r="B157" t="s">
        <v>279</v>
      </c>
      <c r="C157" t="s">
        <v>280</v>
      </c>
      <c r="D157" s="4" t="s">
        <v>282</v>
      </c>
      <c r="E157" t="s">
        <v>56</v>
      </c>
      <c r="F157" t="s">
        <v>57</v>
      </c>
      <c r="G157" s="5">
        <v>340</v>
      </c>
      <c r="H157" s="1">
        <v>44291</v>
      </c>
      <c r="I157" s="1">
        <v>44493</v>
      </c>
      <c r="J157" t="s">
        <v>80</v>
      </c>
      <c r="K157">
        <v>43.737093000000002</v>
      </c>
      <c r="L157">
        <v>-96.603538</v>
      </c>
      <c r="M157" t="s">
        <v>281</v>
      </c>
      <c r="N157">
        <v>110</v>
      </c>
      <c r="P157">
        <v>813</v>
      </c>
      <c r="Q157">
        <v>282</v>
      </c>
      <c r="R157">
        <v>209</v>
      </c>
    </row>
    <row r="158" spans="1:18" x14ac:dyDescent="0.25">
      <c r="A158" t="s">
        <v>278</v>
      </c>
      <c r="B158" t="s">
        <v>279</v>
      </c>
      <c r="C158" t="s">
        <v>280</v>
      </c>
      <c r="D158" s="4" t="s">
        <v>283</v>
      </c>
      <c r="E158" t="s">
        <v>54</v>
      </c>
      <c r="F158" t="s">
        <v>55</v>
      </c>
      <c r="G158" s="5">
        <v>329</v>
      </c>
      <c r="H158" s="1">
        <v>44682</v>
      </c>
      <c r="I158" s="1">
        <v>44880</v>
      </c>
      <c r="J158" t="s">
        <v>80</v>
      </c>
      <c r="K158">
        <v>43.737093000000002</v>
      </c>
      <c r="L158">
        <v>-96.603538</v>
      </c>
      <c r="M158" t="s">
        <v>281</v>
      </c>
      <c r="N158">
        <v>110</v>
      </c>
      <c r="P158">
        <v>1090</v>
      </c>
      <c r="Q158">
        <v>208</v>
      </c>
      <c r="R158">
        <v>129</v>
      </c>
    </row>
    <row r="159" spans="1:18" x14ac:dyDescent="0.25">
      <c r="A159" t="s">
        <v>278</v>
      </c>
      <c r="B159" t="s">
        <v>279</v>
      </c>
      <c r="C159" t="s">
        <v>280</v>
      </c>
      <c r="D159" s="4" t="s">
        <v>283</v>
      </c>
      <c r="E159" t="s">
        <v>56</v>
      </c>
      <c r="F159" t="s">
        <v>57</v>
      </c>
      <c r="G159" s="5">
        <v>340</v>
      </c>
      <c r="H159" s="1">
        <v>44682</v>
      </c>
      <c r="I159" s="1">
        <v>44880</v>
      </c>
      <c r="J159" t="s">
        <v>80</v>
      </c>
      <c r="K159">
        <v>43.737093000000002</v>
      </c>
      <c r="L159">
        <v>-96.603538</v>
      </c>
      <c r="M159" t="s">
        <v>281</v>
      </c>
      <c r="N159">
        <v>110</v>
      </c>
      <c r="P159">
        <v>1005</v>
      </c>
      <c r="Q159">
        <v>334</v>
      </c>
      <c r="R159">
        <v>238</v>
      </c>
    </row>
    <row r="160" spans="1:18" x14ac:dyDescent="0.25">
      <c r="A160" t="s">
        <v>278</v>
      </c>
      <c r="B160" t="s">
        <v>279</v>
      </c>
      <c r="C160" t="s">
        <v>280</v>
      </c>
      <c r="D160" s="4" t="s">
        <v>283</v>
      </c>
      <c r="E160" t="s">
        <v>105</v>
      </c>
      <c r="F160" t="s">
        <v>59</v>
      </c>
      <c r="G160" s="5">
        <v>556</v>
      </c>
      <c r="H160" s="1">
        <v>44682</v>
      </c>
      <c r="I160" s="1">
        <v>44880</v>
      </c>
      <c r="J160" t="s">
        <v>80</v>
      </c>
      <c r="K160">
        <v>43.737093000000002</v>
      </c>
      <c r="L160">
        <v>-96.603538</v>
      </c>
      <c r="M160" t="s">
        <v>281</v>
      </c>
      <c r="N160">
        <v>110</v>
      </c>
    </row>
    <row r="161" spans="1:18" x14ac:dyDescent="0.25">
      <c r="A161" t="s">
        <v>284</v>
      </c>
      <c r="B161" t="s">
        <v>285</v>
      </c>
      <c r="C161" t="s">
        <v>286</v>
      </c>
      <c r="D161" s="4" t="s">
        <v>287</v>
      </c>
      <c r="E161" t="s">
        <v>54</v>
      </c>
      <c r="F161" t="s">
        <v>55</v>
      </c>
      <c r="G161" s="5">
        <v>329</v>
      </c>
      <c r="H161" s="1">
        <v>44682</v>
      </c>
      <c r="I161" s="1">
        <v>44844</v>
      </c>
      <c r="J161" t="s">
        <v>69</v>
      </c>
      <c r="K161">
        <v>43.903872999999997</v>
      </c>
      <c r="L161">
        <v>-97.753050999999999</v>
      </c>
      <c r="M161" t="s">
        <v>189</v>
      </c>
      <c r="N161">
        <v>0</v>
      </c>
      <c r="O161" t="s">
        <v>145</v>
      </c>
      <c r="P161">
        <v>152</v>
      </c>
      <c r="Q161">
        <v>23</v>
      </c>
      <c r="R161">
        <v>13</v>
      </c>
    </row>
    <row r="162" spans="1:18" x14ac:dyDescent="0.25">
      <c r="A162" t="s">
        <v>284</v>
      </c>
      <c r="B162" t="s">
        <v>285</v>
      </c>
      <c r="C162" t="s">
        <v>286</v>
      </c>
      <c r="D162" s="4" t="s">
        <v>287</v>
      </c>
      <c r="E162" t="s">
        <v>56</v>
      </c>
      <c r="F162" t="s">
        <v>57</v>
      </c>
      <c r="G162" s="5">
        <v>340</v>
      </c>
      <c r="H162" s="1">
        <v>44655</v>
      </c>
      <c r="I162" s="1">
        <v>44837</v>
      </c>
      <c r="J162" t="s">
        <v>69</v>
      </c>
      <c r="K162">
        <v>43.903872999999997</v>
      </c>
      <c r="L162">
        <v>-97.753050999999999</v>
      </c>
      <c r="M162" t="s">
        <v>189</v>
      </c>
      <c r="N162">
        <v>0</v>
      </c>
      <c r="O162" t="s">
        <v>145</v>
      </c>
      <c r="P162">
        <v>258</v>
      </c>
      <c r="Q162">
        <v>74</v>
      </c>
      <c r="R162">
        <v>43</v>
      </c>
    </row>
    <row r="163" spans="1:18" x14ac:dyDescent="0.25">
      <c r="A163" t="s">
        <v>288</v>
      </c>
      <c r="B163" t="s">
        <v>289</v>
      </c>
      <c r="C163" t="s">
        <v>290</v>
      </c>
      <c r="D163" s="4" t="s">
        <v>292</v>
      </c>
      <c r="E163" t="s">
        <v>54</v>
      </c>
      <c r="F163" t="s">
        <v>55</v>
      </c>
      <c r="G163" s="5">
        <v>329</v>
      </c>
      <c r="H163" s="1">
        <v>45047</v>
      </c>
      <c r="I163" s="1">
        <v>45168</v>
      </c>
      <c r="J163" t="s">
        <v>291</v>
      </c>
      <c r="K163">
        <v>44.593342</v>
      </c>
      <c r="L163">
        <v>-97.234306000000004</v>
      </c>
      <c r="M163" t="s">
        <v>128</v>
      </c>
      <c r="N163">
        <v>14</v>
      </c>
      <c r="P163">
        <v>27</v>
      </c>
      <c r="Q163">
        <v>6</v>
      </c>
      <c r="R163">
        <v>4</v>
      </c>
    </row>
    <row r="164" spans="1:18" x14ac:dyDescent="0.25">
      <c r="A164" t="s">
        <v>288</v>
      </c>
      <c r="B164" t="s">
        <v>289</v>
      </c>
      <c r="C164" t="s">
        <v>290</v>
      </c>
      <c r="D164" s="4" t="s">
        <v>292</v>
      </c>
      <c r="E164" t="s">
        <v>56</v>
      </c>
      <c r="F164" t="s">
        <v>57</v>
      </c>
      <c r="G164" s="5">
        <v>340</v>
      </c>
      <c r="H164" s="1">
        <v>45047</v>
      </c>
      <c r="I164" s="1">
        <v>45168</v>
      </c>
      <c r="J164" t="s">
        <v>291</v>
      </c>
      <c r="K164">
        <v>44.593342</v>
      </c>
      <c r="L164">
        <v>-97.234306000000004</v>
      </c>
      <c r="M164" t="s">
        <v>128</v>
      </c>
      <c r="N164">
        <v>14</v>
      </c>
      <c r="P164">
        <v>65</v>
      </c>
      <c r="Q164">
        <v>22</v>
      </c>
      <c r="R164">
        <v>16</v>
      </c>
    </row>
    <row r="165" spans="1:18" x14ac:dyDescent="0.25">
      <c r="A165" t="s">
        <v>293</v>
      </c>
      <c r="B165" t="s">
        <v>294</v>
      </c>
      <c r="C165" t="s">
        <v>295</v>
      </c>
      <c r="D165" s="4">
        <v>2021009</v>
      </c>
      <c r="E165" t="s">
        <v>54</v>
      </c>
      <c r="F165" t="s">
        <v>55</v>
      </c>
      <c r="G165" s="5">
        <v>329</v>
      </c>
      <c r="H165" s="1">
        <v>44317</v>
      </c>
      <c r="I165" s="1">
        <v>44331</v>
      </c>
      <c r="J165" t="s">
        <v>222</v>
      </c>
      <c r="K165">
        <v>44.897343999999997</v>
      </c>
      <c r="L165">
        <v>-97.198954999999998</v>
      </c>
      <c r="M165" t="s">
        <v>223</v>
      </c>
      <c r="N165">
        <v>24</v>
      </c>
      <c r="P165">
        <v>105</v>
      </c>
      <c r="Q165">
        <v>33</v>
      </c>
      <c r="R165">
        <v>24</v>
      </c>
    </row>
    <row r="166" spans="1:18" x14ac:dyDescent="0.25">
      <c r="A166" t="s">
        <v>293</v>
      </c>
      <c r="B166" t="s">
        <v>294</v>
      </c>
      <c r="C166" t="s">
        <v>295</v>
      </c>
      <c r="D166" s="4">
        <v>2021009</v>
      </c>
      <c r="E166" t="s">
        <v>56</v>
      </c>
      <c r="F166" t="s">
        <v>57</v>
      </c>
      <c r="G166" s="5">
        <v>340</v>
      </c>
      <c r="H166" s="1">
        <v>44287</v>
      </c>
      <c r="I166" s="1">
        <v>44361</v>
      </c>
      <c r="J166" t="s">
        <v>222</v>
      </c>
      <c r="K166">
        <v>44.897343999999997</v>
      </c>
      <c r="L166">
        <v>-97.198954999999998</v>
      </c>
      <c r="M166" t="s">
        <v>223</v>
      </c>
      <c r="N166">
        <v>24</v>
      </c>
      <c r="P166">
        <v>129</v>
      </c>
      <c r="Q166">
        <v>44</v>
      </c>
      <c r="R166">
        <v>32</v>
      </c>
    </row>
    <row r="167" spans="1:18" x14ac:dyDescent="0.25">
      <c r="A167" t="s">
        <v>296</v>
      </c>
      <c r="B167" t="s">
        <v>297</v>
      </c>
      <c r="C167" t="s">
        <v>298</v>
      </c>
      <c r="D167" s="4">
        <v>2006</v>
      </c>
      <c r="E167" t="s">
        <v>54</v>
      </c>
      <c r="F167" t="s">
        <v>55</v>
      </c>
      <c r="G167" s="5">
        <v>329</v>
      </c>
      <c r="H167" s="1">
        <v>44761</v>
      </c>
      <c r="I167" s="1">
        <v>44761</v>
      </c>
      <c r="J167" t="s">
        <v>99</v>
      </c>
      <c r="K167">
        <v>43.287734999999998</v>
      </c>
      <c r="L167">
        <v>-97.55744</v>
      </c>
      <c r="M167" t="s">
        <v>64</v>
      </c>
      <c r="N167">
        <v>0</v>
      </c>
      <c r="O167" t="s">
        <v>145</v>
      </c>
      <c r="P167">
        <v>117</v>
      </c>
      <c r="Q167">
        <v>28</v>
      </c>
      <c r="R167">
        <v>20</v>
      </c>
    </row>
    <row r="168" spans="1:18" x14ac:dyDescent="0.25">
      <c r="A168" t="s">
        <v>296</v>
      </c>
      <c r="B168" t="s">
        <v>297</v>
      </c>
      <c r="C168" t="s">
        <v>298</v>
      </c>
      <c r="D168" s="4">
        <v>2006</v>
      </c>
      <c r="E168" t="s">
        <v>56</v>
      </c>
      <c r="F168" t="s">
        <v>57</v>
      </c>
      <c r="G168" s="5">
        <v>340</v>
      </c>
      <c r="H168" s="1">
        <v>44761</v>
      </c>
      <c r="I168" s="1">
        <v>44761</v>
      </c>
      <c r="J168" t="s">
        <v>99</v>
      </c>
      <c r="K168">
        <v>43.287734999999998</v>
      </c>
      <c r="L168">
        <v>-97.55744</v>
      </c>
      <c r="M168" t="s">
        <v>64</v>
      </c>
      <c r="N168">
        <v>0</v>
      </c>
      <c r="O168" t="s">
        <v>145</v>
      </c>
      <c r="P168">
        <v>303</v>
      </c>
      <c r="Q168">
        <v>105</v>
      </c>
      <c r="R168">
        <v>77</v>
      </c>
    </row>
    <row r="169" spans="1:18" x14ac:dyDescent="0.25">
      <c r="A169" t="s">
        <v>299</v>
      </c>
      <c r="B169" t="s">
        <v>300</v>
      </c>
      <c r="C169" t="s">
        <v>301</v>
      </c>
      <c r="D169" s="4">
        <v>202205</v>
      </c>
      <c r="E169" t="s">
        <v>54</v>
      </c>
      <c r="F169" t="s">
        <v>55</v>
      </c>
      <c r="G169" s="5">
        <v>329</v>
      </c>
      <c r="H169" s="1">
        <v>44682</v>
      </c>
      <c r="I169" s="1">
        <v>44713</v>
      </c>
      <c r="J169" t="s">
        <v>302</v>
      </c>
      <c r="K169">
        <v>45.381179000000003</v>
      </c>
      <c r="L169">
        <v>-96.785336999999998</v>
      </c>
      <c r="M169" t="s">
        <v>275</v>
      </c>
      <c r="N169">
        <v>45</v>
      </c>
      <c r="P169">
        <v>91</v>
      </c>
      <c r="Q169">
        <v>21</v>
      </c>
      <c r="R169">
        <v>14</v>
      </c>
    </row>
    <row r="170" spans="1:18" x14ac:dyDescent="0.25">
      <c r="A170" t="s">
        <v>299</v>
      </c>
      <c r="B170" t="s">
        <v>300</v>
      </c>
      <c r="C170" t="s">
        <v>301</v>
      </c>
      <c r="D170" s="4">
        <v>202205</v>
      </c>
      <c r="E170" t="s">
        <v>56</v>
      </c>
      <c r="F170" t="s">
        <v>57</v>
      </c>
      <c r="G170" s="5">
        <v>340</v>
      </c>
      <c r="H170" s="1">
        <v>44743</v>
      </c>
      <c r="I170" s="1">
        <v>45047</v>
      </c>
      <c r="J170" t="s">
        <v>302</v>
      </c>
      <c r="K170">
        <v>45.381179000000003</v>
      </c>
      <c r="L170">
        <v>-96.785336999999998</v>
      </c>
      <c r="M170" t="s">
        <v>275</v>
      </c>
      <c r="N170">
        <v>45</v>
      </c>
      <c r="P170">
        <v>208</v>
      </c>
      <c r="Q170">
        <v>70</v>
      </c>
      <c r="R170">
        <v>50</v>
      </c>
    </row>
    <row r="171" spans="1:18" x14ac:dyDescent="0.25">
      <c r="A171" t="s">
        <v>299</v>
      </c>
      <c r="B171" t="s">
        <v>300</v>
      </c>
      <c r="C171" t="s">
        <v>303</v>
      </c>
      <c r="D171" s="4" t="s">
        <v>240</v>
      </c>
      <c r="E171" t="s">
        <v>75</v>
      </c>
      <c r="F171" t="s">
        <v>304</v>
      </c>
      <c r="G171" s="5">
        <v>516</v>
      </c>
      <c r="H171" s="1">
        <v>45214</v>
      </c>
      <c r="I171" s="1">
        <v>45255</v>
      </c>
      <c r="J171" t="s">
        <v>302</v>
      </c>
      <c r="K171">
        <v>45.379987999999997</v>
      </c>
      <c r="L171">
        <v>-96.794134999999997</v>
      </c>
      <c r="M171" t="s">
        <v>275</v>
      </c>
      <c r="N171">
        <v>0</v>
      </c>
      <c r="O171" t="s">
        <v>145</v>
      </c>
      <c r="P171">
        <v>407</v>
      </c>
      <c r="Q171">
        <v>77</v>
      </c>
      <c r="R171">
        <v>41</v>
      </c>
    </row>
    <row r="172" spans="1:18" x14ac:dyDescent="0.25">
      <c r="A172" t="s">
        <v>299</v>
      </c>
      <c r="B172" t="s">
        <v>300</v>
      </c>
      <c r="C172" t="s">
        <v>303</v>
      </c>
      <c r="D172" s="4" t="s">
        <v>240</v>
      </c>
      <c r="E172" t="s">
        <v>75</v>
      </c>
      <c r="F172" t="s">
        <v>305</v>
      </c>
      <c r="G172" s="5">
        <v>382</v>
      </c>
      <c r="H172" s="1">
        <v>45214</v>
      </c>
      <c r="I172" s="1">
        <v>45255</v>
      </c>
      <c r="J172" t="s">
        <v>302</v>
      </c>
      <c r="K172">
        <v>45.379987999999997</v>
      </c>
      <c r="L172">
        <v>-96.794134999999997</v>
      </c>
      <c r="M172" t="s">
        <v>275</v>
      </c>
    </row>
    <row r="173" spans="1:18" x14ac:dyDescent="0.25">
      <c r="A173" t="s">
        <v>299</v>
      </c>
      <c r="B173" t="s">
        <v>300</v>
      </c>
      <c r="C173" t="s">
        <v>303</v>
      </c>
      <c r="D173" s="4" t="s">
        <v>240</v>
      </c>
      <c r="E173" t="s">
        <v>75</v>
      </c>
      <c r="F173" t="s">
        <v>306</v>
      </c>
      <c r="H173" s="1">
        <v>45214</v>
      </c>
      <c r="I173" s="1">
        <v>45255</v>
      </c>
      <c r="J173" t="s">
        <v>302</v>
      </c>
      <c r="K173">
        <v>45.379987999999997</v>
      </c>
      <c r="L173">
        <v>-96.794134999999997</v>
      </c>
      <c r="M173" t="s">
        <v>275</v>
      </c>
    </row>
    <row r="174" spans="1:18" x14ac:dyDescent="0.25">
      <c r="A174" t="s">
        <v>299</v>
      </c>
      <c r="B174" t="s">
        <v>300</v>
      </c>
      <c r="C174" t="s">
        <v>303</v>
      </c>
      <c r="D174" s="4" t="s">
        <v>240</v>
      </c>
      <c r="E174" t="s">
        <v>75</v>
      </c>
      <c r="F174" t="s">
        <v>307</v>
      </c>
      <c r="G174" s="5">
        <v>614</v>
      </c>
      <c r="H174" s="1">
        <v>45214</v>
      </c>
      <c r="I174" s="1">
        <v>45255</v>
      </c>
      <c r="J174" t="s">
        <v>302</v>
      </c>
      <c r="K174">
        <v>45.379987999999997</v>
      </c>
      <c r="L174">
        <v>-96.794134999999997</v>
      </c>
      <c r="M174" t="s">
        <v>275</v>
      </c>
    </row>
    <row r="175" spans="1:18" x14ac:dyDescent="0.25">
      <c r="A175" t="s">
        <v>308</v>
      </c>
      <c r="B175" t="s">
        <v>261</v>
      </c>
      <c r="C175" t="s">
        <v>309</v>
      </c>
      <c r="D175" s="4" t="s">
        <v>312</v>
      </c>
      <c r="E175" t="s">
        <v>75</v>
      </c>
      <c r="F175" t="s">
        <v>304</v>
      </c>
      <c r="G175" s="5">
        <v>516</v>
      </c>
      <c r="H175" s="1">
        <v>44287</v>
      </c>
      <c r="I175" s="1">
        <v>45139</v>
      </c>
      <c r="J175" t="s">
        <v>310</v>
      </c>
      <c r="K175">
        <v>44.665036999999998</v>
      </c>
      <c r="L175">
        <v>-103.573125</v>
      </c>
      <c r="M175" t="s">
        <v>311</v>
      </c>
      <c r="N175">
        <v>310</v>
      </c>
      <c r="P175">
        <v>306</v>
      </c>
      <c r="Q175">
        <v>68</v>
      </c>
      <c r="R175">
        <v>42</v>
      </c>
    </row>
    <row r="176" spans="1:18" x14ac:dyDescent="0.25">
      <c r="A176" t="s">
        <v>313</v>
      </c>
      <c r="B176" t="s">
        <v>314</v>
      </c>
      <c r="C176" t="s">
        <v>315</v>
      </c>
      <c r="D176" s="4" t="s">
        <v>318</v>
      </c>
      <c r="E176" t="s">
        <v>54</v>
      </c>
      <c r="F176" t="s">
        <v>55</v>
      </c>
      <c r="G176" s="5">
        <v>329</v>
      </c>
      <c r="H176" s="1">
        <v>45047</v>
      </c>
      <c r="I176" s="1">
        <v>45077</v>
      </c>
      <c r="J176" t="s">
        <v>316</v>
      </c>
      <c r="K176">
        <v>44.672642000000003</v>
      </c>
      <c r="L176">
        <v>-103.310658</v>
      </c>
      <c r="M176" t="s">
        <v>317</v>
      </c>
      <c r="N176">
        <v>0</v>
      </c>
      <c r="O176" t="s">
        <v>145</v>
      </c>
      <c r="P176">
        <v>57</v>
      </c>
      <c r="Q176">
        <v>13</v>
      </c>
      <c r="R176">
        <v>10</v>
      </c>
    </row>
    <row r="177" spans="1:18" x14ac:dyDescent="0.25">
      <c r="A177" t="s">
        <v>313</v>
      </c>
      <c r="B177" t="s">
        <v>314</v>
      </c>
      <c r="C177" t="s">
        <v>315</v>
      </c>
      <c r="D177" s="4" t="s">
        <v>318</v>
      </c>
      <c r="E177" t="s">
        <v>132</v>
      </c>
      <c r="F177" t="s">
        <v>133</v>
      </c>
      <c r="H177" s="1">
        <v>45078</v>
      </c>
      <c r="I177" s="1">
        <v>45107</v>
      </c>
      <c r="J177" t="s">
        <v>316</v>
      </c>
      <c r="K177">
        <v>44.672642000000003</v>
      </c>
      <c r="L177">
        <v>-103.310658</v>
      </c>
      <c r="M177" t="s">
        <v>317</v>
      </c>
      <c r="N177">
        <v>0</v>
      </c>
      <c r="O177" t="s">
        <v>145</v>
      </c>
      <c r="P177">
        <v>134</v>
      </c>
      <c r="Q177">
        <v>45</v>
      </c>
      <c r="R177">
        <v>33</v>
      </c>
    </row>
    <row r="178" spans="1:18" x14ac:dyDescent="0.25">
      <c r="A178" t="s">
        <v>319</v>
      </c>
      <c r="B178" t="s">
        <v>320</v>
      </c>
      <c r="C178" t="s">
        <v>321</v>
      </c>
      <c r="D178" s="4">
        <v>2010</v>
      </c>
      <c r="E178" t="s">
        <v>54</v>
      </c>
      <c r="F178" t="s">
        <v>55</v>
      </c>
      <c r="G178" s="5">
        <v>329</v>
      </c>
      <c r="H178" s="1">
        <v>44808</v>
      </c>
      <c r="I178" s="1">
        <v>44814</v>
      </c>
      <c r="J178" t="s">
        <v>99</v>
      </c>
      <c r="K178">
        <v>43.312444999999997</v>
      </c>
      <c r="L178">
        <v>-97.384052999999994</v>
      </c>
      <c r="M178" t="s">
        <v>100</v>
      </c>
      <c r="N178">
        <v>0</v>
      </c>
      <c r="O178" t="s">
        <v>145</v>
      </c>
      <c r="P178">
        <v>220</v>
      </c>
      <c r="Q178">
        <v>53</v>
      </c>
      <c r="R178">
        <v>37</v>
      </c>
    </row>
    <row r="179" spans="1:18" x14ac:dyDescent="0.25">
      <c r="A179" t="s">
        <v>319</v>
      </c>
      <c r="B179" t="s">
        <v>320</v>
      </c>
      <c r="C179" t="s">
        <v>321</v>
      </c>
      <c r="D179" s="4">
        <v>2010</v>
      </c>
      <c r="E179" t="s">
        <v>56</v>
      </c>
      <c r="F179" t="s">
        <v>57</v>
      </c>
      <c r="G179" s="5">
        <v>340</v>
      </c>
      <c r="H179" s="1">
        <v>44808</v>
      </c>
      <c r="I179" s="1">
        <v>44814</v>
      </c>
      <c r="J179" t="s">
        <v>99</v>
      </c>
      <c r="K179">
        <v>43.312444999999997</v>
      </c>
      <c r="L179">
        <v>-97.384052999999994</v>
      </c>
      <c r="M179" t="s">
        <v>100</v>
      </c>
      <c r="N179">
        <v>0</v>
      </c>
      <c r="O179" t="s">
        <v>145</v>
      </c>
      <c r="P179">
        <v>571</v>
      </c>
      <c r="Q179">
        <v>198</v>
      </c>
      <c r="R179">
        <v>145</v>
      </c>
    </row>
    <row r="180" spans="1:18" x14ac:dyDescent="0.25">
      <c r="A180" t="s">
        <v>322</v>
      </c>
      <c r="B180" t="s">
        <v>323</v>
      </c>
      <c r="C180" t="s">
        <v>324</v>
      </c>
      <c r="D180" s="4">
        <v>202207</v>
      </c>
      <c r="E180" t="s">
        <v>54</v>
      </c>
      <c r="F180" t="s">
        <v>55</v>
      </c>
      <c r="G180" s="5">
        <v>329</v>
      </c>
      <c r="H180" s="1">
        <v>45078</v>
      </c>
      <c r="I180" s="1">
        <v>45108</v>
      </c>
      <c r="J180" t="s">
        <v>325</v>
      </c>
      <c r="K180">
        <v>45.397055000000002</v>
      </c>
      <c r="L180">
        <v>-97.127134999999996</v>
      </c>
      <c r="M180" t="s">
        <v>223</v>
      </c>
      <c r="N180">
        <v>18</v>
      </c>
      <c r="P180">
        <v>39</v>
      </c>
      <c r="Q180">
        <v>9</v>
      </c>
      <c r="R180">
        <v>6</v>
      </c>
    </row>
    <row r="181" spans="1:18" x14ac:dyDescent="0.25">
      <c r="A181" t="s">
        <v>322</v>
      </c>
      <c r="B181" t="s">
        <v>323</v>
      </c>
      <c r="C181" t="s">
        <v>324</v>
      </c>
      <c r="D181" s="4">
        <v>202207</v>
      </c>
      <c r="E181" t="s">
        <v>56</v>
      </c>
      <c r="F181" t="s">
        <v>57</v>
      </c>
      <c r="G181" s="5">
        <v>340</v>
      </c>
      <c r="H181" s="1">
        <v>44682</v>
      </c>
      <c r="I181" s="1">
        <v>45078</v>
      </c>
      <c r="J181" t="s">
        <v>325</v>
      </c>
      <c r="K181">
        <v>45.397055000000002</v>
      </c>
      <c r="L181">
        <v>-97.127134999999996</v>
      </c>
      <c r="M181" t="s">
        <v>223</v>
      </c>
      <c r="N181">
        <v>18</v>
      </c>
      <c r="P181">
        <v>100</v>
      </c>
      <c r="Q181">
        <v>34</v>
      </c>
      <c r="R181">
        <v>25</v>
      </c>
    </row>
    <row r="182" spans="1:18" x14ac:dyDescent="0.25">
      <c r="A182" t="s">
        <v>326</v>
      </c>
      <c r="B182" t="s">
        <v>327</v>
      </c>
      <c r="C182" t="s">
        <v>328</v>
      </c>
      <c r="D182" s="4">
        <v>20211917</v>
      </c>
      <c r="E182" t="s">
        <v>54</v>
      </c>
      <c r="F182" t="s">
        <v>55</v>
      </c>
      <c r="G182" s="5">
        <v>329</v>
      </c>
      <c r="H182" s="1">
        <v>44317</v>
      </c>
      <c r="I182" s="1">
        <v>44484</v>
      </c>
      <c r="J182" t="s">
        <v>178</v>
      </c>
      <c r="K182">
        <v>42.942016000000002</v>
      </c>
      <c r="L182">
        <v>-98.084417000000002</v>
      </c>
      <c r="M182" t="s">
        <v>113</v>
      </c>
      <c r="N182">
        <v>222</v>
      </c>
    </row>
    <row r="183" spans="1:18" x14ac:dyDescent="0.25">
      <c r="A183" t="s">
        <v>326</v>
      </c>
      <c r="B183" t="s">
        <v>327</v>
      </c>
      <c r="C183" t="s">
        <v>328</v>
      </c>
      <c r="D183" s="4">
        <v>20211917</v>
      </c>
      <c r="E183" t="s">
        <v>56</v>
      </c>
      <c r="F183" t="s">
        <v>57</v>
      </c>
      <c r="G183" s="5">
        <v>340</v>
      </c>
      <c r="H183" s="1">
        <v>44378</v>
      </c>
      <c r="I183" s="1">
        <v>44489</v>
      </c>
      <c r="J183" t="s">
        <v>178</v>
      </c>
      <c r="K183">
        <v>42.942016000000002</v>
      </c>
      <c r="L183">
        <v>-98.084417000000002</v>
      </c>
      <c r="M183" t="s">
        <v>113</v>
      </c>
      <c r="N183">
        <v>222</v>
      </c>
      <c r="P183">
        <v>1205</v>
      </c>
      <c r="Q183">
        <v>405</v>
      </c>
      <c r="R183">
        <v>291</v>
      </c>
    </row>
    <row r="184" spans="1:18" x14ac:dyDescent="0.25">
      <c r="A184" t="s">
        <v>326</v>
      </c>
      <c r="B184" t="s">
        <v>329</v>
      </c>
      <c r="C184" t="s">
        <v>328</v>
      </c>
      <c r="D184" s="4">
        <v>20211916</v>
      </c>
      <c r="E184" t="s">
        <v>54</v>
      </c>
      <c r="F184" t="s">
        <v>55</v>
      </c>
      <c r="G184" s="5">
        <v>329</v>
      </c>
      <c r="H184" s="1">
        <v>44317</v>
      </c>
      <c r="I184" s="1">
        <v>44409</v>
      </c>
      <c r="J184" t="s">
        <v>178</v>
      </c>
      <c r="K184">
        <v>42.941783999999998</v>
      </c>
      <c r="L184">
        <v>-98.080903000000006</v>
      </c>
      <c r="M184" t="s">
        <v>113</v>
      </c>
      <c r="N184">
        <v>112</v>
      </c>
    </row>
    <row r="185" spans="1:18" x14ac:dyDescent="0.25">
      <c r="A185" t="s">
        <v>326</v>
      </c>
      <c r="B185" t="s">
        <v>329</v>
      </c>
      <c r="C185" t="s">
        <v>328</v>
      </c>
      <c r="D185" s="4">
        <v>20211916</v>
      </c>
      <c r="E185" t="s">
        <v>56</v>
      </c>
      <c r="F185" t="s">
        <v>57</v>
      </c>
      <c r="G185" s="5">
        <v>340</v>
      </c>
      <c r="H185" s="1">
        <v>44431</v>
      </c>
      <c r="I185" s="1">
        <v>44479</v>
      </c>
      <c r="J185" t="s">
        <v>178</v>
      </c>
      <c r="K185">
        <v>42.941783999999998</v>
      </c>
      <c r="L185">
        <v>-98.080903000000006</v>
      </c>
      <c r="M185" t="s">
        <v>113</v>
      </c>
      <c r="N185">
        <v>112</v>
      </c>
      <c r="P185">
        <v>829</v>
      </c>
      <c r="Q185">
        <v>289</v>
      </c>
      <c r="R185">
        <v>216</v>
      </c>
    </row>
    <row r="186" spans="1:18" x14ac:dyDescent="0.25">
      <c r="A186" t="s">
        <v>330</v>
      </c>
      <c r="B186" t="s">
        <v>331</v>
      </c>
      <c r="C186" t="s">
        <v>332</v>
      </c>
      <c r="D186" s="4">
        <v>2011</v>
      </c>
      <c r="E186" t="s">
        <v>54</v>
      </c>
      <c r="F186" t="s">
        <v>55</v>
      </c>
      <c r="G186" s="5">
        <v>329</v>
      </c>
      <c r="H186" s="1">
        <v>44774</v>
      </c>
      <c r="I186" s="1">
        <v>44803</v>
      </c>
      <c r="J186" t="s">
        <v>333</v>
      </c>
      <c r="K186">
        <v>45.250387000000003</v>
      </c>
      <c r="L186">
        <v>-99.839172000000005</v>
      </c>
      <c r="M186" t="s">
        <v>334</v>
      </c>
      <c r="N186">
        <v>0</v>
      </c>
      <c r="O186" t="s">
        <v>145</v>
      </c>
      <c r="P186">
        <v>295</v>
      </c>
      <c r="Q186">
        <v>65</v>
      </c>
      <c r="R186">
        <v>44</v>
      </c>
    </row>
    <row r="187" spans="1:18" x14ac:dyDescent="0.25">
      <c r="A187" t="s">
        <v>330</v>
      </c>
      <c r="B187" t="s">
        <v>331</v>
      </c>
      <c r="C187" t="s">
        <v>332</v>
      </c>
      <c r="D187" s="4">
        <v>2011</v>
      </c>
      <c r="E187" t="s">
        <v>56</v>
      </c>
      <c r="F187" t="s">
        <v>57</v>
      </c>
      <c r="G187" s="5">
        <v>340</v>
      </c>
      <c r="H187" s="1">
        <v>44774</v>
      </c>
      <c r="I187" s="1">
        <v>44798</v>
      </c>
      <c r="J187" t="s">
        <v>333</v>
      </c>
      <c r="K187">
        <v>45.250387000000003</v>
      </c>
      <c r="L187">
        <v>-99.839172000000005</v>
      </c>
      <c r="M187" t="s">
        <v>334</v>
      </c>
      <c r="N187">
        <v>0</v>
      </c>
      <c r="O187" t="s">
        <v>145</v>
      </c>
      <c r="P187">
        <v>717.1</v>
      </c>
      <c r="Q187">
        <v>242.7</v>
      </c>
      <c r="R187">
        <v>172.6</v>
      </c>
    </row>
    <row r="188" spans="1:18" x14ac:dyDescent="0.25">
      <c r="A188" t="s">
        <v>330</v>
      </c>
      <c r="B188" t="s">
        <v>331</v>
      </c>
      <c r="C188" t="s">
        <v>332</v>
      </c>
      <c r="D188" s="4">
        <v>2012</v>
      </c>
      <c r="E188" t="s">
        <v>54</v>
      </c>
      <c r="F188" t="s">
        <v>55</v>
      </c>
      <c r="G188" s="5">
        <v>329</v>
      </c>
      <c r="H188" s="1">
        <v>44743</v>
      </c>
      <c r="I188" s="1">
        <v>44798</v>
      </c>
      <c r="J188" t="s">
        <v>333</v>
      </c>
      <c r="K188">
        <v>45.234704000000001</v>
      </c>
      <c r="L188">
        <v>-99.833923999999996</v>
      </c>
      <c r="M188" t="s">
        <v>334</v>
      </c>
      <c r="N188">
        <v>0</v>
      </c>
      <c r="O188" t="s">
        <v>145</v>
      </c>
      <c r="P188">
        <v>211</v>
      </c>
      <c r="Q188">
        <v>46.8</v>
      </c>
      <c r="R188">
        <v>32.200000000000003</v>
      </c>
    </row>
    <row r="189" spans="1:18" x14ac:dyDescent="0.25">
      <c r="A189" t="s">
        <v>330</v>
      </c>
      <c r="B189" t="s">
        <v>331</v>
      </c>
      <c r="C189" t="s">
        <v>332</v>
      </c>
      <c r="D189" s="4">
        <v>2012</v>
      </c>
      <c r="E189" t="s">
        <v>56</v>
      </c>
      <c r="F189" t="s">
        <v>57</v>
      </c>
      <c r="G189" s="5">
        <v>340</v>
      </c>
      <c r="H189" s="1">
        <v>44774</v>
      </c>
      <c r="I189" s="1">
        <v>44798</v>
      </c>
      <c r="J189" t="s">
        <v>333</v>
      </c>
      <c r="K189">
        <v>45.234704000000001</v>
      </c>
      <c r="L189">
        <v>-99.833923999999996</v>
      </c>
      <c r="M189" t="s">
        <v>334</v>
      </c>
      <c r="N189">
        <v>0</v>
      </c>
      <c r="O189" t="s">
        <v>145</v>
      </c>
      <c r="P189">
        <v>519.6</v>
      </c>
      <c r="Q189">
        <v>176.7</v>
      </c>
      <c r="R189">
        <v>126.3</v>
      </c>
    </row>
    <row r="190" spans="1:18" x14ac:dyDescent="0.25">
      <c r="A190" t="s">
        <v>330</v>
      </c>
      <c r="B190" t="s">
        <v>331</v>
      </c>
      <c r="C190" t="s">
        <v>332</v>
      </c>
      <c r="D190" s="4">
        <v>2013</v>
      </c>
      <c r="E190" t="s">
        <v>54</v>
      </c>
      <c r="F190" t="s">
        <v>55</v>
      </c>
      <c r="G190" s="5">
        <v>329</v>
      </c>
      <c r="H190" s="1">
        <v>44774</v>
      </c>
      <c r="I190" s="1">
        <v>44798</v>
      </c>
      <c r="J190" t="s">
        <v>333</v>
      </c>
      <c r="K190">
        <v>45.243166000000002</v>
      </c>
      <c r="L190">
        <v>-99.834352999999993</v>
      </c>
      <c r="M190" t="s">
        <v>334</v>
      </c>
      <c r="N190">
        <v>0</v>
      </c>
      <c r="O190" t="s">
        <v>145</v>
      </c>
      <c r="P190">
        <v>176.1</v>
      </c>
      <c r="Q190">
        <v>39.4</v>
      </c>
      <c r="R190">
        <v>27.3</v>
      </c>
    </row>
    <row r="191" spans="1:18" x14ac:dyDescent="0.25">
      <c r="A191" t="s">
        <v>330</v>
      </c>
      <c r="B191" t="s">
        <v>331</v>
      </c>
      <c r="C191" t="s">
        <v>332</v>
      </c>
      <c r="D191" s="4">
        <v>2013</v>
      </c>
      <c r="E191" t="s">
        <v>56</v>
      </c>
      <c r="F191" t="s">
        <v>57</v>
      </c>
      <c r="G191" s="5">
        <v>340</v>
      </c>
      <c r="H191" s="1">
        <v>44774</v>
      </c>
      <c r="I191" s="1">
        <v>44798</v>
      </c>
      <c r="J191" t="s">
        <v>333</v>
      </c>
      <c r="K191">
        <v>45.243166000000002</v>
      </c>
      <c r="L191">
        <v>-99.834352999999993</v>
      </c>
      <c r="M191" t="s">
        <v>334</v>
      </c>
      <c r="N191">
        <v>0</v>
      </c>
      <c r="O191" t="s">
        <v>145</v>
      </c>
      <c r="P191">
        <v>437</v>
      </c>
      <c r="Q191">
        <v>148.9</v>
      </c>
      <c r="R191">
        <v>106.8</v>
      </c>
    </row>
    <row r="192" spans="1:18" x14ac:dyDescent="0.25">
      <c r="A192" t="s">
        <v>330</v>
      </c>
      <c r="B192" t="s">
        <v>335</v>
      </c>
      <c r="C192" t="s">
        <v>336</v>
      </c>
      <c r="D192" s="4" t="s">
        <v>337</v>
      </c>
      <c r="E192" t="s">
        <v>54</v>
      </c>
      <c r="F192" t="s">
        <v>55</v>
      </c>
      <c r="G192" s="5">
        <v>329</v>
      </c>
      <c r="H192" s="1">
        <v>45078</v>
      </c>
      <c r="I192" s="1">
        <v>45131</v>
      </c>
      <c r="J192" t="s">
        <v>333</v>
      </c>
      <c r="K192">
        <v>45.257340999999997</v>
      </c>
      <c r="L192">
        <v>-99.838065</v>
      </c>
      <c r="M192" t="s">
        <v>334</v>
      </c>
      <c r="N192">
        <v>155</v>
      </c>
      <c r="P192">
        <v>607.70000000000005</v>
      </c>
      <c r="Q192">
        <v>182.4</v>
      </c>
      <c r="R192">
        <v>129.1</v>
      </c>
    </row>
    <row r="193" spans="1:18" x14ac:dyDescent="0.25">
      <c r="A193" t="s">
        <v>330</v>
      </c>
      <c r="B193" t="s">
        <v>335</v>
      </c>
      <c r="C193" t="s">
        <v>336</v>
      </c>
      <c r="D193" s="4" t="s">
        <v>337</v>
      </c>
      <c r="E193" t="s">
        <v>56</v>
      </c>
      <c r="F193" t="s">
        <v>57</v>
      </c>
      <c r="G193" s="5">
        <v>340</v>
      </c>
      <c r="H193" s="1">
        <v>45131</v>
      </c>
      <c r="I193" s="1">
        <v>45133</v>
      </c>
      <c r="J193" t="s">
        <v>333</v>
      </c>
      <c r="K193">
        <v>45.257340999999997</v>
      </c>
      <c r="L193">
        <v>-99.838065</v>
      </c>
      <c r="M193" t="s">
        <v>334</v>
      </c>
      <c r="N193">
        <v>155</v>
      </c>
      <c r="P193">
        <v>807</v>
      </c>
      <c r="Q193">
        <v>273.5</v>
      </c>
      <c r="R193">
        <v>194.7</v>
      </c>
    </row>
    <row r="194" spans="1:18" x14ac:dyDescent="0.25">
      <c r="A194" t="s">
        <v>338</v>
      </c>
      <c r="B194" t="s">
        <v>339</v>
      </c>
      <c r="C194" t="s">
        <v>340</v>
      </c>
      <c r="D194" s="4" t="s">
        <v>341</v>
      </c>
      <c r="E194" t="s">
        <v>54</v>
      </c>
      <c r="F194" t="s">
        <v>55</v>
      </c>
      <c r="G194" s="5">
        <v>329</v>
      </c>
      <c r="H194" s="1">
        <v>44682</v>
      </c>
      <c r="I194" s="1">
        <v>44888</v>
      </c>
      <c r="J194" t="s">
        <v>69</v>
      </c>
      <c r="K194">
        <v>43.474753</v>
      </c>
      <c r="L194">
        <v>-98.306946999999994</v>
      </c>
      <c r="M194" t="s">
        <v>113</v>
      </c>
      <c r="N194">
        <v>0</v>
      </c>
      <c r="O194" t="s">
        <v>145</v>
      </c>
      <c r="P194">
        <v>339</v>
      </c>
      <c r="Q194">
        <v>51</v>
      </c>
      <c r="R194">
        <v>28</v>
      </c>
    </row>
    <row r="195" spans="1:18" x14ac:dyDescent="0.25">
      <c r="A195" t="s">
        <v>338</v>
      </c>
      <c r="B195" t="s">
        <v>339</v>
      </c>
      <c r="C195" t="s">
        <v>340</v>
      </c>
      <c r="D195" s="4" t="s">
        <v>341</v>
      </c>
      <c r="E195" t="s">
        <v>56</v>
      </c>
      <c r="F195" t="s">
        <v>57</v>
      </c>
      <c r="G195" s="5">
        <v>340</v>
      </c>
      <c r="H195" s="1">
        <v>44749</v>
      </c>
      <c r="I195" s="1">
        <v>44922</v>
      </c>
      <c r="J195" t="s">
        <v>69</v>
      </c>
      <c r="K195">
        <v>43.474753</v>
      </c>
      <c r="L195">
        <v>-98.306946999999994</v>
      </c>
      <c r="M195" t="s">
        <v>113</v>
      </c>
      <c r="N195">
        <v>0</v>
      </c>
      <c r="O195" t="s">
        <v>145</v>
      </c>
      <c r="P195">
        <v>622</v>
      </c>
      <c r="Q195">
        <v>186</v>
      </c>
      <c r="R195">
        <v>112</v>
      </c>
    </row>
    <row r="196" spans="1:18" x14ac:dyDescent="0.25">
      <c r="A196" t="s">
        <v>338</v>
      </c>
      <c r="B196" t="s">
        <v>342</v>
      </c>
      <c r="C196" t="s">
        <v>340</v>
      </c>
      <c r="D196" s="4" t="s">
        <v>343</v>
      </c>
      <c r="E196" t="s">
        <v>54</v>
      </c>
      <c r="F196" t="s">
        <v>55</v>
      </c>
      <c r="G196" s="5">
        <v>329</v>
      </c>
      <c r="H196" s="1">
        <v>44682</v>
      </c>
      <c r="I196" s="1">
        <v>44890</v>
      </c>
      <c r="J196" t="s">
        <v>69</v>
      </c>
      <c r="K196">
        <v>43.490566999999999</v>
      </c>
      <c r="L196">
        <v>-98.267360999999994</v>
      </c>
      <c r="M196" t="s">
        <v>113</v>
      </c>
      <c r="N196">
        <v>0</v>
      </c>
      <c r="O196" t="s">
        <v>145</v>
      </c>
      <c r="P196">
        <v>308</v>
      </c>
      <c r="Q196">
        <v>90</v>
      </c>
      <c r="R196">
        <v>55</v>
      </c>
    </row>
    <row r="197" spans="1:18" x14ac:dyDescent="0.25">
      <c r="A197" t="s">
        <v>338</v>
      </c>
      <c r="B197" t="s">
        <v>342</v>
      </c>
      <c r="C197" t="s">
        <v>340</v>
      </c>
      <c r="D197" s="4" t="s">
        <v>343</v>
      </c>
      <c r="E197" t="s">
        <v>56</v>
      </c>
      <c r="F197" t="s">
        <v>57</v>
      </c>
      <c r="G197" s="5">
        <v>340</v>
      </c>
      <c r="H197" s="1">
        <v>44732</v>
      </c>
      <c r="I197" s="1">
        <v>44928</v>
      </c>
      <c r="J197" t="s">
        <v>69</v>
      </c>
      <c r="K197">
        <v>43.490566999999999</v>
      </c>
      <c r="L197">
        <v>-98.267360999999994</v>
      </c>
      <c r="M197" t="s">
        <v>113</v>
      </c>
      <c r="N197">
        <v>0</v>
      </c>
      <c r="O197" t="s">
        <v>145</v>
      </c>
      <c r="P197">
        <v>176</v>
      </c>
      <c r="Q197">
        <v>28</v>
      </c>
      <c r="R197">
        <v>16</v>
      </c>
    </row>
    <row r="198" spans="1:18" x14ac:dyDescent="0.25">
      <c r="A198" t="s">
        <v>344</v>
      </c>
      <c r="B198" t="s">
        <v>345</v>
      </c>
      <c r="C198" t="s">
        <v>346</v>
      </c>
      <c r="D198" s="4" t="s">
        <v>348</v>
      </c>
      <c r="E198" t="s">
        <v>54</v>
      </c>
      <c r="F198" t="s">
        <v>55</v>
      </c>
      <c r="G198" s="5">
        <v>329</v>
      </c>
      <c r="H198" s="1">
        <v>45111</v>
      </c>
      <c r="I198" s="1">
        <v>45119</v>
      </c>
      <c r="J198" t="s">
        <v>347</v>
      </c>
      <c r="K198">
        <v>45.655549999999998</v>
      </c>
      <c r="L198">
        <v>-97.453809000000007</v>
      </c>
      <c r="M198" t="s">
        <v>169</v>
      </c>
      <c r="N198">
        <v>77.42</v>
      </c>
      <c r="P198">
        <v>296.5</v>
      </c>
      <c r="Q198">
        <v>83.5</v>
      </c>
      <c r="R198">
        <v>56.5</v>
      </c>
    </row>
    <row r="199" spans="1:18" x14ac:dyDescent="0.25">
      <c r="A199" t="s">
        <v>344</v>
      </c>
      <c r="B199" t="s">
        <v>345</v>
      </c>
      <c r="C199" t="s">
        <v>346</v>
      </c>
      <c r="D199" s="4" t="s">
        <v>348</v>
      </c>
      <c r="E199" t="s">
        <v>56</v>
      </c>
      <c r="F199" t="s">
        <v>57</v>
      </c>
      <c r="G199" s="5">
        <v>340</v>
      </c>
      <c r="H199" s="1">
        <v>45139</v>
      </c>
      <c r="I199" s="1">
        <v>45146</v>
      </c>
      <c r="J199" t="s">
        <v>347</v>
      </c>
      <c r="K199">
        <v>45.655549999999998</v>
      </c>
      <c r="L199">
        <v>-97.453809000000007</v>
      </c>
      <c r="M199" t="s">
        <v>169</v>
      </c>
      <c r="N199">
        <v>77.42</v>
      </c>
      <c r="P199">
        <v>438</v>
      </c>
      <c r="Q199">
        <v>138.19999999999999</v>
      </c>
      <c r="R199">
        <v>94.7</v>
      </c>
    </row>
    <row r="200" spans="1:18" x14ac:dyDescent="0.25">
      <c r="A200" t="s">
        <v>344</v>
      </c>
      <c r="B200" t="s">
        <v>349</v>
      </c>
      <c r="C200" t="s">
        <v>346</v>
      </c>
      <c r="D200" s="4" t="s">
        <v>350</v>
      </c>
      <c r="E200" t="s">
        <v>54</v>
      </c>
      <c r="F200" t="s">
        <v>55</v>
      </c>
      <c r="G200" s="5">
        <v>329</v>
      </c>
      <c r="H200" s="1">
        <v>45145</v>
      </c>
      <c r="I200" s="1">
        <v>45146</v>
      </c>
      <c r="J200" t="s">
        <v>347</v>
      </c>
      <c r="K200">
        <v>45.613238000000003</v>
      </c>
      <c r="L200">
        <v>-97.446682999999993</v>
      </c>
      <c r="M200" t="s">
        <v>169</v>
      </c>
      <c r="N200">
        <v>94.1</v>
      </c>
      <c r="P200">
        <v>206.5</v>
      </c>
      <c r="Q200">
        <v>40</v>
      </c>
      <c r="R200">
        <v>25.8</v>
      </c>
    </row>
    <row r="201" spans="1:18" x14ac:dyDescent="0.25">
      <c r="A201" t="s">
        <v>344</v>
      </c>
      <c r="B201" t="s">
        <v>349</v>
      </c>
      <c r="C201" t="s">
        <v>346</v>
      </c>
      <c r="D201" s="4" t="s">
        <v>350</v>
      </c>
      <c r="E201" t="s">
        <v>56</v>
      </c>
      <c r="F201" t="s">
        <v>57</v>
      </c>
      <c r="G201" s="5">
        <v>340</v>
      </c>
      <c r="H201" s="1">
        <v>45145</v>
      </c>
      <c r="I201" s="1">
        <v>45148</v>
      </c>
      <c r="J201" t="s">
        <v>347</v>
      </c>
      <c r="K201">
        <v>45.613238000000003</v>
      </c>
      <c r="L201">
        <v>-97.446682999999993</v>
      </c>
      <c r="M201" t="s">
        <v>169</v>
      </c>
      <c r="N201">
        <v>94.1</v>
      </c>
      <c r="P201">
        <v>456.4</v>
      </c>
      <c r="Q201">
        <v>148.80000000000001</v>
      </c>
      <c r="R201">
        <v>101.1</v>
      </c>
    </row>
    <row r="202" spans="1:18" x14ac:dyDescent="0.25">
      <c r="A202" t="s">
        <v>344</v>
      </c>
      <c r="B202" t="s">
        <v>69</v>
      </c>
      <c r="C202" t="s">
        <v>351</v>
      </c>
      <c r="D202" s="4">
        <v>2002</v>
      </c>
      <c r="E202" t="s">
        <v>54</v>
      </c>
      <c r="F202" t="s">
        <v>55</v>
      </c>
      <c r="G202" s="5">
        <v>329</v>
      </c>
      <c r="H202" s="1">
        <v>44852</v>
      </c>
      <c r="I202" s="1">
        <v>45083</v>
      </c>
      <c r="J202" t="s">
        <v>347</v>
      </c>
      <c r="K202">
        <v>45.601360999999997</v>
      </c>
      <c r="L202">
        <v>-97.399608000000001</v>
      </c>
      <c r="M202" t="s">
        <v>169</v>
      </c>
      <c r="N202">
        <v>151</v>
      </c>
      <c r="P202">
        <v>323.8</v>
      </c>
      <c r="Q202">
        <v>61.2</v>
      </c>
      <c r="R202">
        <v>39.1</v>
      </c>
    </row>
    <row r="203" spans="1:18" x14ac:dyDescent="0.25">
      <c r="A203" t="s">
        <v>344</v>
      </c>
      <c r="B203" t="s">
        <v>69</v>
      </c>
      <c r="C203" t="s">
        <v>351</v>
      </c>
      <c r="D203" s="4">
        <v>2002</v>
      </c>
      <c r="E203" t="s">
        <v>56</v>
      </c>
      <c r="F203" t="s">
        <v>57</v>
      </c>
      <c r="G203" s="5">
        <v>340</v>
      </c>
      <c r="H203" s="1">
        <v>44852</v>
      </c>
      <c r="I203" s="1">
        <v>45082</v>
      </c>
      <c r="J203" t="s">
        <v>347</v>
      </c>
      <c r="K203">
        <v>45.601360999999997</v>
      </c>
      <c r="L203">
        <v>-97.399608000000001</v>
      </c>
      <c r="M203" t="s">
        <v>169</v>
      </c>
      <c r="N203">
        <v>151</v>
      </c>
      <c r="P203">
        <v>702.6</v>
      </c>
      <c r="Q203">
        <v>227.4</v>
      </c>
      <c r="R203">
        <v>153</v>
      </c>
    </row>
    <row r="204" spans="1:18" x14ac:dyDescent="0.25">
      <c r="A204" t="s">
        <v>352</v>
      </c>
      <c r="B204" t="s">
        <v>353</v>
      </c>
      <c r="C204" t="s">
        <v>354</v>
      </c>
      <c r="D204" s="4" t="s">
        <v>356</v>
      </c>
      <c r="E204" t="s">
        <v>83</v>
      </c>
      <c r="F204" t="s">
        <v>84</v>
      </c>
      <c r="G204" s="5">
        <v>328</v>
      </c>
      <c r="H204" s="1">
        <v>44682</v>
      </c>
      <c r="I204" s="1">
        <v>44841</v>
      </c>
      <c r="J204" t="s">
        <v>355</v>
      </c>
      <c r="K204">
        <v>43.126795000000001</v>
      </c>
      <c r="L204">
        <v>-97.492557000000005</v>
      </c>
      <c r="M204" t="s">
        <v>137</v>
      </c>
      <c r="N204">
        <v>0</v>
      </c>
      <c r="O204" t="s">
        <v>145</v>
      </c>
    </row>
    <row r="205" spans="1:18" x14ac:dyDescent="0.25">
      <c r="A205" t="s">
        <v>352</v>
      </c>
      <c r="B205" t="s">
        <v>353</v>
      </c>
      <c r="C205" t="s">
        <v>354</v>
      </c>
      <c r="D205" s="4" t="s">
        <v>356</v>
      </c>
      <c r="E205" t="s">
        <v>54</v>
      </c>
      <c r="F205" t="s">
        <v>55</v>
      </c>
      <c r="G205" s="5">
        <v>329</v>
      </c>
      <c r="H205" s="1">
        <v>44682</v>
      </c>
      <c r="I205" s="1">
        <v>44841</v>
      </c>
      <c r="J205" t="s">
        <v>355</v>
      </c>
      <c r="K205">
        <v>43.126795000000001</v>
      </c>
      <c r="L205">
        <v>-97.492557000000005</v>
      </c>
      <c r="M205" t="s">
        <v>137</v>
      </c>
      <c r="N205">
        <v>0</v>
      </c>
      <c r="O205" t="s">
        <v>145</v>
      </c>
      <c r="P205">
        <v>93</v>
      </c>
      <c r="Q205">
        <v>22</v>
      </c>
      <c r="R205">
        <v>16</v>
      </c>
    </row>
    <row r="206" spans="1:18" x14ac:dyDescent="0.25">
      <c r="A206" t="s">
        <v>352</v>
      </c>
      <c r="B206" t="s">
        <v>353</v>
      </c>
      <c r="C206" t="s">
        <v>354</v>
      </c>
      <c r="D206" s="4" t="s">
        <v>356</v>
      </c>
      <c r="E206" t="s">
        <v>56</v>
      </c>
      <c r="F206" t="s">
        <v>57</v>
      </c>
      <c r="G206" s="5">
        <v>340</v>
      </c>
      <c r="H206" s="1">
        <v>44762</v>
      </c>
      <c r="I206" s="1">
        <v>44932</v>
      </c>
      <c r="J206" t="s">
        <v>355</v>
      </c>
      <c r="K206">
        <v>43.126795000000001</v>
      </c>
      <c r="L206">
        <v>-97.492557000000005</v>
      </c>
      <c r="M206" t="s">
        <v>137</v>
      </c>
      <c r="N206">
        <v>0</v>
      </c>
      <c r="O206" t="s">
        <v>145</v>
      </c>
      <c r="P206">
        <v>220</v>
      </c>
      <c r="Q206">
        <v>75</v>
      </c>
      <c r="R206">
        <v>55</v>
      </c>
    </row>
    <row r="207" spans="1:18" x14ac:dyDescent="0.25">
      <c r="A207" t="s">
        <v>352</v>
      </c>
      <c r="B207" t="s">
        <v>353</v>
      </c>
      <c r="C207" t="s">
        <v>354</v>
      </c>
      <c r="D207" s="4" t="s">
        <v>356</v>
      </c>
      <c r="E207" t="s">
        <v>105</v>
      </c>
      <c r="F207" t="s">
        <v>59</v>
      </c>
      <c r="G207" s="5">
        <v>556</v>
      </c>
      <c r="H207" s="1">
        <v>44682</v>
      </c>
      <c r="I207" s="1">
        <v>44841</v>
      </c>
      <c r="J207" t="s">
        <v>355</v>
      </c>
      <c r="K207">
        <v>43.126795000000001</v>
      </c>
      <c r="L207">
        <v>-97.492557000000005</v>
      </c>
      <c r="M207" t="s">
        <v>137</v>
      </c>
      <c r="N207">
        <v>0</v>
      </c>
      <c r="O207" t="s">
        <v>145</v>
      </c>
    </row>
    <row r="208" spans="1:18" x14ac:dyDescent="0.25">
      <c r="A208" t="s">
        <v>357</v>
      </c>
      <c r="B208" t="s">
        <v>358</v>
      </c>
      <c r="C208" t="s">
        <v>359</v>
      </c>
      <c r="D208" s="4">
        <v>2003</v>
      </c>
      <c r="E208" t="s">
        <v>54</v>
      </c>
      <c r="F208" t="s">
        <v>55</v>
      </c>
      <c r="G208" s="5">
        <v>329</v>
      </c>
      <c r="H208" s="1">
        <v>44788</v>
      </c>
      <c r="I208" s="1">
        <v>44789</v>
      </c>
      <c r="J208" t="s">
        <v>360</v>
      </c>
      <c r="K208">
        <v>45.700735000000002</v>
      </c>
      <c r="L208">
        <v>-97.865036000000003</v>
      </c>
      <c r="M208" t="s">
        <v>169</v>
      </c>
      <c r="N208">
        <v>676</v>
      </c>
      <c r="P208">
        <v>1209.5</v>
      </c>
      <c r="Q208">
        <v>181.8</v>
      </c>
      <c r="R208">
        <v>100</v>
      </c>
    </row>
    <row r="209" spans="1:18" x14ac:dyDescent="0.25">
      <c r="A209" t="s">
        <v>357</v>
      </c>
      <c r="B209" t="s">
        <v>358</v>
      </c>
      <c r="C209" t="s">
        <v>359</v>
      </c>
      <c r="D209" s="4">
        <v>2003</v>
      </c>
      <c r="E209" t="s">
        <v>56</v>
      </c>
      <c r="F209" t="s">
        <v>57</v>
      </c>
      <c r="G209" s="5">
        <v>340</v>
      </c>
      <c r="H209" s="1">
        <v>44690</v>
      </c>
      <c r="I209" s="1">
        <v>44791</v>
      </c>
      <c r="J209" t="s">
        <v>360</v>
      </c>
      <c r="K209">
        <v>45.700735000000002</v>
      </c>
      <c r="L209">
        <v>-97.865036000000003</v>
      </c>
      <c r="M209" t="s">
        <v>169</v>
      </c>
      <c r="N209">
        <v>1000</v>
      </c>
      <c r="P209">
        <v>2206.1999999999998</v>
      </c>
      <c r="Q209">
        <v>656.4</v>
      </c>
      <c r="R209">
        <v>391.5</v>
      </c>
    </row>
    <row r="210" spans="1:18" x14ac:dyDescent="0.25">
      <c r="A210" t="s">
        <v>361</v>
      </c>
      <c r="B210" t="s">
        <v>122</v>
      </c>
      <c r="C210" t="s">
        <v>362</v>
      </c>
      <c r="D210" s="4" t="s">
        <v>364</v>
      </c>
      <c r="E210" t="s">
        <v>83</v>
      </c>
      <c r="F210" t="s">
        <v>84</v>
      </c>
      <c r="G210" s="5">
        <v>328</v>
      </c>
      <c r="H210" s="1">
        <v>45108</v>
      </c>
      <c r="I210" s="1">
        <v>45146</v>
      </c>
      <c r="J210" t="s">
        <v>222</v>
      </c>
      <c r="K210">
        <v>44.823754000000001</v>
      </c>
      <c r="L210">
        <v>-97.206113999999999</v>
      </c>
      <c r="M210" t="s">
        <v>363</v>
      </c>
      <c r="N210">
        <v>64</v>
      </c>
    </row>
    <row r="211" spans="1:18" x14ac:dyDescent="0.25">
      <c r="A211" t="s">
        <v>361</v>
      </c>
      <c r="B211" t="s">
        <v>122</v>
      </c>
      <c r="C211" t="s">
        <v>362</v>
      </c>
      <c r="D211" s="4" t="s">
        <v>364</v>
      </c>
      <c r="E211" t="s">
        <v>54</v>
      </c>
      <c r="F211" t="s">
        <v>55</v>
      </c>
      <c r="G211" s="5">
        <v>329</v>
      </c>
      <c r="H211" s="1">
        <v>45108</v>
      </c>
      <c r="I211" s="1">
        <v>45146</v>
      </c>
      <c r="J211" t="s">
        <v>222</v>
      </c>
      <c r="K211">
        <v>44.823754000000001</v>
      </c>
      <c r="L211">
        <v>-97.206113999999999</v>
      </c>
      <c r="M211" t="s">
        <v>363</v>
      </c>
      <c r="N211">
        <v>64</v>
      </c>
    </row>
    <row r="212" spans="1:18" x14ac:dyDescent="0.25">
      <c r="A212" t="s">
        <v>361</v>
      </c>
      <c r="B212" t="s">
        <v>122</v>
      </c>
      <c r="C212" t="s">
        <v>362</v>
      </c>
      <c r="D212" s="4" t="s">
        <v>364</v>
      </c>
      <c r="E212" t="s">
        <v>56</v>
      </c>
      <c r="F212" t="s">
        <v>57</v>
      </c>
      <c r="G212" s="5">
        <v>340</v>
      </c>
      <c r="H212" s="1">
        <v>45135</v>
      </c>
      <c r="I212" s="1">
        <v>45148</v>
      </c>
      <c r="J212" t="s">
        <v>222</v>
      </c>
      <c r="K212">
        <v>44.823754000000001</v>
      </c>
      <c r="L212">
        <v>-97.206113999999999</v>
      </c>
      <c r="M212" t="s">
        <v>363</v>
      </c>
      <c r="N212">
        <v>64</v>
      </c>
      <c r="P212">
        <v>87</v>
      </c>
      <c r="Q212">
        <v>26</v>
      </c>
      <c r="R212">
        <v>19</v>
      </c>
    </row>
    <row r="213" spans="1:18" x14ac:dyDescent="0.25">
      <c r="A213" t="s">
        <v>361</v>
      </c>
      <c r="B213" t="s">
        <v>122</v>
      </c>
      <c r="C213" t="s">
        <v>362</v>
      </c>
      <c r="D213" s="4" t="s">
        <v>364</v>
      </c>
      <c r="E213" t="s">
        <v>105</v>
      </c>
      <c r="F213" t="s">
        <v>59</v>
      </c>
      <c r="G213" s="5">
        <v>556</v>
      </c>
      <c r="H213" s="1">
        <v>45202</v>
      </c>
      <c r="I213" s="1">
        <v>45245</v>
      </c>
      <c r="J213" t="s">
        <v>222</v>
      </c>
      <c r="K213">
        <v>44.823754000000001</v>
      </c>
      <c r="L213">
        <v>-97.206113999999999</v>
      </c>
      <c r="M213" t="s">
        <v>363</v>
      </c>
      <c r="N213">
        <v>64</v>
      </c>
    </row>
    <row r="214" spans="1:18" x14ac:dyDescent="0.25">
      <c r="A214" t="s">
        <v>361</v>
      </c>
      <c r="B214" t="s">
        <v>122</v>
      </c>
      <c r="C214" t="s">
        <v>362</v>
      </c>
      <c r="D214" s="4" t="s">
        <v>365</v>
      </c>
      <c r="E214" t="s">
        <v>83</v>
      </c>
      <c r="F214" t="s">
        <v>84</v>
      </c>
      <c r="G214" s="5">
        <v>328</v>
      </c>
      <c r="H214" s="1">
        <v>45717</v>
      </c>
      <c r="I214" s="1">
        <v>45756</v>
      </c>
      <c r="J214" t="s">
        <v>222</v>
      </c>
      <c r="K214">
        <v>44.821370000000002</v>
      </c>
      <c r="L214">
        <v>-97.202697000000001</v>
      </c>
      <c r="M214" t="s">
        <v>363</v>
      </c>
      <c r="N214">
        <v>20</v>
      </c>
    </row>
    <row r="215" spans="1:18" x14ac:dyDescent="0.25">
      <c r="A215" t="s">
        <v>361</v>
      </c>
      <c r="B215" t="s">
        <v>122</v>
      </c>
      <c r="C215" t="s">
        <v>362</v>
      </c>
      <c r="D215" s="4" t="s">
        <v>365</v>
      </c>
      <c r="E215" t="s">
        <v>54</v>
      </c>
      <c r="F215" t="s">
        <v>55</v>
      </c>
      <c r="G215" s="5">
        <v>329</v>
      </c>
      <c r="H215" s="1">
        <v>45717</v>
      </c>
      <c r="I215" s="1">
        <v>45756</v>
      </c>
      <c r="J215" t="s">
        <v>222</v>
      </c>
      <c r="K215">
        <v>44.821370000000002</v>
      </c>
      <c r="L215">
        <v>-97.202697000000001</v>
      </c>
      <c r="M215" t="s">
        <v>363</v>
      </c>
      <c r="N215">
        <v>20</v>
      </c>
      <c r="P215">
        <v>55</v>
      </c>
      <c r="Q215">
        <v>12</v>
      </c>
      <c r="R215">
        <v>8</v>
      </c>
    </row>
    <row r="216" spans="1:18" x14ac:dyDescent="0.25">
      <c r="A216" t="s">
        <v>361</v>
      </c>
      <c r="B216" t="s">
        <v>122</v>
      </c>
      <c r="C216" t="s">
        <v>362</v>
      </c>
      <c r="D216" s="4" t="s">
        <v>365</v>
      </c>
      <c r="E216" t="s">
        <v>132</v>
      </c>
      <c r="F216" t="s">
        <v>133</v>
      </c>
      <c r="H216" s="1">
        <v>45721</v>
      </c>
      <c r="I216" s="1">
        <v>45743</v>
      </c>
      <c r="J216" t="s">
        <v>222</v>
      </c>
      <c r="K216">
        <v>44.821370000000002</v>
      </c>
      <c r="L216">
        <v>-97.202697000000001</v>
      </c>
      <c r="M216" t="s">
        <v>363</v>
      </c>
      <c r="N216">
        <v>20</v>
      </c>
      <c r="P216">
        <v>119</v>
      </c>
      <c r="Q216">
        <v>39</v>
      </c>
      <c r="R216">
        <v>28</v>
      </c>
    </row>
    <row r="217" spans="1:18" x14ac:dyDescent="0.25">
      <c r="A217" t="s">
        <v>366</v>
      </c>
      <c r="B217" t="s">
        <v>367</v>
      </c>
      <c r="C217" t="s">
        <v>368</v>
      </c>
      <c r="D217" s="4" t="s">
        <v>144</v>
      </c>
      <c r="E217" t="s">
        <v>54</v>
      </c>
      <c r="F217" t="s">
        <v>55</v>
      </c>
      <c r="G217" s="5">
        <v>329</v>
      </c>
      <c r="H217" s="1">
        <v>44287</v>
      </c>
      <c r="I217" s="1">
        <v>44409</v>
      </c>
      <c r="J217" t="s">
        <v>69</v>
      </c>
      <c r="K217">
        <v>43.783549999999998</v>
      </c>
      <c r="L217">
        <v>-98.135919999999999</v>
      </c>
      <c r="M217" t="s">
        <v>189</v>
      </c>
      <c r="N217">
        <v>0</v>
      </c>
      <c r="O217" t="s">
        <v>145</v>
      </c>
      <c r="P217">
        <v>887</v>
      </c>
      <c r="Q217">
        <v>109</v>
      </c>
      <c r="R217">
        <v>49</v>
      </c>
    </row>
    <row r="218" spans="1:18" x14ac:dyDescent="0.25">
      <c r="A218" t="s">
        <v>366</v>
      </c>
      <c r="B218" t="s">
        <v>367</v>
      </c>
      <c r="C218" t="s">
        <v>368</v>
      </c>
      <c r="D218" s="4" t="s">
        <v>144</v>
      </c>
      <c r="E218" t="s">
        <v>56</v>
      </c>
      <c r="F218" t="s">
        <v>57</v>
      </c>
      <c r="G218" s="5">
        <v>340</v>
      </c>
      <c r="H218" s="1">
        <v>44287</v>
      </c>
      <c r="I218" s="1">
        <v>44409</v>
      </c>
      <c r="J218" t="s">
        <v>69</v>
      </c>
      <c r="K218">
        <v>43.783549999999998</v>
      </c>
      <c r="L218">
        <v>-98.135919999999999</v>
      </c>
      <c r="M218" t="s">
        <v>189</v>
      </c>
      <c r="N218">
        <v>0</v>
      </c>
      <c r="O218" t="s">
        <v>145</v>
      </c>
      <c r="P218">
        <v>1405</v>
      </c>
      <c r="Q218">
        <v>382</v>
      </c>
      <c r="R218">
        <v>194</v>
      </c>
    </row>
    <row r="219" spans="1:18" x14ac:dyDescent="0.25">
      <c r="A219" t="s">
        <v>369</v>
      </c>
      <c r="B219" t="s">
        <v>370</v>
      </c>
      <c r="C219" t="s">
        <v>371</v>
      </c>
      <c r="D219" s="4" t="s">
        <v>372</v>
      </c>
      <c r="E219" t="s">
        <v>54</v>
      </c>
      <c r="F219" t="s">
        <v>55</v>
      </c>
      <c r="G219" s="5">
        <v>329</v>
      </c>
      <c r="H219" s="1">
        <v>45152</v>
      </c>
      <c r="I219" s="1">
        <v>45152</v>
      </c>
      <c r="J219" t="s">
        <v>347</v>
      </c>
      <c r="K219">
        <v>45.585132000000002</v>
      </c>
      <c r="L219">
        <v>-97.370344000000003</v>
      </c>
      <c r="M219" t="s">
        <v>169</v>
      </c>
      <c r="N219">
        <v>183</v>
      </c>
      <c r="P219">
        <v>313.5</v>
      </c>
      <c r="Q219">
        <v>67.900000000000006</v>
      </c>
      <c r="R219">
        <v>46.2</v>
      </c>
    </row>
    <row r="220" spans="1:18" x14ac:dyDescent="0.25">
      <c r="A220" t="s">
        <v>369</v>
      </c>
      <c r="B220" t="s">
        <v>370</v>
      </c>
      <c r="C220" t="s">
        <v>371</v>
      </c>
      <c r="D220" s="4" t="s">
        <v>372</v>
      </c>
      <c r="E220" t="s">
        <v>56</v>
      </c>
      <c r="F220" t="s">
        <v>57</v>
      </c>
      <c r="G220" s="5">
        <v>340</v>
      </c>
      <c r="H220" s="1">
        <v>45112</v>
      </c>
      <c r="I220" s="1">
        <v>45126</v>
      </c>
      <c r="J220" t="s">
        <v>347</v>
      </c>
      <c r="K220">
        <v>45.585132000000002</v>
      </c>
      <c r="L220">
        <v>-97.370344000000003</v>
      </c>
      <c r="M220" t="s">
        <v>169</v>
      </c>
      <c r="N220">
        <v>183</v>
      </c>
      <c r="P220">
        <v>756.8</v>
      </c>
      <c r="Q220">
        <v>255.4</v>
      </c>
      <c r="R220">
        <v>181</v>
      </c>
    </row>
    <row r="221" spans="1:18" x14ac:dyDescent="0.25">
      <c r="A221" t="s">
        <v>373</v>
      </c>
      <c r="B221" t="s">
        <v>374</v>
      </c>
      <c r="C221" t="s">
        <v>375</v>
      </c>
      <c r="D221" s="4" t="s">
        <v>378</v>
      </c>
      <c r="E221" t="s">
        <v>54</v>
      </c>
      <c r="F221" t="s">
        <v>55</v>
      </c>
      <c r="G221" s="5">
        <v>329</v>
      </c>
      <c r="H221" s="1">
        <v>44287</v>
      </c>
      <c r="I221" s="1">
        <v>44409</v>
      </c>
      <c r="J221" t="s">
        <v>376</v>
      </c>
      <c r="K221">
        <v>43.742550000000001</v>
      </c>
      <c r="L221">
        <v>-97.307012999999998</v>
      </c>
      <c r="M221" t="s">
        <v>377</v>
      </c>
      <c r="N221">
        <v>0</v>
      </c>
      <c r="O221" t="s">
        <v>145</v>
      </c>
      <c r="P221">
        <v>650</v>
      </c>
      <c r="Q221">
        <v>93</v>
      </c>
      <c r="R221">
        <v>49</v>
      </c>
    </row>
    <row r="222" spans="1:18" x14ac:dyDescent="0.25">
      <c r="A222" t="s">
        <v>373</v>
      </c>
      <c r="B222" t="s">
        <v>374</v>
      </c>
      <c r="C222" t="s">
        <v>375</v>
      </c>
      <c r="D222" s="4" t="s">
        <v>378</v>
      </c>
      <c r="E222" t="s">
        <v>56</v>
      </c>
      <c r="F222" t="s">
        <v>57</v>
      </c>
      <c r="G222" s="5">
        <v>340</v>
      </c>
      <c r="H222" s="1">
        <v>44287</v>
      </c>
      <c r="I222" s="1">
        <v>44385</v>
      </c>
      <c r="J222" t="s">
        <v>376</v>
      </c>
      <c r="K222">
        <v>43.742550000000001</v>
      </c>
      <c r="L222">
        <v>-97.307012999999998</v>
      </c>
      <c r="M222" t="s">
        <v>377</v>
      </c>
      <c r="N222">
        <v>0</v>
      </c>
      <c r="O222" t="s">
        <v>145</v>
      </c>
      <c r="P222">
        <v>501</v>
      </c>
      <c r="Q222">
        <v>157</v>
      </c>
      <c r="R222">
        <v>101</v>
      </c>
    </row>
    <row r="223" spans="1:18" x14ac:dyDescent="0.25">
      <c r="A223" t="s">
        <v>379</v>
      </c>
      <c r="B223" t="s">
        <v>380</v>
      </c>
      <c r="C223" t="s">
        <v>381</v>
      </c>
      <c r="D223" s="4">
        <v>20211012</v>
      </c>
      <c r="E223" t="s">
        <v>56</v>
      </c>
      <c r="F223" t="s">
        <v>57</v>
      </c>
      <c r="G223" s="5">
        <v>340</v>
      </c>
      <c r="H223" s="1">
        <v>44317</v>
      </c>
      <c r="I223" s="1">
        <v>44502</v>
      </c>
      <c r="J223" t="s">
        <v>382</v>
      </c>
      <c r="K223">
        <v>43.604491000000003</v>
      </c>
      <c r="L223">
        <v>-98.774021000000005</v>
      </c>
      <c r="M223" t="s">
        <v>383</v>
      </c>
      <c r="N223">
        <v>0</v>
      </c>
      <c r="O223" t="s">
        <v>145</v>
      </c>
      <c r="P223">
        <v>88</v>
      </c>
      <c r="Q223">
        <v>27</v>
      </c>
      <c r="R223">
        <v>16</v>
      </c>
    </row>
    <row r="224" spans="1:18" x14ac:dyDescent="0.25">
      <c r="A224" t="s">
        <v>379</v>
      </c>
      <c r="B224" t="s">
        <v>380</v>
      </c>
      <c r="C224" t="s">
        <v>381</v>
      </c>
      <c r="D224" s="4">
        <v>20211012</v>
      </c>
      <c r="E224" t="s">
        <v>56</v>
      </c>
      <c r="F224" t="s">
        <v>57</v>
      </c>
      <c r="G224" s="5">
        <v>340</v>
      </c>
      <c r="H224" s="1">
        <v>44424</v>
      </c>
      <c r="I224" s="1">
        <v>44494</v>
      </c>
      <c r="J224" t="s">
        <v>382</v>
      </c>
      <c r="K224">
        <v>43.597665999999997</v>
      </c>
      <c r="L224">
        <v>-98.764962999999995</v>
      </c>
      <c r="M224" t="s">
        <v>383</v>
      </c>
      <c r="N224">
        <v>0</v>
      </c>
      <c r="O224" t="s">
        <v>145</v>
      </c>
      <c r="P224">
        <v>195</v>
      </c>
      <c r="Q224">
        <v>58</v>
      </c>
      <c r="R224">
        <v>35</v>
      </c>
    </row>
    <row r="225" spans="1:19" x14ac:dyDescent="0.25">
      <c r="A225" t="s">
        <v>379</v>
      </c>
      <c r="B225" t="s">
        <v>126</v>
      </c>
      <c r="C225" t="s">
        <v>381</v>
      </c>
      <c r="D225" s="4" t="s">
        <v>384</v>
      </c>
      <c r="E225" t="s">
        <v>75</v>
      </c>
      <c r="F225" t="s">
        <v>304</v>
      </c>
      <c r="G225" s="5">
        <v>516</v>
      </c>
      <c r="H225" s="1">
        <v>44502</v>
      </c>
      <c r="I225" s="1">
        <v>44793</v>
      </c>
      <c r="J225" t="s">
        <v>69</v>
      </c>
      <c r="K225">
        <v>43.748218999999999</v>
      </c>
      <c r="L225">
        <v>-97.990437</v>
      </c>
      <c r="M225" t="s">
        <v>189</v>
      </c>
      <c r="N225">
        <v>301</v>
      </c>
      <c r="P225">
        <v>483.3</v>
      </c>
      <c r="Q225">
        <v>67.7</v>
      </c>
      <c r="R225">
        <v>23.4</v>
      </c>
      <c r="S225" t="s">
        <v>385</v>
      </c>
    </row>
    <row r="226" spans="1:19" x14ac:dyDescent="0.25">
      <c r="A226" t="s">
        <v>386</v>
      </c>
      <c r="B226" t="s">
        <v>387</v>
      </c>
      <c r="C226" t="s">
        <v>388</v>
      </c>
      <c r="D226" s="4" t="s">
        <v>378</v>
      </c>
      <c r="E226" t="s">
        <v>83</v>
      </c>
      <c r="F226" t="s">
        <v>84</v>
      </c>
      <c r="G226" s="5">
        <v>328</v>
      </c>
      <c r="H226" s="1">
        <v>44287</v>
      </c>
      <c r="I226" s="1">
        <v>44409</v>
      </c>
      <c r="J226" t="s">
        <v>291</v>
      </c>
      <c r="K226">
        <v>44.599328999999997</v>
      </c>
      <c r="L226">
        <v>-97.118268999999998</v>
      </c>
      <c r="M226" t="s">
        <v>128</v>
      </c>
      <c r="N226">
        <v>0</v>
      </c>
      <c r="O226" t="s">
        <v>145</v>
      </c>
    </row>
    <row r="227" spans="1:19" x14ac:dyDescent="0.25">
      <c r="A227" t="s">
        <v>386</v>
      </c>
      <c r="B227" t="s">
        <v>387</v>
      </c>
      <c r="C227" t="s">
        <v>388</v>
      </c>
      <c r="D227" s="4" t="s">
        <v>378</v>
      </c>
      <c r="E227" t="s">
        <v>54</v>
      </c>
      <c r="F227" t="s">
        <v>55</v>
      </c>
      <c r="G227" s="5">
        <v>329</v>
      </c>
      <c r="H227" s="1">
        <v>44287</v>
      </c>
      <c r="I227" s="1">
        <v>44409</v>
      </c>
      <c r="J227" t="s">
        <v>291</v>
      </c>
      <c r="K227">
        <v>44.599328999999997</v>
      </c>
      <c r="L227">
        <v>-97.118268999999998</v>
      </c>
      <c r="M227" t="s">
        <v>128</v>
      </c>
      <c r="N227">
        <v>0</v>
      </c>
      <c r="O227" t="s">
        <v>145</v>
      </c>
      <c r="P227">
        <v>363</v>
      </c>
      <c r="Q227">
        <v>61</v>
      </c>
      <c r="R227">
        <v>36</v>
      </c>
    </row>
    <row r="228" spans="1:19" x14ac:dyDescent="0.25">
      <c r="A228" t="s">
        <v>386</v>
      </c>
      <c r="B228" t="s">
        <v>387</v>
      </c>
      <c r="C228" t="s">
        <v>388</v>
      </c>
      <c r="D228" s="4" t="s">
        <v>378</v>
      </c>
      <c r="E228" t="s">
        <v>56</v>
      </c>
      <c r="F228" t="s">
        <v>57</v>
      </c>
      <c r="G228" s="5">
        <v>340</v>
      </c>
      <c r="H228" s="1">
        <v>44287</v>
      </c>
      <c r="I228" s="1">
        <v>44409</v>
      </c>
      <c r="J228" t="s">
        <v>291</v>
      </c>
      <c r="K228">
        <v>44.599328999999997</v>
      </c>
      <c r="L228">
        <v>-97.118268999999998</v>
      </c>
      <c r="M228" t="s">
        <v>128</v>
      </c>
      <c r="N228">
        <v>0</v>
      </c>
      <c r="O228" t="s">
        <v>145</v>
      </c>
      <c r="P228">
        <v>154</v>
      </c>
      <c r="Q228">
        <v>49</v>
      </c>
      <c r="R228">
        <v>33</v>
      </c>
    </row>
    <row r="229" spans="1:19" x14ac:dyDescent="0.25">
      <c r="A229" t="s">
        <v>389</v>
      </c>
      <c r="B229" t="s">
        <v>390</v>
      </c>
      <c r="C229" t="s">
        <v>391</v>
      </c>
      <c r="D229" s="4" t="s">
        <v>392</v>
      </c>
      <c r="E229" t="s">
        <v>54</v>
      </c>
      <c r="F229" t="s">
        <v>55</v>
      </c>
      <c r="G229" s="5">
        <v>329</v>
      </c>
      <c r="H229" s="1">
        <v>44682</v>
      </c>
      <c r="I229" s="1">
        <v>44875</v>
      </c>
      <c r="J229" t="s">
        <v>257</v>
      </c>
      <c r="K229">
        <v>44.031689</v>
      </c>
      <c r="L229">
        <v>-96.724134000000006</v>
      </c>
      <c r="M229" t="s">
        <v>258</v>
      </c>
      <c r="N229">
        <v>0</v>
      </c>
      <c r="O229" t="s">
        <v>145</v>
      </c>
      <c r="P229">
        <v>472</v>
      </c>
      <c r="Q229">
        <v>84</v>
      </c>
      <c r="R229">
        <v>52</v>
      </c>
    </row>
    <row r="230" spans="1:19" x14ac:dyDescent="0.25">
      <c r="A230" t="s">
        <v>389</v>
      </c>
      <c r="B230" t="s">
        <v>390</v>
      </c>
      <c r="C230" t="s">
        <v>391</v>
      </c>
      <c r="D230" s="4" t="s">
        <v>392</v>
      </c>
      <c r="E230" t="s">
        <v>56</v>
      </c>
      <c r="F230" t="s">
        <v>57</v>
      </c>
      <c r="G230" s="5">
        <v>340</v>
      </c>
      <c r="H230" s="1">
        <v>44743</v>
      </c>
      <c r="I230" s="1">
        <v>44887</v>
      </c>
      <c r="J230" t="s">
        <v>257</v>
      </c>
      <c r="K230">
        <v>44.031689</v>
      </c>
      <c r="L230">
        <v>-96.724134000000006</v>
      </c>
      <c r="M230" t="s">
        <v>258</v>
      </c>
      <c r="N230">
        <v>0</v>
      </c>
      <c r="O230" t="s">
        <v>145</v>
      </c>
      <c r="P230">
        <v>900</v>
      </c>
      <c r="Q230">
        <v>276</v>
      </c>
      <c r="R230">
        <v>180</v>
      </c>
    </row>
    <row r="231" spans="1:19" x14ac:dyDescent="0.25">
      <c r="A231" t="s">
        <v>389</v>
      </c>
      <c r="B231" t="s">
        <v>390</v>
      </c>
      <c r="C231" t="s">
        <v>391</v>
      </c>
      <c r="D231" s="4" t="s">
        <v>392</v>
      </c>
      <c r="E231" t="s">
        <v>105</v>
      </c>
      <c r="F231" t="s">
        <v>59</v>
      </c>
      <c r="G231" s="5">
        <v>556</v>
      </c>
      <c r="H231" s="1">
        <v>44682</v>
      </c>
      <c r="I231" s="1">
        <v>44875</v>
      </c>
      <c r="J231" t="s">
        <v>257</v>
      </c>
      <c r="K231">
        <v>44.031689</v>
      </c>
      <c r="L231">
        <v>-96.724134000000006</v>
      </c>
      <c r="M231" t="s">
        <v>258</v>
      </c>
      <c r="N231">
        <v>0</v>
      </c>
      <c r="O231" t="s">
        <v>145</v>
      </c>
    </row>
    <row r="232" spans="1:19" x14ac:dyDescent="0.25">
      <c r="A232" t="s">
        <v>393</v>
      </c>
      <c r="B232" t="s">
        <v>195</v>
      </c>
      <c r="C232" t="s">
        <v>394</v>
      </c>
      <c r="D232" s="4">
        <v>202210</v>
      </c>
      <c r="E232" t="s">
        <v>54</v>
      </c>
      <c r="F232" t="s">
        <v>55</v>
      </c>
      <c r="G232" s="5">
        <v>329</v>
      </c>
      <c r="H232" s="1">
        <v>44682</v>
      </c>
      <c r="I232" s="1">
        <v>44845</v>
      </c>
      <c r="J232" t="s">
        <v>395</v>
      </c>
      <c r="K232">
        <v>45.548445999999998</v>
      </c>
      <c r="L232">
        <v>-97.105709000000004</v>
      </c>
      <c r="M232" t="s">
        <v>396</v>
      </c>
      <c r="N232">
        <v>160</v>
      </c>
      <c r="P232">
        <v>301</v>
      </c>
      <c r="Q232">
        <v>65</v>
      </c>
      <c r="R232">
        <v>44</v>
      </c>
    </row>
    <row r="233" spans="1:19" x14ac:dyDescent="0.25">
      <c r="A233" t="s">
        <v>393</v>
      </c>
      <c r="B233" t="s">
        <v>195</v>
      </c>
      <c r="C233" t="s">
        <v>394</v>
      </c>
      <c r="D233" s="4">
        <v>202210</v>
      </c>
      <c r="E233" t="s">
        <v>56</v>
      </c>
      <c r="F233" t="s">
        <v>57</v>
      </c>
      <c r="G233" s="5">
        <v>340</v>
      </c>
      <c r="H233" s="1">
        <v>44652</v>
      </c>
      <c r="I233" s="1">
        <v>44823</v>
      </c>
      <c r="J233" t="s">
        <v>395</v>
      </c>
      <c r="K233">
        <v>45.548445999999998</v>
      </c>
      <c r="L233">
        <v>-97.105709000000004</v>
      </c>
      <c r="M233" t="s">
        <v>396</v>
      </c>
      <c r="N233">
        <v>160</v>
      </c>
      <c r="P233">
        <v>720</v>
      </c>
      <c r="Q233">
        <v>242</v>
      </c>
      <c r="R233">
        <v>171</v>
      </c>
    </row>
    <row r="234" spans="1:19" x14ac:dyDescent="0.25">
      <c r="A234" t="s">
        <v>397</v>
      </c>
      <c r="B234" t="s">
        <v>398</v>
      </c>
      <c r="C234" t="s">
        <v>399</v>
      </c>
      <c r="D234" s="4">
        <v>202205</v>
      </c>
      <c r="E234" t="s">
        <v>54</v>
      </c>
      <c r="F234" t="s">
        <v>55</v>
      </c>
      <c r="G234" s="5">
        <v>329</v>
      </c>
      <c r="H234" s="1">
        <v>44774</v>
      </c>
      <c r="I234" s="1">
        <v>45139</v>
      </c>
      <c r="J234" t="s">
        <v>302</v>
      </c>
      <c r="K234">
        <v>45.206733</v>
      </c>
      <c r="L234">
        <v>-96.834397999999993</v>
      </c>
      <c r="M234" t="s">
        <v>400</v>
      </c>
      <c r="N234">
        <v>27</v>
      </c>
      <c r="P234">
        <v>118</v>
      </c>
      <c r="Q234">
        <v>39</v>
      </c>
      <c r="R234">
        <v>27</v>
      </c>
    </row>
    <row r="235" spans="1:19" x14ac:dyDescent="0.25">
      <c r="A235" t="s">
        <v>397</v>
      </c>
      <c r="B235" t="s">
        <v>398</v>
      </c>
      <c r="C235" t="s">
        <v>399</v>
      </c>
      <c r="D235" s="4">
        <v>202205</v>
      </c>
      <c r="E235" t="s">
        <v>56</v>
      </c>
      <c r="F235" t="s">
        <v>57</v>
      </c>
      <c r="G235" s="5">
        <v>340</v>
      </c>
      <c r="H235" s="1">
        <v>44718</v>
      </c>
      <c r="I235" s="1">
        <v>44885</v>
      </c>
      <c r="J235" t="s">
        <v>302</v>
      </c>
      <c r="K235">
        <v>45.206733</v>
      </c>
      <c r="L235">
        <v>-96.834397999999993</v>
      </c>
      <c r="M235" t="s">
        <v>400</v>
      </c>
      <c r="N235">
        <v>27</v>
      </c>
      <c r="P235">
        <v>54</v>
      </c>
      <c r="Q235">
        <v>12</v>
      </c>
      <c r="R235">
        <v>8</v>
      </c>
    </row>
    <row r="236" spans="1:19" x14ac:dyDescent="0.25">
      <c r="A236" t="s">
        <v>397</v>
      </c>
      <c r="B236" t="s">
        <v>401</v>
      </c>
      <c r="C236" t="s">
        <v>402</v>
      </c>
      <c r="D236" s="4">
        <v>2021200</v>
      </c>
      <c r="E236" t="s">
        <v>54</v>
      </c>
      <c r="F236" t="s">
        <v>55</v>
      </c>
      <c r="G236" s="5">
        <v>329</v>
      </c>
      <c r="H236" s="1">
        <v>44440</v>
      </c>
      <c r="I236" s="1">
        <v>44498</v>
      </c>
      <c r="J236" t="s">
        <v>302</v>
      </c>
      <c r="K236">
        <v>45.192798000000003</v>
      </c>
      <c r="L236">
        <v>-96.825912000000002</v>
      </c>
      <c r="M236" t="s">
        <v>400</v>
      </c>
      <c r="N236">
        <v>20</v>
      </c>
      <c r="P236">
        <v>97</v>
      </c>
      <c r="Q236">
        <v>27</v>
      </c>
      <c r="R236">
        <v>18</v>
      </c>
    </row>
    <row r="237" spans="1:19" x14ac:dyDescent="0.25">
      <c r="A237" t="s">
        <v>397</v>
      </c>
      <c r="B237" t="s">
        <v>401</v>
      </c>
      <c r="C237" t="s">
        <v>402</v>
      </c>
      <c r="D237" s="4">
        <v>2021200</v>
      </c>
      <c r="E237" t="s">
        <v>54</v>
      </c>
      <c r="F237" t="s">
        <v>55</v>
      </c>
      <c r="G237" s="5">
        <v>329</v>
      </c>
      <c r="H237" s="1">
        <v>44287</v>
      </c>
      <c r="I237" s="1">
        <v>44452</v>
      </c>
      <c r="J237" t="s">
        <v>274</v>
      </c>
      <c r="K237">
        <v>45.220511999999999</v>
      </c>
      <c r="L237">
        <v>-96.840352999999993</v>
      </c>
      <c r="M237" t="s">
        <v>400</v>
      </c>
      <c r="N237">
        <v>15</v>
      </c>
      <c r="P237">
        <v>65</v>
      </c>
      <c r="Q237">
        <v>18</v>
      </c>
      <c r="R237">
        <v>12</v>
      </c>
    </row>
    <row r="238" spans="1:19" x14ac:dyDescent="0.25">
      <c r="A238" t="s">
        <v>397</v>
      </c>
      <c r="B238" t="s">
        <v>401</v>
      </c>
      <c r="C238" t="s">
        <v>402</v>
      </c>
      <c r="D238" s="4">
        <v>2021200</v>
      </c>
      <c r="E238" t="s">
        <v>54</v>
      </c>
      <c r="F238" t="s">
        <v>55</v>
      </c>
      <c r="G238" s="5">
        <v>329</v>
      </c>
      <c r="H238" s="1">
        <v>44470</v>
      </c>
      <c r="I238" s="1">
        <v>44484</v>
      </c>
      <c r="J238" t="s">
        <v>302</v>
      </c>
      <c r="K238">
        <v>45.210529999999999</v>
      </c>
      <c r="L238">
        <v>-96.831704000000002</v>
      </c>
      <c r="M238" t="s">
        <v>400</v>
      </c>
      <c r="N238">
        <v>80</v>
      </c>
      <c r="P238">
        <v>309</v>
      </c>
      <c r="Q238">
        <v>82</v>
      </c>
      <c r="R238">
        <v>52</v>
      </c>
    </row>
    <row r="239" spans="1:19" x14ac:dyDescent="0.25">
      <c r="A239" t="s">
        <v>397</v>
      </c>
      <c r="B239" t="s">
        <v>401</v>
      </c>
      <c r="C239" t="s">
        <v>402</v>
      </c>
      <c r="D239" s="4">
        <v>2021200</v>
      </c>
      <c r="E239" t="s">
        <v>54</v>
      </c>
      <c r="F239" t="s">
        <v>55</v>
      </c>
      <c r="G239" s="5">
        <v>329</v>
      </c>
      <c r="H239" s="1">
        <v>44440</v>
      </c>
      <c r="I239" s="1">
        <v>44874</v>
      </c>
      <c r="J239" t="s">
        <v>302</v>
      </c>
      <c r="K239">
        <v>45.180712</v>
      </c>
      <c r="L239">
        <v>-96.826802000000001</v>
      </c>
      <c r="M239" t="s">
        <v>400</v>
      </c>
      <c r="N239">
        <v>95</v>
      </c>
    </row>
    <row r="240" spans="1:19" x14ac:dyDescent="0.25">
      <c r="A240" t="s">
        <v>397</v>
      </c>
      <c r="B240" t="s">
        <v>401</v>
      </c>
      <c r="C240" t="s">
        <v>402</v>
      </c>
      <c r="D240" s="4">
        <v>2021200</v>
      </c>
      <c r="E240" t="s">
        <v>56</v>
      </c>
      <c r="F240" t="s">
        <v>57</v>
      </c>
      <c r="G240" s="5">
        <v>340</v>
      </c>
      <c r="H240" s="1">
        <v>44470</v>
      </c>
      <c r="I240" s="1">
        <v>44487</v>
      </c>
      <c r="J240" t="s">
        <v>302</v>
      </c>
      <c r="K240">
        <v>45.210529999999999</v>
      </c>
      <c r="L240">
        <v>-96.831704000000002</v>
      </c>
      <c r="M240" t="s">
        <v>400</v>
      </c>
      <c r="N240">
        <v>95</v>
      </c>
      <c r="P240">
        <v>386</v>
      </c>
      <c r="Q240">
        <v>122</v>
      </c>
      <c r="R240">
        <v>79</v>
      </c>
    </row>
    <row r="241" spans="1:18" x14ac:dyDescent="0.25">
      <c r="A241" t="s">
        <v>397</v>
      </c>
      <c r="B241" t="s">
        <v>401</v>
      </c>
      <c r="C241" t="s">
        <v>402</v>
      </c>
      <c r="D241" s="4">
        <v>2021200</v>
      </c>
      <c r="E241" t="s">
        <v>56</v>
      </c>
      <c r="F241" t="s">
        <v>57</v>
      </c>
      <c r="G241" s="5">
        <v>340</v>
      </c>
      <c r="H241" s="1">
        <v>44440</v>
      </c>
      <c r="I241" s="1">
        <v>44462</v>
      </c>
      <c r="J241" t="s">
        <v>274</v>
      </c>
      <c r="K241">
        <v>45.220511999999999</v>
      </c>
      <c r="L241">
        <v>-96.840352999999993</v>
      </c>
      <c r="M241" t="s">
        <v>400</v>
      </c>
      <c r="N241">
        <v>15</v>
      </c>
      <c r="P241">
        <v>83</v>
      </c>
      <c r="Q241">
        <v>27</v>
      </c>
      <c r="R241">
        <v>18</v>
      </c>
    </row>
    <row r="242" spans="1:18" x14ac:dyDescent="0.25">
      <c r="A242" t="s">
        <v>397</v>
      </c>
      <c r="B242" t="s">
        <v>401</v>
      </c>
      <c r="C242" t="s">
        <v>402</v>
      </c>
      <c r="D242" s="4">
        <v>2021200</v>
      </c>
      <c r="E242" t="s">
        <v>56</v>
      </c>
      <c r="F242" t="s">
        <v>57</v>
      </c>
      <c r="G242" s="5">
        <v>340</v>
      </c>
      <c r="H242" s="1">
        <v>44348</v>
      </c>
      <c r="I242" s="1">
        <v>44467</v>
      </c>
      <c r="J242" t="s">
        <v>302</v>
      </c>
      <c r="K242">
        <v>45.192798000000003</v>
      </c>
      <c r="L242">
        <v>-96.825912000000002</v>
      </c>
      <c r="M242" t="s">
        <v>400</v>
      </c>
      <c r="N242">
        <v>77</v>
      </c>
      <c r="P242">
        <v>123</v>
      </c>
      <c r="Q242">
        <v>40</v>
      </c>
      <c r="R242">
        <v>27</v>
      </c>
    </row>
    <row r="243" spans="1:18" x14ac:dyDescent="0.25">
      <c r="A243" t="s">
        <v>397</v>
      </c>
      <c r="B243" t="s">
        <v>401</v>
      </c>
      <c r="C243" t="s">
        <v>402</v>
      </c>
      <c r="D243" s="4">
        <v>2021200</v>
      </c>
      <c r="E243" t="s">
        <v>105</v>
      </c>
      <c r="F243" t="s">
        <v>59</v>
      </c>
      <c r="G243" s="5">
        <v>556</v>
      </c>
      <c r="H243" s="1">
        <v>44287</v>
      </c>
      <c r="I243" s="1">
        <v>44348</v>
      </c>
      <c r="J243" t="s">
        <v>302</v>
      </c>
      <c r="K243">
        <v>45.192798000000003</v>
      </c>
      <c r="L243">
        <v>-96.825912000000002</v>
      </c>
      <c r="M243" t="s">
        <v>400</v>
      </c>
      <c r="N243">
        <v>0</v>
      </c>
      <c r="O243" t="s">
        <v>145</v>
      </c>
    </row>
    <row r="244" spans="1:18" x14ac:dyDescent="0.25">
      <c r="A244" t="s">
        <v>397</v>
      </c>
      <c r="B244" t="s">
        <v>401</v>
      </c>
      <c r="C244" t="s">
        <v>402</v>
      </c>
      <c r="D244" s="4">
        <v>202201</v>
      </c>
      <c r="E244" t="s">
        <v>54</v>
      </c>
      <c r="F244" t="s">
        <v>55</v>
      </c>
      <c r="G244" s="5">
        <v>329</v>
      </c>
      <c r="H244" s="1">
        <v>44805</v>
      </c>
      <c r="I244" s="1">
        <v>45170</v>
      </c>
      <c r="J244" t="s">
        <v>302</v>
      </c>
      <c r="K244">
        <v>45.180712</v>
      </c>
      <c r="L244">
        <v>-96.826802000000001</v>
      </c>
      <c r="M244" t="s">
        <v>400</v>
      </c>
      <c r="N244">
        <v>210</v>
      </c>
      <c r="P244">
        <v>204</v>
      </c>
      <c r="Q244">
        <v>41</v>
      </c>
      <c r="R244">
        <v>27</v>
      </c>
    </row>
    <row r="245" spans="1:18" x14ac:dyDescent="0.25">
      <c r="A245" t="s">
        <v>397</v>
      </c>
      <c r="B245" t="s">
        <v>401</v>
      </c>
      <c r="C245" t="s">
        <v>402</v>
      </c>
      <c r="D245" s="4">
        <v>202201</v>
      </c>
      <c r="E245" t="s">
        <v>56</v>
      </c>
      <c r="F245" t="s">
        <v>57</v>
      </c>
      <c r="G245" s="5">
        <v>340</v>
      </c>
      <c r="H245" s="1">
        <v>44805</v>
      </c>
      <c r="I245" s="1">
        <v>45170</v>
      </c>
      <c r="J245" t="s">
        <v>302</v>
      </c>
      <c r="K245">
        <v>45.180712</v>
      </c>
      <c r="L245">
        <v>-96.826802000000001</v>
      </c>
      <c r="M245" t="s">
        <v>400</v>
      </c>
      <c r="N245">
        <v>187</v>
      </c>
      <c r="P245">
        <v>461</v>
      </c>
      <c r="Q245">
        <v>152</v>
      </c>
      <c r="R245">
        <v>27</v>
      </c>
    </row>
    <row r="246" spans="1:18" x14ac:dyDescent="0.25">
      <c r="A246" t="s">
        <v>397</v>
      </c>
      <c r="B246" t="s">
        <v>403</v>
      </c>
      <c r="C246" t="s">
        <v>404</v>
      </c>
      <c r="D246" s="4" t="s">
        <v>240</v>
      </c>
      <c r="E246" t="s">
        <v>54</v>
      </c>
      <c r="F246" t="s">
        <v>55</v>
      </c>
      <c r="G246" s="5">
        <v>329</v>
      </c>
      <c r="H246" s="1">
        <v>45017</v>
      </c>
      <c r="I246" s="1">
        <v>45383</v>
      </c>
      <c r="J246" t="s">
        <v>274</v>
      </c>
      <c r="K246">
        <v>45.191873999999999</v>
      </c>
      <c r="L246">
        <v>-96.827167000000003</v>
      </c>
      <c r="M246" t="s">
        <v>400</v>
      </c>
      <c r="N246">
        <v>101</v>
      </c>
    </row>
    <row r="247" spans="1:18" x14ac:dyDescent="0.25">
      <c r="A247" t="s">
        <v>397</v>
      </c>
      <c r="B247" t="s">
        <v>403</v>
      </c>
      <c r="C247" t="s">
        <v>404</v>
      </c>
      <c r="D247" s="4" t="s">
        <v>240</v>
      </c>
      <c r="E247" t="s">
        <v>56</v>
      </c>
      <c r="F247" t="s">
        <v>57</v>
      </c>
      <c r="G247" s="5">
        <v>340</v>
      </c>
      <c r="H247" s="1">
        <v>44805</v>
      </c>
      <c r="I247" s="1">
        <v>45153</v>
      </c>
      <c r="J247" t="s">
        <v>274</v>
      </c>
      <c r="K247">
        <v>45.175505000000001</v>
      </c>
      <c r="L247">
        <v>-96.798634000000007</v>
      </c>
      <c r="M247" t="s">
        <v>400</v>
      </c>
      <c r="N247">
        <v>101</v>
      </c>
    </row>
    <row r="248" spans="1:18" x14ac:dyDescent="0.25">
      <c r="A248" t="s">
        <v>405</v>
      </c>
      <c r="B248" t="s">
        <v>406</v>
      </c>
      <c r="C248" t="s">
        <v>407</v>
      </c>
      <c r="D248" s="4">
        <v>2022001</v>
      </c>
      <c r="E248" t="s">
        <v>54</v>
      </c>
      <c r="F248" t="s">
        <v>55</v>
      </c>
      <c r="G248" s="5">
        <v>329</v>
      </c>
      <c r="H248" s="1">
        <v>44317</v>
      </c>
      <c r="I248" s="1">
        <v>44682</v>
      </c>
      <c r="J248" t="s">
        <v>408</v>
      </c>
      <c r="K248">
        <v>45.233482000000002</v>
      </c>
      <c r="L248">
        <v>-97.999503000000004</v>
      </c>
      <c r="M248" t="s">
        <v>409</v>
      </c>
      <c r="N248">
        <v>440</v>
      </c>
      <c r="P248">
        <v>675</v>
      </c>
      <c r="Q248">
        <v>130</v>
      </c>
      <c r="R248">
        <v>84</v>
      </c>
    </row>
    <row r="249" spans="1:18" x14ac:dyDescent="0.25">
      <c r="A249" t="s">
        <v>405</v>
      </c>
      <c r="B249" t="s">
        <v>406</v>
      </c>
      <c r="C249" t="s">
        <v>407</v>
      </c>
      <c r="D249" s="4">
        <v>2022001</v>
      </c>
      <c r="E249" t="s">
        <v>56</v>
      </c>
      <c r="F249" t="s">
        <v>57</v>
      </c>
      <c r="G249" s="5">
        <v>340</v>
      </c>
      <c r="H249" s="1">
        <v>44317</v>
      </c>
      <c r="I249" s="1">
        <v>44440</v>
      </c>
      <c r="J249" t="s">
        <v>408</v>
      </c>
      <c r="K249">
        <v>45.233482000000002</v>
      </c>
      <c r="L249">
        <v>-97.999503000000004</v>
      </c>
      <c r="M249" t="s">
        <v>409</v>
      </c>
      <c r="N249">
        <v>440</v>
      </c>
      <c r="P249">
        <v>1486</v>
      </c>
      <c r="Q249">
        <v>484</v>
      </c>
      <c r="R249">
        <v>328</v>
      </c>
    </row>
    <row r="250" spans="1:18" x14ac:dyDescent="0.25">
      <c r="A250" t="s">
        <v>410</v>
      </c>
      <c r="B250" t="s">
        <v>331</v>
      </c>
      <c r="C250" t="s">
        <v>411</v>
      </c>
      <c r="D250" s="4" t="s">
        <v>103</v>
      </c>
      <c r="E250" t="s">
        <v>54</v>
      </c>
      <c r="F250" t="s">
        <v>55</v>
      </c>
      <c r="G250" s="5">
        <v>329</v>
      </c>
      <c r="H250" s="1">
        <v>45051</v>
      </c>
      <c r="I250" s="1">
        <v>45135</v>
      </c>
      <c r="J250" t="s">
        <v>412</v>
      </c>
      <c r="K250">
        <v>45.764279000000002</v>
      </c>
      <c r="L250">
        <v>-98.088162999999994</v>
      </c>
      <c r="M250" t="s">
        <v>169</v>
      </c>
      <c r="N250">
        <v>170</v>
      </c>
    </row>
    <row r="251" spans="1:18" x14ac:dyDescent="0.25">
      <c r="A251" t="s">
        <v>410</v>
      </c>
      <c r="B251" t="s">
        <v>331</v>
      </c>
      <c r="C251" t="s">
        <v>411</v>
      </c>
      <c r="D251" s="4" t="s">
        <v>103</v>
      </c>
      <c r="E251" t="s">
        <v>56</v>
      </c>
      <c r="F251" t="s">
        <v>57</v>
      </c>
      <c r="G251" s="5">
        <v>340</v>
      </c>
      <c r="H251" s="1">
        <v>45051</v>
      </c>
      <c r="I251" s="1">
        <v>45141</v>
      </c>
      <c r="J251" t="s">
        <v>412</v>
      </c>
      <c r="K251">
        <v>45.764279000000002</v>
      </c>
      <c r="L251">
        <v>-98.088162999999994</v>
      </c>
      <c r="M251" t="s">
        <v>169</v>
      </c>
      <c r="N251">
        <v>170</v>
      </c>
      <c r="P251">
        <v>431</v>
      </c>
      <c r="Q251">
        <v>116</v>
      </c>
      <c r="R251">
        <v>63</v>
      </c>
    </row>
    <row r="252" spans="1:18" x14ac:dyDescent="0.25">
      <c r="A252" t="s">
        <v>410</v>
      </c>
      <c r="B252" t="s">
        <v>331</v>
      </c>
      <c r="C252" t="s">
        <v>411</v>
      </c>
      <c r="D252" s="4" t="s">
        <v>103</v>
      </c>
      <c r="E252" t="s">
        <v>105</v>
      </c>
      <c r="F252" t="s">
        <v>59</v>
      </c>
      <c r="G252" s="5">
        <v>556</v>
      </c>
      <c r="H252" s="1">
        <v>45047</v>
      </c>
      <c r="I252" s="1">
        <v>45146</v>
      </c>
      <c r="J252" t="s">
        <v>412</v>
      </c>
      <c r="K252">
        <v>45.764279000000002</v>
      </c>
      <c r="L252">
        <v>-98.088162999999994</v>
      </c>
      <c r="M252" t="s">
        <v>169</v>
      </c>
      <c r="N252">
        <v>170</v>
      </c>
    </row>
    <row r="253" spans="1:18" x14ac:dyDescent="0.25">
      <c r="A253" t="s">
        <v>413</v>
      </c>
      <c r="B253" t="s">
        <v>272</v>
      </c>
      <c r="C253" t="s">
        <v>414</v>
      </c>
      <c r="D253" s="4" t="s">
        <v>417</v>
      </c>
      <c r="E253" t="s">
        <v>54</v>
      </c>
      <c r="F253" t="s">
        <v>55</v>
      </c>
      <c r="G253" s="5">
        <v>329</v>
      </c>
      <c r="H253" s="1">
        <v>44287</v>
      </c>
      <c r="I253" s="1">
        <v>44409</v>
      </c>
      <c r="J253" t="s">
        <v>415</v>
      </c>
      <c r="K253">
        <v>43.195866000000002</v>
      </c>
      <c r="L253">
        <v>-96.731522999999996</v>
      </c>
      <c r="M253" t="s">
        <v>416</v>
      </c>
      <c r="N253">
        <v>0</v>
      </c>
      <c r="O253" t="s">
        <v>145</v>
      </c>
      <c r="P253">
        <v>239</v>
      </c>
      <c r="Q253">
        <v>46</v>
      </c>
      <c r="R253">
        <v>29</v>
      </c>
    </row>
    <row r="254" spans="1:18" x14ac:dyDescent="0.25">
      <c r="A254" t="s">
        <v>413</v>
      </c>
      <c r="B254" t="s">
        <v>272</v>
      </c>
      <c r="C254" t="s">
        <v>414</v>
      </c>
      <c r="D254" s="4" t="s">
        <v>417</v>
      </c>
      <c r="E254" t="s">
        <v>56</v>
      </c>
      <c r="F254" t="s">
        <v>57</v>
      </c>
      <c r="G254" s="5">
        <v>340</v>
      </c>
      <c r="H254" s="1">
        <v>44287</v>
      </c>
      <c r="I254" s="1">
        <v>44409</v>
      </c>
      <c r="J254" t="s">
        <v>415</v>
      </c>
      <c r="K254">
        <v>43.195866000000002</v>
      </c>
      <c r="L254">
        <v>-96.731522999999996</v>
      </c>
      <c r="M254" t="s">
        <v>416</v>
      </c>
      <c r="N254">
        <v>0</v>
      </c>
      <c r="O254" t="s">
        <v>145</v>
      </c>
      <c r="P254">
        <v>523</v>
      </c>
      <c r="Q254">
        <v>215</v>
      </c>
      <c r="R254">
        <v>143</v>
      </c>
    </row>
    <row r="255" spans="1:18" x14ac:dyDescent="0.25">
      <c r="A255" t="s">
        <v>413</v>
      </c>
      <c r="B255" t="s">
        <v>272</v>
      </c>
      <c r="C255" t="s">
        <v>414</v>
      </c>
      <c r="D255" s="4" t="s">
        <v>419</v>
      </c>
      <c r="E255" t="s">
        <v>83</v>
      </c>
      <c r="F255" t="s">
        <v>84</v>
      </c>
      <c r="G255" s="5">
        <v>328</v>
      </c>
      <c r="H255" s="1">
        <v>45413</v>
      </c>
      <c r="I255" s="1">
        <v>45695</v>
      </c>
      <c r="J255" t="s">
        <v>415</v>
      </c>
      <c r="K255">
        <v>43.108694</v>
      </c>
      <c r="L255">
        <v>-96.640501999999998</v>
      </c>
      <c r="M255" t="s">
        <v>418</v>
      </c>
      <c r="N255">
        <v>99.5</v>
      </c>
    </row>
    <row r="256" spans="1:18" x14ac:dyDescent="0.25">
      <c r="A256" t="s">
        <v>413</v>
      </c>
      <c r="B256" t="s">
        <v>272</v>
      </c>
      <c r="C256" t="s">
        <v>414</v>
      </c>
      <c r="D256" s="4" t="s">
        <v>419</v>
      </c>
      <c r="E256" t="s">
        <v>54</v>
      </c>
      <c r="F256" t="s">
        <v>55</v>
      </c>
      <c r="G256" s="5">
        <v>329</v>
      </c>
      <c r="H256" s="1">
        <v>45413</v>
      </c>
      <c r="I256" s="1">
        <v>45695</v>
      </c>
      <c r="J256" t="s">
        <v>415</v>
      </c>
      <c r="K256">
        <v>43.108694</v>
      </c>
      <c r="L256">
        <v>-96.640501999999998</v>
      </c>
      <c r="M256" t="s">
        <v>418</v>
      </c>
      <c r="N256">
        <v>99.5</v>
      </c>
      <c r="P256">
        <v>296</v>
      </c>
      <c r="Q256">
        <v>56</v>
      </c>
      <c r="R256">
        <v>36</v>
      </c>
    </row>
    <row r="257" spans="1:18" x14ac:dyDescent="0.25">
      <c r="A257" t="s">
        <v>413</v>
      </c>
      <c r="B257" t="s">
        <v>272</v>
      </c>
      <c r="C257" t="s">
        <v>414</v>
      </c>
      <c r="D257" s="4" t="s">
        <v>419</v>
      </c>
      <c r="E257" t="s">
        <v>132</v>
      </c>
      <c r="F257" t="s">
        <v>133</v>
      </c>
      <c r="H257" s="1">
        <v>45413</v>
      </c>
      <c r="I257" s="1">
        <v>45422</v>
      </c>
      <c r="J257" t="s">
        <v>415</v>
      </c>
      <c r="K257">
        <v>43.108694</v>
      </c>
      <c r="L257">
        <v>-96.640501999999998</v>
      </c>
      <c r="M257" t="s">
        <v>418</v>
      </c>
      <c r="N257">
        <v>99.5</v>
      </c>
      <c r="P257">
        <v>641</v>
      </c>
      <c r="Q257">
        <v>207</v>
      </c>
      <c r="R257">
        <v>139</v>
      </c>
    </row>
    <row r="258" spans="1:18" x14ac:dyDescent="0.25">
      <c r="A258" t="s">
        <v>420</v>
      </c>
      <c r="B258" t="s">
        <v>421</v>
      </c>
      <c r="C258" t="s">
        <v>422</v>
      </c>
      <c r="D258" s="4" t="s">
        <v>129</v>
      </c>
      <c r="E258" t="s">
        <v>54</v>
      </c>
      <c r="F258" t="s">
        <v>55</v>
      </c>
      <c r="G258" s="5">
        <v>329</v>
      </c>
      <c r="H258" s="1">
        <v>44287</v>
      </c>
      <c r="I258" s="1">
        <v>44409</v>
      </c>
      <c r="J258" t="s">
        <v>80</v>
      </c>
      <c r="K258">
        <v>43.831767999999997</v>
      </c>
      <c r="L258">
        <v>-96.500404000000003</v>
      </c>
      <c r="M258" t="s">
        <v>423</v>
      </c>
      <c r="N258">
        <v>0</v>
      </c>
      <c r="O258" t="s">
        <v>145</v>
      </c>
      <c r="P258">
        <v>513</v>
      </c>
      <c r="Q258">
        <v>113</v>
      </c>
      <c r="R258">
        <v>78</v>
      </c>
    </row>
    <row r="259" spans="1:18" x14ac:dyDescent="0.25">
      <c r="A259" t="s">
        <v>420</v>
      </c>
      <c r="B259" t="s">
        <v>421</v>
      </c>
      <c r="C259" t="s">
        <v>422</v>
      </c>
      <c r="D259" s="4" t="s">
        <v>129</v>
      </c>
      <c r="E259" t="s">
        <v>56</v>
      </c>
      <c r="F259" t="s">
        <v>57</v>
      </c>
      <c r="G259" s="5">
        <v>340</v>
      </c>
      <c r="H259" s="1">
        <v>44287</v>
      </c>
      <c r="I259" s="1">
        <v>44409</v>
      </c>
      <c r="J259" t="s">
        <v>80</v>
      </c>
      <c r="K259">
        <v>43.831767999999997</v>
      </c>
      <c r="L259">
        <v>-96.500404000000003</v>
      </c>
      <c r="M259" t="s">
        <v>423</v>
      </c>
      <c r="N259">
        <v>0</v>
      </c>
      <c r="O259" t="s">
        <v>145</v>
      </c>
      <c r="P259">
        <v>249</v>
      </c>
      <c r="Q259">
        <v>104</v>
      </c>
      <c r="R259">
        <v>74</v>
      </c>
    </row>
    <row r="260" spans="1:18" x14ac:dyDescent="0.25">
      <c r="A260" t="s">
        <v>424</v>
      </c>
      <c r="B260" t="s">
        <v>425</v>
      </c>
      <c r="C260" t="s">
        <v>426</v>
      </c>
      <c r="D260" s="4" t="s">
        <v>428</v>
      </c>
      <c r="E260" t="s">
        <v>56</v>
      </c>
      <c r="F260" t="s">
        <v>57</v>
      </c>
      <c r="G260" s="5">
        <v>340</v>
      </c>
      <c r="H260" s="1">
        <v>44409</v>
      </c>
      <c r="I260" s="1">
        <v>44528</v>
      </c>
      <c r="J260" t="s">
        <v>427</v>
      </c>
      <c r="K260">
        <v>43.821427999999997</v>
      </c>
      <c r="L260">
        <v>-97.156839000000005</v>
      </c>
      <c r="M260" t="s">
        <v>156</v>
      </c>
      <c r="N260">
        <v>0</v>
      </c>
      <c r="O260" t="s">
        <v>145</v>
      </c>
      <c r="P260">
        <v>861</v>
      </c>
      <c r="Q260">
        <v>267</v>
      </c>
      <c r="R260">
        <v>169</v>
      </c>
    </row>
    <row r="261" spans="1:18" x14ac:dyDescent="0.25">
      <c r="A261" t="s">
        <v>424</v>
      </c>
      <c r="B261" t="s">
        <v>425</v>
      </c>
      <c r="C261" t="s">
        <v>426</v>
      </c>
      <c r="D261" s="4" t="s">
        <v>429</v>
      </c>
      <c r="E261" t="s">
        <v>54</v>
      </c>
      <c r="F261" t="s">
        <v>55</v>
      </c>
      <c r="G261" s="5">
        <v>329</v>
      </c>
      <c r="H261" s="1">
        <v>44682</v>
      </c>
      <c r="I261" s="1">
        <v>44872</v>
      </c>
      <c r="J261" t="s">
        <v>427</v>
      </c>
      <c r="K261">
        <v>43.772395000000003</v>
      </c>
      <c r="L261">
        <v>-97.474423000000002</v>
      </c>
      <c r="M261" t="s">
        <v>192</v>
      </c>
      <c r="N261">
        <v>0</v>
      </c>
      <c r="O261" t="s">
        <v>145</v>
      </c>
      <c r="P261">
        <v>462</v>
      </c>
      <c r="Q261">
        <v>77</v>
      </c>
      <c r="R261">
        <v>46</v>
      </c>
    </row>
    <row r="262" spans="1:18" x14ac:dyDescent="0.25">
      <c r="A262" t="s">
        <v>424</v>
      </c>
      <c r="B262" t="s">
        <v>425</v>
      </c>
      <c r="C262" t="s">
        <v>426</v>
      </c>
      <c r="D262" s="4" t="s">
        <v>429</v>
      </c>
      <c r="E262" t="s">
        <v>56</v>
      </c>
      <c r="F262" t="s">
        <v>57</v>
      </c>
      <c r="G262" s="5">
        <v>340</v>
      </c>
      <c r="H262" s="1">
        <v>44713</v>
      </c>
      <c r="I262" s="1">
        <v>44896</v>
      </c>
      <c r="J262" t="s">
        <v>427</v>
      </c>
      <c r="K262">
        <v>43.772395000000003</v>
      </c>
      <c r="L262">
        <v>-97.474423000000002</v>
      </c>
      <c r="M262" t="s">
        <v>192</v>
      </c>
      <c r="N262">
        <v>0</v>
      </c>
      <c r="O262" t="s">
        <v>145</v>
      </c>
      <c r="P262">
        <v>913</v>
      </c>
      <c r="Q262">
        <v>283</v>
      </c>
      <c r="R262">
        <v>180</v>
      </c>
    </row>
    <row r="263" spans="1:18" x14ac:dyDescent="0.25">
      <c r="A263" t="s">
        <v>424</v>
      </c>
      <c r="B263" t="s">
        <v>425</v>
      </c>
      <c r="C263" t="s">
        <v>426</v>
      </c>
      <c r="D263" s="4" t="s">
        <v>429</v>
      </c>
      <c r="E263" t="s">
        <v>105</v>
      </c>
      <c r="F263" t="s">
        <v>59</v>
      </c>
      <c r="G263" s="5">
        <v>556</v>
      </c>
      <c r="H263" s="1">
        <v>44896</v>
      </c>
      <c r="I263" s="1">
        <v>44925</v>
      </c>
      <c r="J263" t="s">
        <v>427</v>
      </c>
      <c r="K263">
        <v>43.772395000000003</v>
      </c>
      <c r="L263">
        <v>-97.474423000000002</v>
      </c>
      <c r="M263" t="s">
        <v>192</v>
      </c>
      <c r="N263">
        <v>0</v>
      </c>
      <c r="O263" t="s">
        <v>145</v>
      </c>
    </row>
    <row r="264" spans="1:18" x14ac:dyDescent="0.25">
      <c r="A264" t="s">
        <v>424</v>
      </c>
      <c r="B264" t="s">
        <v>430</v>
      </c>
      <c r="C264" t="s">
        <v>431</v>
      </c>
      <c r="D264" s="4" t="s">
        <v>434</v>
      </c>
      <c r="E264" t="s">
        <v>83</v>
      </c>
      <c r="F264" t="s">
        <v>84</v>
      </c>
      <c r="G264" s="5">
        <v>328</v>
      </c>
      <c r="H264" s="1">
        <v>44986</v>
      </c>
      <c r="I264" s="1">
        <v>45121</v>
      </c>
      <c r="J264" t="s">
        <v>432</v>
      </c>
      <c r="K264">
        <v>42.896971000000001</v>
      </c>
      <c r="L264">
        <v>-97.708185</v>
      </c>
      <c r="M264" t="s">
        <v>433</v>
      </c>
      <c r="N264">
        <v>252</v>
      </c>
    </row>
    <row r="265" spans="1:18" x14ac:dyDescent="0.25">
      <c r="A265" t="s">
        <v>424</v>
      </c>
      <c r="B265" t="s">
        <v>430</v>
      </c>
      <c r="C265" t="s">
        <v>431</v>
      </c>
      <c r="D265" s="4" t="s">
        <v>434</v>
      </c>
      <c r="E265" t="s">
        <v>54</v>
      </c>
      <c r="F265" t="s">
        <v>55</v>
      </c>
      <c r="G265" s="5">
        <v>329</v>
      </c>
      <c r="H265" s="1">
        <v>44986</v>
      </c>
      <c r="I265" s="1">
        <v>45146</v>
      </c>
      <c r="J265" t="s">
        <v>432</v>
      </c>
      <c r="K265">
        <v>42.896971000000001</v>
      </c>
      <c r="L265">
        <v>-97.708185</v>
      </c>
      <c r="M265" t="s">
        <v>433</v>
      </c>
      <c r="N265">
        <v>252</v>
      </c>
      <c r="P265">
        <v>720</v>
      </c>
      <c r="Q265">
        <v>142</v>
      </c>
      <c r="R265">
        <v>93</v>
      </c>
    </row>
    <row r="266" spans="1:18" x14ac:dyDescent="0.25">
      <c r="A266" t="s">
        <v>424</v>
      </c>
      <c r="B266" t="s">
        <v>430</v>
      </c>
      <c r="C266" t="s">
        <v>431</v>
      </c>
      <c r="D266" s="4" t="s">
        <v>434</v>
      </c>
      <c r="E266" t="s">
        <v>56</v>
      </c>
      <c r="F266" t="s">
        <v>57</v>
      </c>
      <c r="G266" s="5">
        <v>340</v>
      </c>
      <c r="H266" s="1">
        <v>45117</v>
      </c>
      <c r="I266" s="1">
        <v>45135</v>
      </c>
      <c r="J266" t="s">
        <v>432</v>
      </c>
      <c r="K266">
        <v>42.896971000000001</v>
      </c>
      <c r="L266">
        <v>-97.708185</v>
      </c>
      <c r="M266" t="s">
        <v>433</v>
      </c>
      <c r="N266">
        <v>252</v>
      </c>
      <c r="P266">
        <v>1482</v>
      </c>
      <c r="Q266">
        <v>473</v>
      </c>
      <c r="R266">
        <v>323</v>
      </c>
    </row>
    <row r="267" spans="1:18" x14ac:dyDescent="0.25">
      <c r="A267" t="s">
        <v>424</v>
      </c>
      <c r="B267" t="s">
        <v>430</v>
      </c>
      <c r="C267" t="s">
        <v>431</v>
      </c>
      <c r="D267" s="4" t="s">
        <v>434</v>
      </c>
      <c r="E267" t="s">
        <v>132</v>
      </c>
      <c r="F267" t="s">
        <v>133</v>
      </c>
      <c r="H267" s="1">
        <v>45017</v>
      </c>
      <c r="I267" s="1">
        <v>45138</v>
      </c>
      <c r="J267" t="s">
        <v>432</v>
      </c>
      <c r="K267">
        <v>42.896971000000001</v>
      </c>
      <c r="L267">
        <v>-97.708185</v>
      </c>
      <c r="M267" t="s">
        <v>433</v>
      </c>
      <c r="N267">
        <v>252</v>
      </c>
      <c r="P267">
        <v>1320</v>
      </c>
      <c r="Q267">
        <v>451</v>
      </c>
      <c r="R267">
        <v>324</v>
      </c>
    </row>
    <row r="268" spans="1:18" x14ac:dyDescent="0.25">
      <c r="A268" t="s">
        <v>424</v>
      </c>
      <c r="B268" t="s">
        <v>430</v>
      </c>
      <c r="C268" t="s">
        <v>431</v>
      </c>
      <c r="D268" s="4" t="s">
        <v>435</v>
      </c>
      <c r="E268" t="s">
        <v>54</v>
      </c>
      <c r="F268" t="s">
        <v>55</v>
      </c>
      <c r="G268" s="5">
        <v>329</v>
      </c>
      <c r="H268" s="1">
        <v>45474</v>
      </c>
      <c r="I268" s="1">
        <v>45736</v>
      </c>
      <c r="J268" t="s">
        <v>432</v>
      </c>
      <c r="K268">
        <v>42.886735999999999</v>
      </c>
      <c r="L268">
        <v>-97.712297000000007</v>
      </c>
      <c r="M268" t="s">
        <v>433</v>
      </c>
      <c r="N268">
        <v>180</v>
      </c>
      <c r="P268">
        <v>604</v>
      </c>
      <c r="Q268">
        <v>136</v>
      </c>
      <c r="R268">
        <v>94</v>
      </c>
    </row>
    <row r="269" spans="1:18" x14ac:dyDescent="0.25">
      <c r="A269" t="s">
        <v>424</v>
      </c>
      <c r="B269" t="s">
        <v>430</v>
      </c>
      <c r="C269" t="s">
        <v>431</v>
      </c>
      <c r="D269" s="4" t="s">
        <v>435</v>
      </c>
      <c r="E269" t="s">
        <v>56</v>
      </c>
      <c r="F269" t="s">
        <v>57</v>
      </c>
      <c r="G269" s="5">
        <v>340</v>
      </c>
      <c r="H269" s="1">
        <v>45488</v>
      </c>
      <c r="I269" s="1">
        <v>45543</v>
      </c>
      <c r="J269" t="s">
        <v>432</v>
      </c>
      <c r="K269">
        <v>42.886735999999999</v>
      </c>
      <c r="L269">
        <v>-97.712297000000007</v>
      </c>
      <c r="M269" t="s">
        <v>433</v>
      </c>
      <c r="N269">
        <v>180</v>
      </c>
      <c r="P269">
        <v>1502</v>
      </c>
      <c r="Q269">
        <v>514</v>
      </c>
      <c r="R269">
        <v>368</v>
      </c>
    </row>
    <row r="270" spans="1:18" x14ac:dyDescent="0.25">
      <c r="A270" t="s">
        <v>436</v>
      </c>
      <c r="B270" t="s">
        <v>437</v>
      </c>
      <c r="C270" t="s">
        <v>438</v>
      </c>
      <c r="D270" s="4" t="s">
        <v>439</v>
      </c>
      <c r="E270" t="s">
        <v>54</v>
      </c>
      <c r="F270" t="s">
        <v>55</v>
      </c>
      <c r="G270" s="5">
        <v>329</v>
      </c>
      <c r="H270" s="1">
        <v>44682</v>
      </c>
      <c r="I270" s="1">
        <v>44844</v>
      </c>
      <c r="J270" t="s">
        <v>263</v>
      </c>
      <c r="K270">
        <v>43.925998</v>
      </c>
      <c r="L270">
        <v>-97.758298999999994</v>
      </c>
      <c r="M270" t="s">
        <v>189</v>
      </c>
      <c r="N270">
        <v>72</v>
      </c>
      <c r="P270">
        <v>150</v>
      </c>
      <c r="Q270">
        <v>21</v>
      </c>
      <c r="R270">
        <v>11</v>
      </c>
    </row>
    <row r="271" spans="1:18" x14ac:dyDescent="0.25">
      <c r="A271" t="s">
        <v>436</v>
      </c>
      <c r="B271" t="s">
        <v>437</v>
      </c>
      <c r="C271" t="s">
        <v>438</v>
      </c>
      <c r="D271" s="4" t="s">
        <v>439</v>
      </c>
      <c r="E271" t="s">
        <v>56</v>
      </c>
      <c r="F271" t="s">
        <v>57</v>
      </c>
      <c r="G271" s="5">
        <v>340</v>
      </c>
      <c r="H271" s="1">
        <v>44662</v>
      </c>
      <c r="I271" s="1">
        <v>44798</v>
      </c>
      <c r="J271" t="s">
        <v>263</v>
      </c>
      <c r="K271">
        <v>43.925998</v>
      </c>
      <c r="L271">
        <v>-97.758298999999994</v>
      </c>
      <c r="M271" t="s">
        <v>189</v>
      </c>
      <c r="N271">
        <v>72</v>
      </c>
      <c r="P271">
        <v>256</v>
      </c>
      <c r="Q271">
        <v>72</v>
      </c>
      <c r="R271">
        <v>41</v>
      </c>
    </row>
    <row r="272" spans="1:18" x14ac:dyDescent="0.25">
      <c r="A272" t="s">
        <v>440</v>
      </c>
      <c r="B272" t="s">
        <v>441</v>
      </c>
      <c r="C272" t="s">
        <v>442</v>
      </c>
      <c r="D272" s="4" t="s">
        <v>240</v>
      </c>
      <c r="E272" t="s">
        <v>54</v>
      </c>
      <c r="F272" t="s">
        <v>55</v>
      </c>
      <c r="G272" s="5">
        <v>329</v>
      </c>
      <c r="H272" s="1">
        <v>44986</v>
      </c>
      <c r="I272" s="1">
        <v>45153</v>
      </c>
      <c r="J272" t="s">
        <v>200</v>
      </c>
      <c r="K272">
        <v>43.311976999999999</v>
      </c>
      <c r="L272">
        <v>-97.235207000000003</v>
      </c>
      <c r="M272" t="s">
        <v>100</v>
      </c>
      <c r="N272">
        <v>160</v>
      </c>
      <c r="P272">
        <v>384</v>
      </c>
      <c r="Q272">
        <v>62</v>
      </c>
      <c r="R272">
        <v>36</v>
      </c>
    </row>
    <row r="273" spans="1:18" x14ac:dyDescent="0.25">
      <c r="A273" t="s">
        <v>440</v>
      </c>
      <c r="B273" t="s">
        <v>441</v>
      </c>
      <c r="C273" t="s">
        <v>442</v>
      </c>
      <c r="D273" s="4" t="s">
        <v>240</v>
      </c>
      <c r="E273" t="s">
        <v>54</v>
      </c>
      <c r="F273" t="s">
        <v>443</v>
      </c>
      <c r="G273" s="5">
        <v>332</v>
      </c>
      <c r="H273" s="1">
        <v>44986</v>
      </c>
      <c r="I273" s="1">
        <v>45352</v>
      </c>
      <c r="J273" t="s">
        <v>200</v>
      </c>
      <c r="K273">
        <v>43.334135000000003</v>
      </c>
      <c r="L273">
        <v>-97.243799999999993</v>
      </c>
      <c r="M273" t="s">
        <v>100</v>
      </c>
    </row>
    <row r="274" spans="1:18" x14ac:dyDescent="0.25">
      <c r="A274" t="s">
        <v>440</v>
      </c>
      <c r="B274" t="s">
        <v>441</v>
      </c>
      <c r="C274" t="s">
        <v>442</v>
      </c>
      <c r="D274" s="4" t="s">
        <v>240</v>
      </c>
      <c r="E274" t="s">
        <v>56</v>
      </c>
      <c r="F274" t="s">
        <v>57</v>
      </c>
      <c r="G274" s="5">
        <v>340</v>
      </c>
      <c r="H274" s="1">
        <v>45047</v>
      </c>
      <c r="I274" s="1">
        <v>45158</v>
      </c>
      <c r="J274" t="s">
        <v>200</v>
      </c>
      <c r="K274">
        <v>43.311976999999999</v>
      </c>
      <c r="L274">
        <v>-97.235207000000003</v>
      </c>
      <c r="M274" t="s">
        <v>100</v>
      </c>
      <c r="N274">
        <v>160</v>
      </c>
      <c r="P274">
        <v>688</v>
      </c>
      <c r="Q274">
        <v>203</v>
      </c>
      <c r="R274">
        <v>126</v>
      </c>
    </row>
    <row r="275" spans="1:18" x14ac:dyDescent="0.25">
      <c r="A275" t="s">
        <v>440</v>
      </c>
      <c r="B275" t="s">
        <v>444</v>
      </c>
      <c r="C275" t="s">
        <v>445</v>
      </c>
      <c r="D275" s="4" t="s">
        <v>292</v>
      </c>
      <c r="E275" t="s">
        <v>54</v>
      </c>
      <c r="F275" t="s">
        <v>55</v>
      </c>
      <c r="G275" s="5">
        <v>329</v>
      </c>
      <c r="H275" s="1">
        <v>44986</v>
      </c>
      <c r="I275" s="1">
        <v>45153</v>
      </c>
      <c r="J275" t="s">
        <v>99</v>
      </c>
      <c r="K275">
        <v>43.310749999999999</v>
      </c>
      <c r="L275">
        <v>-97.215205999999995</v>
      </c>
      <c r="M275" t="s">
        <v>100</v>
      </c>
      <c r="N275">
        <v>172</v>
      </c>
      <c r="P275">
        <v>325</v>
      </c>
      <c r="Q275">
        <v>61</v>
      </c>
      <c r="R275">
        <v>38</v>
      </c>
    </row>
    <row r="276" spans="1:18" x14ac:dyDescent="0.25">
      <c r="A276" t="s">
        <v>440</v>
      </c>
      <c r="B276" t="s">
        <v>444</v>
      </c>
      <c r="C276" t="s">
        <v>445</v>
      </c>
      <c r="D276" s="4" t="s">
        <v>292</v>
      </c>
      <c r="E276" t="s">
        <v>56</v>
      </c>
      <c r="F276" t="s">
        <v>57</v>
      </c>
      <c r="G276" s="5">
        <v>340</v>
      </c>
      <c r="H276" s="1">
        <v>45047</v>
      </c>
      <c r="I276" s="1">
        <v>45154</v>
      </c>
      <c r="J276" t="s">
        <v>99</v>
      </c>
      <c r="K276">
        <v>43.310749999999999</v>
      </c>
      <c r="L276">
        <v>-97.215205999999995</v>
      </c>
      <c r="M276" t="s">
        <v>100</v>
      </c>
      <c r="N276">
        <v>172</v>
      </c>
    </row>
    <row r="277" spans="1:18" x14ac:dyDescent="0.25">
      <c r="A277" t="s">
        <v>446</v>
      </c>
      <c r="B277" t="s">
        <v>329</v>
      </c>
      <c r="C277" t="s">
        <v>447</v>
      </c>
      <c r="D277" s="4" t="s">
        <v>448</v>
      </c>
      <c r="E277" t="s">
        <v>75</v>
      </c>
      <c r="F277" t="s">
        <v>304</v>
      </c>
      <c r="G277" s="5">
        <v>516</v>
      </c>
      <c r="H277" s="1">
        <v>44417</v>
      </c>
      <c r="I277" s="1">
        <v>44805</v>
      </c>
      <c r="J277" t="s">
        <v>239</v>
      </c>
      <c r="K277">
        <v>43.583599</v>
      </c>
      <c r="L277">
        <v>-97.941361999999998</v>
      </c>
      <c r="M277" t="s">
        <v>64</v>
      </c>
      <c r="N277">
        <v>0</v>
      </c>
      <c r="O277" t="s">
        <v>145</v>
      </c>
    </row>
    <row r="278" spans="1:18" x14ac:dyDescent="0.25">
      <c r="A278" t="s">
        <v>446</v>
      </c>
      <c r="B278" t="s">
        <v>329</v>
      </c>
      <c r="C278" t="s">
        <v>447</v>
      </c>
      <c r="D278" s="4" t="s">
        <v>448</v>
      </c>
      <c r="E278" t="s">
        <v>75</v>
      </c>
      <c r="F278" t="s">
        <v>305</v>
      </c>
      <c r="G278" s="5">
        <v>382</v>
      </c>
      <c r="H278" s="1">
        <v>44389</v>
      </c>
      <c r="I278" s="1">
        <v>44522</v>
      </c>
      <c r="J278" t="s">
        <v>239</v>
      </c>
      <c r="K278">
        <v>43.583599</v>
      </c>
      <c r="L278">
        <v>-97.941361999999998</v>
      </c>
      <c r="M278" t="s">
        <v>64</v>
      </c>
      <c r="N278">
        <v>0</v>
      </c>
      <c r="O278" t="s">
        <v>145</v>
      </c>
    </row>
    <row r="279" spans="1:18" x14ac:dyDescent="0.25">
      <c r="A279" t="s">
        <v>446</v>
      </c>
      <c r="B279" t="s">
        <v>329</v>
      </c>
      <c r="C279" t="s">
        <v>447</v>
      </c>
      <c r="D279" s="4" t="s">
        <v>448</v>
      </c>
      <c r="E279" t="s">
        <v>132</v>
      </c>
      <c r="F279" t="s">
        <v>133</v>
      </c>
      <c r="H279" s="1">
        <v>44395</v>
      </c>
      <c r="I279" s="1">
        <v>44823</v>
      </c>
      <c r="J279" t="s">
        <v>239</v>
      </c>
      <c r="K279">
        <v>43.583599</v>
      </c>
      <c r="L279">
        <v>-97.941361999999998</v>
      </c>
      <c r="M279" t="s">
        <v>64</v>
      </c>
      <c r="N279">
        <v>79</v>
      </c>
      <c r="P279">
        <v>214</v>
      </c>
      <c r="Q279">
        <v>38</v>
      </c>
      <c r="R279">
        <v>18</v>
      </c>
    </row>
    <row r="280" spans="1:18" x14ac:dyDescent="0.25">
      <c r="A280" t="s">
        <v>449</v>
      </c>
      <c r="B280" t="s">
        <v>67</v>
      </c>
      <c r="C280" t="s">
        <v>450</v>
      </c>
      <c r="D280" s="4">
        <v>2021005</v>
      </c>
      <c r="E280" t="s">
        <v>83</v>
      </c>
      <c r="F280" t="s">
        <v>84</v>
      </c>
      <c r="G280" s="5">
        <v>328</v>
      </c>
      <c r="H280" s="1">
        <v>44317</v>
      </c>
      <c r="I280" s="1">
        <v>45154</v>
      </c>
      <c r="J280" t="s">
        <v>188</v>
      </c>
      <c r="K280">
        <v>43.678409000000002</v>
      </c>
      <c r="L280">
        <v>-97.977238999999997</v>
      </c>
      <c r="M280" t="s">
        <v>64</v>
      </c>
      <c r="N280">
        <v>0</v>
      </c>
    </row>
    <row r="281" spans="1:18" x14ac:dyDescent="0.25">
      <c r="A281" t="s">
        <v>449</v>
      </c>
      <c r="B281" t="s">
        <v>67</v>
      </c>
      <c r="C281" t="s">
        <v>450</v>
      </c>
      <c r="D281" s="4">
        <v>2021005</v>
      </c>
      <c r="E281" t="s">
        <v>54</v>
      </c>
      <c r="F281" t="s">
        <v>55</v>
      </c>
      <c r="G281" s="5">
        <v>329</v>
      </c>
      <c r="H281" s="1">
        <v>44317</v>
      </c>
      <c r="I281" s="1">
        <v>45154</v>
      </c>
      <c r="J281" t="s">
        <v>188</v>
      </c>
      <c r="K281">
        <v>43.678409000000002</v>
      </c>
      <c r="L281">
        <v>-97.977238999999997</v>
      </c>
      <c r="M281" t="s">
        <v>64</v>
      </c>
      <c r="N281">
        <v>0</v>
      </c>
    </row>
    <row r="282" spans="1:18" x14ac:dyDescent="0.25">
      <c r="A282" t="s">
        <v>449</v>
      </c>
      <c r="B282" t="s">
        <v>67</v>
      </c>
      <c r="C282" t="s">
        <v>450</v>
      </c>
      <c r="D282" s="4">
        <v>2021005</v>
      </c>
      <c r="E282" t="s">
        <v>56</v>
      </c>
      <c r="F282" t="s">
        <v>57</v>
      </c>
      <c r="G282" s="5">
        <v>340</v>
      </c>
      <c r="H282" s="1">
        <v>44317</v>
      </c>
      <c r="I282" s="1">
        <v>45147</v>
      </c>
      <c r="J282" t="s">
        <v>188</v>
      </c>
      <c r="K282">
        <v>43.678409000000002</v>
      </c>
      <c r="L282">
        <v>-97.977238999999997</v>
      </c>
      <c r="M282" t="s">
        <v>64</v>
      </c>
      <c r="N282">
        <v>0</v>
      </c>
    </row>
    <row r="283" spans="1:18" x14ac:dyDescent="0.25">
      <c r="A283" t="s">
        <v>449</v>
      </c>
      <c r="B283" t="s">
        <v>67</v>
      </c>
      <c r="C283" t="s">
        <v>450</v>
      </c>
      <c r="D283" s="4">
        <v>2021005</v>
      </c>
      <c r="E283" t="s">
        <v>105</v>
      </c>
      <c r="F283" t="s">
        <v>59</v>
      </c>
      <c r="G283" s="5">
        <v>556</v>
      </c>
      <c r="H283" s="1">
        <v>44317</v>
      </c>
      <c r="I283" s="1">
        <v>45146</v>
      </c>
      <c r="J283" t="s">
        <v>188</v>
      </c>
      <c r="K283">
        <v>43.678409000000002</v>
      </c>
      <c r="L283">
        <v>-97.977238999999997</v>
      </c>
      <c r="M283" t="s">
        <v>64</v>
      </c>
      <c r="N283">
        <v>0</v>
      </c>
    </row>
    <row r="284" spans="1:18" x14ac:dyDescent="0.25">
      <c r="A284" t="s">
        <v>451</v>
      </c>
      <c r="B284" t="s">
        <v>452</v>
      </c>
      <c r="C284" t="s">
        <v>453</v>
      </c>
      <c r="D284" s="4" t="s">
        <v>341</v>
      </c>
      <c r="E284" t="s">
        <v>54</v>
      </c>
      <c r="F284" t="s">
        <v>55</v>
      </c>
      <c r="G284" s="5">
        <v>328</v>
      </c>
      <c r="H284" s="1">
        <v>44703</v>
      </c>
      <c r="I284" s="1">
        <v>44879</v>
      </c>
      <c r="J284" t="s">
        <v>454</v>
      </c>
      <c r="K284">
        <v>44.758721999999999</v>
      </c>
      <c r="L284">
        <v>-98.289100000000005</v>
      </c>
      <c r="M284" t="s">
        <v>409</v>
      </c>
      <c r="N284">
        <v>0</v>
      </c>
      <c r="O284" t="s">
        <v>145</v>
      </c>
      <c r="P284">
        <v>1153</v>
      </c>
      <c r="Q284">
        <v>193</v>
      </c>
      <c r="R284">
        <v>65</v>
      </c>
    </row>
    <row r="285" spans="1:18" x14ac:dyDescent="0.25">
      <c r="A285" t="s">
        <v>451</v>
      </c>
      <c r="B285" t="s">
        <v>452</v>
      </c>
      <c r="C285" t="s">
        <v>453</v>
      </c>
      <c r="D285" s="4" t="s">
        <v>341</v>
      </c>
      <c r="E285" t="s">
        <v>56</v>
      </c>
      <c r="F285" t="s">
        <v>57</v>
      </c>
      <c r="G285" s="5">
        <v>329</v>
      </c>
      <c r="H285" s="1">
        <v>44703</v>
      </c>
      <c r="I285" s="1">
        <v>44879</v>
      </c>
      <c r="J285" t="s">
        <v>454</v>
      </c>
      <c r="K285">
        <v>44.758721999999999</v>
      </c>
      <c r="L285">
        <v>-98.289100000000005</v>
      </c>
      <c r="M285" t="s">
        <v>409</v>
      </c>
      <c r="N285">
        <v>0</v>
      </c>
      <c r="O285" t="s">
        <v>145</v>
      </c>
      <c r="P285">
        <v>1164</v>
      </c>
      <c r="Q285">
        <v>257</v>
      </c>
      <c r="R285">
        <v>88</v>
      </c>
    </row>
    <row r="286" spans="1:18" x14ac:dyDescent="0.25">
      <c r="A286" t="s">
        <v>455</v>
      </c>
      <c r="B286" t="s">
        <v>456</v>
      </c>
      <c r="C286" t="s">
        <v>457</v>
      </c>
      <c r="D286" s="4" t="s">
        <v>459</v>
      </c>
      <c r="E286" t="s">
        <v>54</v>
      </c>
      <c r="F286" t="s">
        <v>55</v>
      </c>
      <c r="G286" s="5">
        <v>329</v>
      </c>
      <c r="H286" s="1">
        <v>44287</v>
      </c>
      <c r="I286" s="1">
        <v>44409</v>
      </c>
      <c r="J286" t="s">
        <v>458</v>
      </c>
      <c r="K286">
        <v>43.152321000000001</v>
      </c>
      <c r="L286">
        <v>-97.096791999999994</v>
      </c>
      <c r="M286" t="s">
        <v>100</v>
      </c>
      <c r="N286">
        <v>0</v>
      </c>
      <c r="O286" t="s">
        <v>145</v>
      </c>
      <c r="P286">
        <v>864</v>
      </c>
      <c r="Q286">
        <v>115</v>
      </c>
      <c r="R286">
        <v>57</v>
      </c>
    </row>
    <row r="287" spans="1:18" x14ac:dyDescent="0.25">
      <c r="A287" t="s">
        <v>455</v>
      </c>
      <c r="B287" t="s">
        <v>456</v>
      </c>
      <c r="C287" t="s">
        <v>457</v>
      </c>
      <c r="D287" s="4" t="s">
        <v>459</v>
      </c>
      <c r="E287" t="s">
        <v>56</v>
      </c>
      <c r="F287" t="s">
        <v>57</v>
      </c>
      <c r="G287" s="5">
        <v>340</v>
      </c>
      <c r="H287" s="1">
        <v>44287</v>
      </c>
      <c r="I287" s="1">
        <v>44409</v>
      </c>
      <c r="J287" t="s">
        <v>458</v>
      </c>
      <c r="K287">
        <v>43.152321000000001</v>
      </c>
      <c r="L287">
        <v>-97.096791999999994</v>
      </c>
      <c r="M287" t="s">
        <v>100</v>
      </c>
      <c r="N287">
        <v>0</v>
      </c>
      <c r="O287" t="s">
        <v>145</v>
      </c>
      <c r="P287">
        <v>254</v>
      </c>
      <c r="Q287">
        <v>79</v>
      </c>
      <c r="R287">
        <v>51</v>
      </c>
    </row>
    <row r="288" spans="1:18" x14ac:dyDescent="0.25">
      <c r="A288" t="s">
        <v>460</v>
      </c>
      <c r="B288" t="s">
        <v>461</v>
      </c>
      <c r="C288" t="s">
        <v>462</v>
      </c>
      <c r="D288" s="4">
        <v>2004</v>
      </c>
      <c r="E288" t="s">
        <v>54</v>
      </c>
      <c r="F288" t="s">
        <v>55</v>
      </c>
      <c r="G288" s="5">
        <v>329</v>
      </c>
      <c r="H288" s="1">
        <v>44747</v>
      </c>
      <c r="I288" s="1">
        <v>44862</v>
      </c>
      <c r="J288" t="s">
        <v>463</v>
      </c>
      <c r="K288">
        <v>45.424764000000003</v>
      </c>
      <c r="L288">
        <v>-98.181145999999998</v>
      </c>
      <c r="M288" t="s">
        <v>233</v>
      </c>
      <c r="N288">
        <v>141</v>
      </c>
      <c r="P288">
        <v>227.4</v>
      </c>
      <c r="Q288">
        <v>30.5</v>
      </c>
      <c r="R288">
        <v>15.2</v>
      </c>
    </row>
    <row r="289" spans="1:18" x14ac:dyDescent="0.25">
      <c r="A289" t="s">
        <v>460</v>
      </c>
      <c r="B289" t="s">
        <v>461</v>
      </c>
      <c r="C289" t="s">
        <v>462</v>
      </c>
      <c r="D289" s="4">
        <v>2004</v>
      </c>
      <c r="E289" t="s">
        <v>56</v>
      </c>
      <c r="F289" t="s">
        <v>57</v>
      </c>
      <c r="G289" s="5">
        <v>340</v>
      </c>
      <c r="H289" s="1">
        <v>44747</v>
      </c>
      <c r="I289" s="1">
        <v>44832</v>
      </c>
      <c r="J289" t="s">
        <v>463</v>
      </c>
      <c r="K289">
        <v>45.424764000000003</v>
      </c>
      <c r="L289">
        <v>-98.181145999999998</v>
      </c>
      <c r="M289" t="s">
        <v>233</v>
      </c>
      <c r="N289">
        <v>141</v>
      </c>
      <c r="P289">
        <v>382.1</v>
      </c>
      <c r="Q289">
        <v>108.3</v>
      </c>
      <c r="R289">
        <v>59.5</v>
      </c>
    </row>
    <row r="290" spans="1:18" x14ac:dyDescent="0.25">
      <c r="A290" t="s">
        <v>465</v>
      </c>
      <c r="B290" t="s">
        <v>466</v>
      </c>
      <c r="C290" t="s">
        <v>467</v>
      </c>
      <c r="D290" s="4">
        <v>202402</v>
      </c>
      <c r="E290" t="s">
        <v>56</v>
      </c>
      <c r="F290" t="s">
        <v>57</v>
      </c>
      <c r="G290" s="5">
        <v>340</v>
      </c>
      <c r="H290" s="1">
        <v>45413</v>
      </c>
      <c r="I290" s="1">
        <v>45413</v>
      </c>
      <c r="J290" t="s">
        <v>468</v>
      </c>
      <c r="K290">
        <v>45.367956999999997</v>
      </c>
      <c r="L290">
        <v>-96.877460999999997</v>
      </c>
      <c r="M290" t="s">
        <v>275</v>
      </c>
      <c r="N290">
        <v>0</v>
      </c>
      <c r="O290" t="s">
        <v>145</v>
      </c>
      <c r="P290">
        <v>492</v>
      </c>
      <c r="Q290">
        <v>157</v>
      </c>
      <c r="R290">
        <v>107</v>
      </c>
    </row>
    <row r="291" spans="1:18" x14ac:dyDescent="0.25">
      <c r="A291" t="s">
        <v>465</v>
      </c>
      <c r="B291" t="s">
        <v>466</v>
      </c>
      <c r="C291" t="s">
        <v>467</v>
      </c>
      <c r="D291" s="4">
        <v>202402</v>
      </c>
      <c r="E291" t="s">
        <v>132</v>
      </c>
      <c r="F291" t="s">
        <v>133</v>
      </c>
      <c r="H291" s="1">
        <v>45474</v>
      </c>
      <c r="I291" s="1">
        <v>46935</v>
      </c>
      <c r="J291" t="s">
        <v>468</v>
      </c>
      <c r="K291">
        <v>45.367956999999997</v>
      </c>
      <c r="L291">
        <v>-96.877460999999997</v>
      </c>
      <c r="M291" t="s">
        <v>275</v>
      </c>
      <c r="N291">
        <v>0</v>
      </c>
      <c r="O291" t="s">
        <v>145</v>
      </c>
      <c r="P291">
        <v>117</v>
      </c>
      <c r="Q291">
        <v>36</v>
      </c>
      <c r="R291">
        <v>25</v>
      </c>
    </row>
    <row r="292" spans="1:18" x14ac:dyDescent="0.25">
      <c r="A292" t="s">
        <v>469</v>
      </c>
      <c r="B292" t="s">
        <v>470</v>
      </c>
      <c r="C292" t="s">
        <v>471</v>
      </c>
      <c r="D292" s="4" t="s">
        <v>474</v>
      </c>
      <c r="E292" t="s">
        <v>75</v>
      </c>
      <c r="F292" t="s">
        <v>475</v>
      </c>
      <c r="G292" s="5">
        <v>914</v>
      </c>
      <c r="H292" s="1">
        <v>45069</v>
      </c>
      <c r="I292" s="1">
        <v>45369</v>
      </c>
      <c r="J292" t="s">
        <v>472</v>
      </c>
      <c r="K292">
        <v>43.321773999999998</v>
      </c>
      <c r="L292">
        <v>-100.44682299999999</v>
      </c>
      <c r="M292" t="s">
        <v>473</v>
      </c>
    </row>
    <row r="293" spans="1:18" x14ac:dyDescent="0.25">
      <c r="A293" t="s">
        <v>469</v>
      </c>
      <c r="B293" t="s">
        <v>470</v>
      </c>
      <c r="C293" t="s">
        <v>471</v>
      </c>
      <c r="D293" s="4" t="s">
        <v>474</v>
      </c>
      <c r="E293" t="s">
        <v>105</v>
      </c>
      <c r="F293" t="s">
        <v>59</v>
      </c>
      <c r="G293" s="5">
        <v>556</v>
      </c>
      <c r="H293" s="1">
        <v>45122</v>
      </c>
      <c r="I293" s="1">
        <v>45380</v>
      </c>
      <c r="J293" t="s">
        <v>472</v>
      </c>
      <c r="K293">
        <v>43.321773999999998</v>
      </c>
      <c r="L293">
        <v>-100.44682299999999</v>
      </c>
      <c r="M293" t="s">
        <v>473</v>
      </c>
      <c r="N293">
        <v>400</v>
      </c>
      <c r="P293">
        <v>1025</v>
      </c>
      <c r="Q293">
        <v>163</v>
      </c>
      <c r="R293">
        <v>84</v>
      </c>
    </row>
    <row r="294" spans="1:18" x14ac:dyDescent="0.25">
      <c r="A294" t="s">
        <v>476</v>
      </c>
      <c r="B294" t="s">
        <v>201</v>
      </c>
      <c r="C294" t="s">
        <v>477</v>
      </c>
      <c r="D294" s="4" t="s">
        <v>479</v>
      </c>
      <c r="E294" t="s">
        <v>54</v>
      </c>
      <c r="F294" t="s">
        <v>55</v>
      </c>
      <c r="G294" s="5">
        <v>329</v>
      </c>
      <c r="H294" s="1">
        <v>45505</v>
      </c>
      <c r="I294" s="1">
        <v>45708</v>
      </c>
      <c r="J294" t="s">
        <v>478</v>
      </c>
      <c r="K294">
        <v>43.062289</v>
      </c>
      <c r="L294">
        <v>-97.649383999999998</v>
      </c>
      <c r="M294" t="s">
        <v>137</v>
      </c>
      <c r="N294">
        <v>30</v>
      </c>
      <c r="P294">
        <v>300</v>
      </c>
      <c r="Q294">
        <v>105</v>
      </c>
      <c r="R294">
        <v>77</v>
      </c>
    </row>
    <row r="295" spans="1:18" x14ac:dyDescent="0.25">
      <c r="A295" t="s">
        <v>476</v>
      </c>
      <c r="B295" t="s">
        <v>201</v>
      </c>
      <c r="C295" t="s">
        <v>477</v>
      </c>
      <c r="D295" s="4" t="s">
        <v>479</v>
      </c>
      <c r="E295" t="s">
        <v>56</v>
      </c>
      <c r="F295" t="s">
        <v>57</v>
      </c>
      <c r="G295" s="5">
        <v>340</v>
      </c>
      <c r="H295" s="1">
        <v>45526</v>
      </c>
      <c r="I295" s="1">
        <v>45550</v>
      </c>
      <c r="J295" t="s">
        <v>478</v>
      </c>
      <c r="K295">
        <v>43.062289</v>
      </c>
      <c r="L295">
        <v>-97.649383999999998</v>
      </c>
      <c r="M295" t="s">
        <v>137</v>
      </c>
      <c r="N295">
        <v>30</v>
      </c>
      <c r="P295">
        <v>272</v>
      </c>
      <c r="Q295">
        <v>93</v>
      </c>
      <c r="R295">
        <v>68</v>
      </c>
    </row>
    <row r="296" spans="1:18" x14ac:dyDescent="0.25">
      <c r="A296" t="s">
        <v>476</v>
      </c>
      <c r="B296" t="s">
        <v>201</v>
      </c>
      <c r="C296" t="s">
        <v>477</v>
      </c>
      <c r="D296" s="4" t="s">
        <v>479</v>
      </c>
      <c r="E296" t="s">
        <v>105</v>
      </c>
      <c r="F296" t="s">
        <v>59</v>
      </c>
      <c r="G296" s="5">
        <v>556</v>
      </c>
      <c r="H296" s="1">
        <v>45505</v>
      </c>
      <c r="I296" s="1">
        <v>45708</v>
      </c>
      <c r="J296" t="s">
        <v>478</v>
      </c>
      <c r="K296">
        <v>43.062289</v>
      </c>
      <c r="L296">
        <v>-97.649383999999998</v>
      </c>
      <c r="M296" t="s">
        <v>137</v>
      </c>
      <c r="N296">
        <v>30</v>
      </c>
    </row>
    <row r="297" spans="1:18" x14ac:dyDescent="0.25">
      <c r="A297" t="s">
        <v>480</v>
      </c>
      <c r="B297" t="s">
        <v>481</v>
      </c>
      <c r="C297" t="s">
        <v>482</v>
      </c>
      <c r="D297" s="4" t="s">
        <v>485</v>
      </c>
      <c r="E297" t="s">
        <v>54</v>
      </c>
      <c r="F297" t="s">
        <v>55</v>
      </c>
      <c r="G297" s="5">
        <v>329</v>
      </c>
      <c r="H297" s="1">
        <v>45383</v>
      </c>
      <c r="I297" s="1">
        <v>45413</v>
      </c>
      <c r="J297" t="s">
        <v>483</v>
      </c>
      <c r="K297">
        <v>44.651564</v>
      </c>
      <c r="L297">
        <v>-101.342377</v>
      </c>
      <c r="M297" t="s">
        <v>484</v>
      </c>
      <c r="N297">
        <v>0</v>
      </c>
      <c r="O297" t="s">
        <v>145</v>
      </c>
      <c r="P297">
        <v>1218</v>
      </c>
      <c r="Q297">
        <v>421</v>
      </c>
      <c r="R297">
        <v>324</v>
      </c>
    </row>
    <row r="298" spans="1:18" x14ac:dyDescent="0.25">
      <c r="A298" t="s">
        <v>480</v>
      </c>
      <c r="B298" t="s">
        <v>481</v>
      </c>
      <c r="C298" t="s">
        <v>482</v>
      </c>
      <c r="D298" s="4" t="s">
        <v>485</v>
      </c>
      <c r="E298" t="s">
        <v>56</v>
      </c>
      <c r="F298" t="s">
        <v>57</v>
      </c>
      <c r="G298" s="5">
        <v>340</v>
      </c>
      <c r="H298" s="1">
        <v>45383</v>
      </c>
      <c r="I298" s="1">
        <v>45401</v>
      </c>
      <c r="J298" t="s">
        <v>483</v>
      </c>
      <c r="K298">
        <v>44.651564</v>
      </c>
      <c r="L298">
        <v>-101.342377</v>
      </c>
      <c r="M298" t="s">
        <v>484</v>
      </c>
      <c r="N298">
        <v>0</v>
      </c>
      <c r="O298" t="s">
        <v>145</v>
      </c>
      <c r="P298">
        <v>1735</v>
      </c>
      <c r="Q298">
        <v>633</v>
      </c>
      <c r="R298">
        <v>489</v>
      </c>
    </row>
    <row r="299" spans="1:18" x14ac:dyDescent="0.25">
      <c r="A299" t="s">
        <v>480</v>
      </c>
      <c r="B299" t="s">
        <v>255</v>
      </c>
      <c r="C299" t="s">
        <v>482</v>
      </c>
      <c r="D299" s="4" t="s">
        <v>486</v>
      </c>
      <c r="E299" t="s">
        <v>54</v>
      </c>
      <c r="F299" t="s">
        <v>55</v>
      </c>
      <c r="G299" s="5">
        <v>329</v>
      </c>
      <c r="H299" s="1">
        <v>45413</v>
      </c>
      <c r="I299" s="1">
        <v>45424</v>
      </c>
      <c r="J299" t="s">
        <v>483</v>
      </c>
      <c r="K299">
        <v>44.556004999999999</v>
      </c>
      <c r="L299">
        <v>-101.320891</v>
      </c>
      <c r="M299" t="s">
        <v>484</v>
      </c>
      <c r="N299">
        <v>0</v>
      </c>
      <c r="O299" t="s">
        <v>145</v>
      </c>
      <c r="P299">
        <v>600</v>
      </c>
      <c r="Q299">
        <v>176</v>
      </c>
      <c r="R299">
        <v>133</v>
      </c>
    </row>
    <row r="300" spans="1:18" x14ac:dyDescent="0.25">
      <c r="A300" t="s">
        <v>480</v>
      </c>
      <c r="B300" t="s">
        <v>255</v>
      </c>
      <c r="C300" t="s">
        <v>482</v>
      </c>
      <c r="D300" s="4" t="s">
        <v>486</v>
      </c>
      <c r="E300" t="s">
        <v>56</v>
      </c>
      <c r="F300" t="s">
        <v>57</v>
      </c>
      <c r="G300" s="5">
        <v>340</v>
      </c>
      <c r="H300" s="1">
        <v>45413</v>
      </c>
      <c r="I300" s="1">
        <v>45424</v>
      </c>
      <c r="J300" t="s">
        <v>483</v>
      </c>
      <c r="K300">
        <v>44.556004999999999</v>
      </c>
      <c r="L300">
        <v>-101.320891</v>
      </c>
      <c r="M300" t="s">
        <v>484</v>
      </c>
      <c r="N300">
        <v>0</v>
      </c>
      <c r="O300" t="s">
        <v>145</v>
      </c>
      <c r="P300">
        <v>1291</v>
      </c>
      <c r="Q300">
        <v>753</v>
      </c>
      <c r="R300">
        <v>582</v>
      </c>
    </row>
    <row r="301" spans="1:18" x14ac:dyDescent="0.25">
      <c r="A301" t="s">
        <v>487</v>
      </c>
      <c r="B301" t="s">
        <v>97</v>
      </c>
      <c r="C301" t="s">
        <v>488</v>
      </c>
      <c r="D301" s="4" t="s">
        <v>489</v>
      </c>
      <c r="E301" t="s">
        <v>54</v>
      </c>
      <c r="F301" t="s">
        <v>55</v>
      </c>
      <c r="G301" s="5">
        <v>329</v>
      </c>
      <c r="H301" s="1">
        <v>45544</v>
      </c>
      <c r="I301" s="1">
        <v>45554</v>
      </c>
      <c r="J301" t="s">
        <v>227</v>
      </c>
      <c r="K301">
        <v>43.807540000000003</v>
      </c>
      <c r="L301">
        <v>-96.816321000000002</v>
      </c>
      <c r="M301" t="s">
        <v>156</v>
      </c>
      <c r="N301">
        <v>104</v>
      </c>
      <c r="P301">
        <v>364</v>
      </c>
      <c r="Q301">
        <v>81</v>
      </c>
      <c r="R301">
        <v>56</v>
      </c>
    </row>
    <row r="302" spans="1:18" x14ac:dyDescent="0.25">
      <c r="A302" t="s">
        <v>487</v>
      </c>
      <c r="B302" t="s">
        <v>97</v>
      </c>
      <c r="C302" t="s">
        <v>488</v>
      </c>
      <c r="D302" s="4" t="s">
        <v>489</v>
      </c>
      <c r="E302" t="s">
        <v>56</v>
      </c>
      <c r="F302" t="s">
        <v>57</v>
      </c>
      <c r="G302" s="5">
        <v>340</v>
      </c>
      <c r="H302" s="1">
        <v>45544</v>
      </c>
      <c r="I302" s="1">
        <v>45554</v>
      </c>
      <c r="J302" t="s">
        <v>227</v>
      </c>
      <c r="K302">
        <v>43.807540000000003</v>
      </c>
      <c r="L302">
        <v>-96.816321000000002</v>
      </c>
      <c r="M302" t="s">
        <v>156</v>
      </c>
      <c r="N302">
        <v>104</v>
      </c>
      <c r="P302">
        <v>831</v>
      </c>
      <c r="Q302">
        <v>274</v>
      </c>
      <c r="R302">
        <v>196</v>
      </c>
    </row>
    <row r="303" spans="1:18" x14ac:dyDescent="0.25">
      <c r="A303" t="s">
        <v>490</v>
      </c>
      <c r="B303" t="s">
        <v>261</v>
      </c>
      <c r="C303" t="s">
        <v>491</v>
      </c>
      <c r="D303" s="4" t="s">
        <v>493</v>
      </c>
      <c r="E303" t="s">
        <v>54</v>
      </c>
      <c r="F303" t="s">
        <v>55</v>
      </c>
      <c r="G303" s="5">
        <v>329</v>
      </c>
      <c r="H303" s="1">
        <v>45474</v>
      </c>
      <c r="I303" s="1">
        <v>45546</v>
      </c>
      <c r="J303" t="s">
        <v>492</v>
      </c>
      <c r="K303">
        <v>42.988413999999999</v>
      </c>
      <c r="L303">
        <v>-97.539907999999997</v>
      </c>
      <c r="M303" t="s">
        <v>137</v>
      </c>
      <c r="N303">
        <v>160</v>
      </c>
      <c r="P303">
        <v>527</v>
      </c>
      <c r="Q303">
        <v>116</v>
      </c>
      <c r="R303">
        <v>80</v>
      </c>
    </row>
    <row r="304" spans="1:18" x14ac:dyDescent="0.25">
      <c r="A304" t="s">
        <v>490</v>
      </c>
      <c r="B304" t="s">
        <v>261</v>
      </c>
      <c r="C304" t="s">
        <v>491</v>
      </c>
      <c r="D304" s="4" t="s">
        <v>493</v>
      </c>
      <c r="E304" t="s">
        <v>56</v>
      </c>
      <c r="F304" t="s">
        <v>57</v>
      </c>
      <c r="G304" s="5">
        <v>340</v>
      </c>
      <c r="H304" s="1">
        <v>45463</v>
      </c>
      <c r="I304" s="1">
        <v>45534</v>
      </c>
      <c r="J304" t="s">
        <v>492</v>
      </c>
      <c r="K304">
        <v>42.988413999999999</v>
      </c>
      <c r="L304">
        <v>-97.539907999999997</v>
      </c>
      <c r="M304" t="s">
        <v>137</v>
      </c>
      <c r="N304">
        <v>160</v>
      </c>
      <c r="P304">
        <v>1177</v>
      </c>
      <c r="Q304">
        <v>391</v>
      </c>
      <c r="R304">
        <v>278</v>
      </c>
    </row>
    <row r="305" spans="1:18" x14ac:dyDescent="0.25">
      <c r="A305" t="s">
        <v>494</v>
      </c>
      <c r="B305" t="s">
        <v>50</v>
      </c>
      <c r="C305" t="s">
        <v>495</v>
      </c>
      <c r="D305" s="4" t="s">
        <v>496</v>
      </c>
      <c r="E305" t="s">
        <v>54</v>
      </c>
      <c r="F305" t="s">
        <v>55</v>
      </c>
      <c r="G305" s="5">
        <v>329</v>
      </c>
      <c r="H305" s="1">
        <v>45839</v>
      </c>
      <c r="I305" s="1">
        <v>45931</v>
      </c>
      <c r="J305" t="s">
        <v>52</v>
      </c>
      <c r="K305">
        <v>44.076729</v>
      </c>
      <c r="L305">
        <v>-97.964685000000003</v>
      </c>
      <c r="M305" t="s">
        <v>53</v>
      </c>
      <c r="N305">
        <v>0</v>
      </c>
      <c r="O305" t="s">
        <v>145</v>
      </c>
      <c r="P305">
        <v>221</v>
      </c>
      <c r="Q305">
        <v>57</v>
      </c>
      <c r="R305">
        <v>36</v>
      </c>
    </row>
    <row r="306" spans="1:18" x14ac:dyDescent="0.25">
      <c r="A306" t="s">
        <v>494</v>
      </c>
      <c r="B306" t="s">
        <v>50</v>
      </c>
      <c r="C306" t="s">
        <v>495</v>
      </c>
      <c r="D306" s="4" t="s">
        <v>496</v>
      </c>
      <c r="E306" t="s">
        <v>56</v>
      </c>
      <c r="F306" t="s">
        <v>57</v>
      </c>
      <c r="G306" s="5">
        <v>340</v>
      </c>
      <c r="H306" s="1">
        <v>45839</v>
      </c>
      <c r="I306" s="1">
        <v>45931</v>
      </c>
      <c r="J306" t="s">
        <v>52</v>
      </c>
      <c r="K306">
        <v>44.076729</v>
      </c>
      <c r="L306">
        <v>-97.964685000000003</v>
      </c>
      <c r="M306" t="s">
        <v>53</v>
      </c>
      <c r="N306">
        <v>0</v>
      </c>
      <c r="O306" t="s">
        <v>145</v>
      </c>
      <c r="P306">
        <v>274</v>
      </c>
      <c r="Q306">
        <v>85</v>
      </c>
      <c r="R306">
        <v>54</v>
      </c>
    </row>
    <row r="307" spans="1:18" x14ac:dyDescent="0.25">
      <c r="A307" t="s">
        <v>497</v>
      </c>
      <c r="B307" t="s">
        <v>67</v>
      </c>
      <c r="C307" t="s">
        <v>498</v>
      </c>
      <c r="D307" s="4" t="s">
        <v>500</v>
      </c>
      <c r="E307" t="s">
        <v>75</v>
      </c>
      <c r="F307" t="s">
        <v>475</v>
      </c>
      <c r="G307" s="5">
        <v>914</v>
      </c>
      <c r="H307" s="1">
        <v>45446</v>
      </c>
      <c r="I307" s="1">
        <v>45509</v>
      </c>
      <c r="J307" t="s">
        <v>499</v>
      </c>
      <c r="K307">
        <v>43.541685000000001</v>
      </c>
      <c r="L307">
        <v>-97.554135000000002</v>
      </c>
      <c r="M307" t="s">
        <v>192</v>
      </c>
      <c r="N307">
        <v>0</v>
      </c>
      <c r="O307" t="s">
        <v>145</v>
      </c>
      <c r="P307">
        <v>601</v>
      </c>
      <c r="Q307">
        <v>52</v>
      </c>
      <c r="R307">
        <v>29</v>
      </c>
    </row>
    <row r="308" spans="1:18" x14ac:dyDescent="0.25">
      <c r="A308" t="s">
        <v>501</v>
      </c>
      <c r="B308" t="s">
        <v>182</v>
      </c>
      <c r="C308" t="s">
        <v>502</v>
      </c>
      <c r="D308" s="4">
        <v>2024</v>
      </c>
      <c r="E308" t="s">
        <v>54</v>
      </c>
      <c r="F308" t="s">
        <v>55</v>
      </c>
      <c r="G308" s="5">
        <v>329</v>
      </c>
      <c r="H308" s="1">
        <v>45474</v>
      </c>
      <c r="I308" s="1">
        <v>45519</v>
      </c>
      <c r="J308" t="s">
        <v>503</v>
      </c>
      <c r="K308">
        <v>45.400315999999997</v>
      </c>
      <c r="L308">
        <v>-97.255847000000003</v>
      </c>
      <c r="M308" t="s">
        <v>223</v>
      </c>
      <c r="N308">
        <v>0</v>
      </c>
      <c r="O308" t="s">
        <v>145</v>
      </c>
      <c r="P308">
        <v>48</v>
      </c>
      <c r="Q308">
        <v>12</v>
      </c>
      <c r="R308">
        <v>9</v>
      </c>
    </row>
    <row r="309" spans="1:18" x14ac:dyDescent="0.25">
      <c r="A309" t="s">
        <v>501</v>
      </c>
      <c r="B309" t="s">
        <v>182</v>
      </c>
      <c r="C309" t="s">
        <v>502</v>
      </c>
      <c r="D309" s="4">
        <v>2024</v>
      </c>
      <c r="E309" t="s">
        <v>56</v>
      </c>
      <c r="F309" t="s">
        <v>57</v>
      </c>
      <c r="G309" s="5">
        <v>340</v>
      </c>
      <c r="H309" s="1">
        <v>45505</v>
      </c>
      <c r="I309" s="1">
        <v>45870</v>
      </c>
      <c r="J309" t="s">
        <v>503</v>
      </c>
      <c r="K309">
        <v>45.400315999999997</v>
      </c>
      <c r="L309">
        <v>-97.255847000000003</v>
      </c>
      <c r="M309" t="s">
        <v>223</v>
      </c>
      <c r="N309">
        <v>0</v>
      </c>
      <c r="O309" t="s">
        <v>145</v>
      </c>
      <c r="P309">
        <v>129</v>
      </c>
      <c r="Q309">
        <v>45</v>
      </c>
      <c r="R309">
        <v>34</v>
      </c>
    </row>
    <row r="310" spans="1:18" x14ac:dyDescent="0.25">
      <c r="A310" t="s">
        <v>504</v>
      </c>
      <c r="B310" t="s">
        <v>166</v>
      </c>
      <c r="C310" t="s">
        <v>505</v>
      </c>
      <c r="D310" s="4" t="s">
        <v>507</v>
      </c>
      <c r="E310" t="s">
        <v>54</v>
      </c>
      <c r="F310" t="s">
        <v>55</v>
      </c>
      <c r="G310" s="5">
        <v>329</v>
      </c>
      <c r="H310" s="1">
        <v>45505</v>
      </c>
      <c r="I310" s="1">
        <v>45645</v>
      </c>
      <c r="J310" t="s">
        <v>506</v>
      </c>
      <c r="K310">
        <v>43.873634000000003</v>
      </c>
      <c r="L310">
        <v>-97.582305000000005</v>
      </c>
      <c r="M310" t="s">
        <v>192</v>
      </c>
      <c r="N310">
        <v>42</v>
      </c>
      <c r="P310">
        <v>134</v>
      </c>
      <c r="Q310">
        <v>33</v>
      </c>
      <c r="R310">
        <v>20</v>
      </c>
    </row>
    <row r="311" spans="1:18" x14ac:dyDescent="0.25">
      <c r="A311" t="s">
        <v>504</v>
      </c>
      <c r="B311" t="s">
        <v>166</v>
      </c>
      <c r="C311" t="s">
        <v>505</v>
      </c>
      <c r="D311" s="4" t="s">
        <v>507</v>
      </c>
      <c r="E311" t="s">
        <v>56</v>
      </c>
      <c r="F311" t="s">
        <v>57</v>
      </c>
      <c r="G311" s="5">
        <v>340</v>
      </c>
      <c r="H311" s="1">
        <v>45524</v>
      </c>
      <c r="I311" s="1">
        <v>45562</v>
      </c>
      <c r="J311" t="s">
        <v>506</v>
      </c>
      <c r="K311">
        <v>43.873634000000003</v>
      </c>
      <c r="L311">
        <v>-97.582305000000005</v>
      </c>
      <c r="M311" t="s">
        <v>192</v>
      </c>
      <c r="N311">
        <v>42</v>
      </c>
      <c r="P311">
        <v>162</v>
      </c>
      <c r="Q311">
        <v>49</v>
      </c>
      <c r="R311">
        <v>30</v>
      </c>
    </row>
    <row r="312" spans="1:18" x14ac:dyDescent="0.25">
      <c r="A312" t="s">
        <v>508</v>
      </c>
      <c r="B312" t="s">
        <v>509</v>
      </c>
      <c r="C312" t="s">
        <v>510</v>
      </c>
      <c r="D312" s="4" t="s">
        <v>512</v>
      </c>
      <c r="E312" t="s">
        <v>54</v>
      </c>
      <c r="F312" t="s">
        <v>55</v>
      </c>
      <c r="G312" s="5">
        <v>329</v>
      </c>
      <c r="H312" s="1">
        <v>45566</v>
      </c>
      <c r="I312" s="1">
        <v>45597</v>
      </c>
      <c r="J312" t="s">
        <v>511</v>
      </c>
      <c r="K312">
        <v>44.114697999999997</v>
      </c>
      <c r="L312">
        <v>-97.293636000000006</v>
      </c>
      <c r="M312" t="s">
        <v>130</v>
      </c>
      <c r="N312">
        <v>0</v>
      </c>
      <c r="O312" t="s">
        <v>145</v>
      </c>
      <c r="P312">
        <v>519.70000000000005</v>
      </c>
      <c r="Q312">
        <v>150.4</v>
      </c>
      <c r="R312">
        <v>103.9</v>
      </c>
    </row>
    <row r="313" spans="1:18" x14ac:dyDescent="0.25">
      <c r="A313" t="s">
        <v>508</v>
      </c>
      <c r="B313" t="s">
        <v>509</v>
      </c>
      <c r="C313" t="s">
        <v>510</v>
      </c>
      <c r="D313" s="4" t="s">
        <v>512</v>
      </c>
      <c r="E313" t="s">
        <v>56</v>
      </c>
      <c r="F313" t="s">
        <v>57</v>
      </c>
      <c r="G313" s="5">
        <v>340</v>
      </c>
      <c r="H313" s="1">
        <v>45597</v>
      </c>
      <c r="I313" s="1">
        <v>45597</v>
      </c>
      <c r="J313" t="s">
        <v>511</v>
      </c>
      <c r="K313">
        <v>44.114697999999997</v>
      </c>
      <c r="L313">
        <v>-97.293636000000006</v>
      </c>
      <c r="M313" t="s">
        <v>130</v>
      </c>
      <c r="N313">
        <v>0</v>
      </c>
      <c r="O313" t="s">
        <v>145</v>
      </c>
      <c r="P313">
        <v>678.4</v>
      </c>
      <c r="Q313">
        <v>225.3</v>
      </c>
      <c r="R313">
        <v>156.80000000000001</v>
      </c>
    </row>
    <row r="314" spans="1:18" x14ac:dyDescent="0.25">
      <c r="A314" t="s">
        <v>508</v>
      </c>
      <c r="B314" t="s">
        <v>513</v>
      </c>
      <c r="C314" t="s">
        <v>510</v>
      </c>
      <c r="D314" s="4" t="s">
        <v>514</v>
      </c>
      <c r="E314" t="s">
        <v>54</v>
      </c>
      <c r="F314" t="s">
        <v>55</v>
      </c>
      <c r="G314" s="5">
        <v>329</v>
      </c>
      <c r="H314" s="1">
        <v>45931</v>
      </c>
      <c r="I314" s="1">
        <v>45962</v>
      </c>
      <c r="J314" t="s">
        <v>511</v>
      </c>
      <c r="K314">
        <v>43.982478</v>
      </c>
      <c r="L314">
        <v>-97.225204000000005</v>
      </c>
      <c r="M314" t="s">
        <v>130</v>
      </c>
      <c r="N314">
        <v>0</v>
      </c>
      <c r="O314" t="s">
        <v>145</v>
      </c>
      <c r="P314">
        <v>699.5</v>
      </c>
      <c r="Q314">
        <v>200.7</v>
      </c>
      <c r="R314">
        <v>137.80000000000001</v>
      </c>
    </row>
    <row r="315" spans="1:18" x14ac:dyDescent="0.25">
      <c r="A315" t="s">
        <v>508</v>
      </c>
      <c r="B315" t="s">
        <v>513</v>
      </c>
      <c r="C315" t="s">
        <v>510</v>
      </c>
      <c r="D315" s="4" t="s">
        <v>514</v>
      </c>
      <c r="E315" t="s">
        <v>56</v>
      </c>
      <c r="F315" t="s">
        <v>57</v>
      </c>
      <c r="G315" s="5">
        <v>340</v>
      </c>
      <c r="H315" s="1">
        <v>45962</v>
      </c>
      <c r="I315" s="1">
        <v>45962</v>
      </c>
      <c r="J315" t="s">
        <v>511</v>
      </c>
      <c r="K315">
        <v>43.982478</v>
      </c>
      <c r="L315">
        <v>-97.225204000000005</v>
      </c>
      <c r="M315" t="s">
        <v>130</v>
      </c>
      <c r="N315">
        <v>0</v>
      </c>
      <c r="O315" t="s">
        <v>145</v>
      </c>
      <c r="P315">
        <v>909.4</v>
      </c>
      <c r="Q315">
        <v>300.60000000000002</v>
      </c>
      <c r="R315">
        <v>207.8</v>
      </c>
    </row>
    <row r="316" spans="1:18" x14ac:dyDescent="0.25">
      <c r="A316" t="s">
        <v>515</v>
      </c>
      <c r="B316" t="s">
        <v>516</v>
      </c>
      <c r="C316" t="s">
        <v>517</v>
      </c>
      <c r="D316" s="4" t="s">
        <v>519</v>
      </c>
      <c r="E316" t="s">
        <v>54</v>
      </c>
      <c r="F316" t="s">
        <v>55</v>
      </c>
      <c r="G316" s="5">
        <v>329</v>
      </c>
      <c r="H316" s="1">
        <v>45468</v>
      </c>
      <c r="I316" s="1">
        <v>45523</v>
      </c>
      <c r="J316" t="s">
        <v>518</v>
      </c>
      <c r="K316">
        <v>43.116155999999997</v>
      </c>
      <c r="L316">
        <v>-96.990053000000003</v>
      </c>
      <c r="M316" t="s">
        <v>100</v>
      </c>
      <c r="N316">
        <v>143</v>
      </c>
      <c r="P316">
        <v>669</v>
      </c>
      <c r="Q316">
        <v>205</v>
      </c>
      <c r="R316">
        <v>1500</v>
      </c>
    </row>
    <row r="317" spans="1:18" x14ac:dyDescent="0.25">
      <c r="A317" t="s">
        <v>515</v>
      </c>
      <c r="B317" t="s">
        <v>516</v>
      </c>
      <c r="C317" t="s">
        <v>517</v>
      </c>
      <c r="D317" s="4" t="s">
        <v>519</v>
      </c>
      <c r="E317" t="s">
        <v>56</v>
      </c>
      <c r="F317" t="s">
        <v>57</v>
      </c>
      <c r="G317" s="5">
        <v>340</v>
      </c>
      <c r="H317" s="1">
        <v>45467</v>
      </c>
      <c r="I317" s="1">
        <v>45523</v>
      </c>
      <c r="J317" t="s">
        <v>518</v>
      </c>
      <c r="K317">
        <v>43.116155999999997</v>
      </c>
      <c r="L317">
        <v>-96.990053000000003</v>
      </c>
      <c r="M317" t="s">
        <v>100</v>
      </c>
      <c r="N317">
        <v>143</v>
      </c>
      <c r="P317">
        <v>669</v>
      </c>
      <c r="Q317">
        <v>205</v>
      </c>
      <c r="R317">
        <v>135</v>
      </c>
    </row>
    <row r="318" spans="1:18" x14ac:dyDescent="0.25">
      <c r="A318" t="s">
        <v>515</v>
      </c>
      <c r="B318" t="s">
        <v>255</v>
      </c>
      <c r="C318" t="s">
        <v>517</v>
      </c>
      <c r="D318" s="4" t="s">
        <v>520</v>
      </c>
      <c r="E318" t="s">
        <v>54</v>
      </c>
      <c r="F318" t="s">
        <v>55</v>
      </c>
      <c r="G318" s="5">
        <v>329</v>
      </c>
      <c r="H318" s="1">
        <v>45462</v>
      </c>
      <c r="I318" s="1">
        <v>45523</v>
      </c>
      <c r="J318" t="s">
        <v>518</v>
      </c>
      <c r="K318">
        <v>43.106862999999997</v>
      </c>
      <c r="L318">
        <v>-96.971483000000006</v>
      </c>
      <c r="M318" t="s">
        <v>100</v>
      </c>
      <c r="N318">
        <v>120</v>
      </c>
      <c r="P318">
        <v>294</v>
      </c>
      <c r="Q318">
        <v>48</v>
      </c>
      <c r="R318">
        <v>628</v>
      </c>
    </row>
    <row r="319" spans="1:18" x14ac:dyDescent="0.25">
      <c r="A319" t="s">
        <v>515</v>
      </c>
      <c r="B319" t="s">
        <v>255</v>
      </c>
      <c r="C319" t="s">
        <v>517</v>
      </c>
      <c r="D319" s="4" t="s">
        <v>520</v>
      </c>
      <c r="E319" t="s">
        <v>54</v>
      </c>
      <c r="F319" t="s">
        <v>521</v>
      </c>
      <c r="G319" s="5">
        <v>327</v>
      </c>
      <c r="H319" s="1">
        <v>45461</v>
      </c>
      <c r="I319" s="1">
        <v>45524</v>
      </c>
      <c r="J319" t="s">
        <v>518</v>
      </c>
      <c r="K319">
        <v>43.106862999999997</v>
      </c>
      <c r="L319">
        <v>-96.971483000000006</v>
      </c>
      <c r="M319" t="s">
        <v>100</v>
      </c>
      <c r="N319">
        <v>120</v>
      </c>
    </row>
    <row r="320" spans="1:18" x14ac:dyDescent="0.25">
      <c r="A320" t="s">
        <v>515</v>
      </c>
      <c r="B320" t="s">
        <v>255</v>
      </c>
      <c r="C320" t="s">
        <v>517</v>
      </c>
      <c r="D320" s="4" t="s">
        <v>520</v>
      </c>
      <c r="E320" t="s">
        <v>56</v>
      </c>
      <c r="F320" t="s">
        <v>57</v>
      </c>
      <c r="G320" s="5">
        <v>340</v>
      </c>
      <c r="H320" s="1">
        <v>45453</v>
      </c>
      <c r="I320" s="1">
        <v>45523</v>
      </c>
      <c r="J320" t="s">
        <v>518</v>
      </c>
      <c r="K320">
        <v>43.106862999999997</v>
      </c>
      <c r="L320">
        <v>-96.971483000000006</v>
      </c>
      <c r="M320" t="s">
        <v>100</v>
      </c>
      <c r="N320">
        <v>120</v>
      </c>
      <c r="P320">
        <v>569</v>
      </c>
      <c r="Q320">
        <v>175</v>
      </c>
      <c r="R320">
        <v>109</v>
      </c>
    </row>
    <row r="321" spans="1:18" x14ac:dyDescent="0.25">
      <c r="A321" t="s">
        <v>515</v>
      </c>
      <c r="B321" t="s">
        <v>126</v>
      </c>
      <c r="C321" t="s">
        <v>517</v>
      </c>
      <c r="D321" s="4" t="s">
        <v>522</v>
      </c>
      <c r="E321" t="s">
        <v>54</v>
      </c>
      <c r="F321" t="s">
        <v>55</v>
      </c>
      <c r="G321" s="5">
        <v>329</v>
      </c>
      <c r="H321" s="1">
        <v>45467</v>
      </c>
      <c r="I321" s="1">
        <v>45518</v>
      </c>
      <c r="J321" t="s">
        <v>518</v>
      </c>
      <c r="K321">
        <v>43.093499000000001</v>
      </c>
      <c r="L321">
        <v>-96.959620000000001</v>
      </c>
      <c r="M321" t="s">
        <v>100</v>
      </c>
      <c r="N321">
        <v>162</v>
      </c>
      <c r="P321">
        <v>392</v>
      </c>
      <c r="Q321">
        <v>63</v>
      </c>
      <c r="R321">
        <v>1007</v>
      </c>
    </row>
    <row r="322" spans="1:18" x14ac:dyDescent="0.25">
      <c r="A322" t="s">
        <v>515</v>
      </c>
      <c r="B322" t="s">
        <v>126</v>
      </c>
      <c r="C322" t="s">
        <v>517</v>
      </c>
      <c r="D322" s="4" t="s">
        <v>522</v>
      </c>
      <c r="E322" t="s">
        <v>56</v>
      </c>
      <c r="F322" t="s">
        <v>57</v>
      </c>
      <c r="G322" s="5">
        <v>340</v>
      </c>
      <c r="H322" s="1">
        <v>45453</v>
      </c>
      <c r="I322" s="1">
        <v>45518</v>
      </c>
      <c r="J322" t="s">
        <v>518</v>
      </c>
      <c r="K322">
        <v>43.093499000000001</v>
      </c>
      <c r="L322">
        <v>-96.959620000000001</v>
      </c>
      <c r="M322" t="s">
        <v>100</v>
      </c>
      <c r="N322">
        <v>162</v>
      </c>
      <c r="P322">
        <v>751</v>
      </c>
      <c r="Q322">
        <v>229</v>
      </c>
      <c r="R322">
        <v>142</v>
      </c>
    </row>
    <row r="323" spans="1:18" x14ac:dyDescent="0.25">
      <c r="A323" t="s">
        <v>524</v>
      </c>
      <c r="B323" t="s">
        <v>525</v>
      </c>
      <c r="C323" t="s">
        <v>526</v>
      </c>
      <c r="D323" s="4" t="s">
        <v>528</v>
      </c>
      <c r="E323" t="s">
        <v>83</v>
      </c>
      <c r="F323" t="s">
        <v>84</v>
      </c>
      <c r="G323" s="5">
        <v>328</v>
      </c>
      <c r="H323" s="1">
        <v>45047</v>
      </c>
      <c r="I323" s="1">
        <v>45146</v>
      </c>
      <c r="J323" t="s">
        <v>527</v>
      </c>
      <c r="K323">
        <v>43.531500000000001</v>
      </c>
      <c r="L323">
        <v>-97.830169999999995</v>
      </c>
      <c r="M323" t="s">
        <v>64</v>
      </c>
      <c r="N323">
        <v>0</v>
      </c>
      <c r="O323" t="s">
        <v>145</v>
      </c>
    </row>
    <row r="324" spans="1:18" x14ac:dyDescent="0.25">
      <c r="A324" t="s">
        <v>524</v>
      </c>
      <c r="B324" t="s">
        <v>525</v>
      </c>
      <c r="C324" t="s">
        <v>526</v>
      </c>
      <c r="D324" s="4" t="s">
        <v>528</v>
      </c>
      <c r="E324" t="s">
        <v>132</v>
      </c>
      <c r="F324" t="s">
        <v>529</v>
      </c>
      <c r="H324" s="1">
        <v>45054</v>
      </c>
      <c r="I324" s="1">
        <v>45155</v>
      </c>
      <c r="J324" t="s">
        <v>527</v>
      </c>
      <c r="K324">
        <v>43.531500000000001</v>
      </c>
      <c r="L324">
        <v>-97.830169999999995</v>
      </c>
      <c r="M324" t="s">
        <v>64</v>
      </c>
      <c r="N324">
        <v>19</v>
      </c>
    </row>
    <row r="325" spans="1:18" x14ac:dyDescent="0.25">
      <c r="A325" t="s">
        <v>425</v>
      </c>
      <c r="B325" t="s">
        <v>530</v>
      </c>
      <c r="C325" t="s">
        <v>531</v>
      </c>
      <c r="D325" s="4">
        <v>202401</v>
      </c>
      <c r="E325" t="s">
        <v>54</v>
      </c>
      <c r="F325" t="s">
        <v>55</v>
      </c>
      <c r="G325" s="5">
        <v>329</v>
      </c>
      <c r="H325" s="1">
        <v>45413</v>
      </c>
      <c r="I325" s="1">
        <v>45536</v>
      </c>
      <c r="J325" t="s">
        <v>532</v>
      </c>
      <c r="K325">
        <v>45.160854</v>
      </c>
      <c r="L325">
        <v>-97.736018000000001</v>
      </c>
      <c r="M325" t="s">
        <v>233</v>
      </c>
      <c r="N325">
        <v>450</v>
      </c>
      <c r="P325">
        <v>689</v>
      </c>
      <c r="Q325">
        <v>133</v>
      </c>
      <c r="R325">
        <v>85</v>
      </c>
    </row>
    <row r="326" spans="1:18" x14ac:dyDescent="0.25">
      <c r="A326" t="s">
        <v>425</v>
      </c>
      <c r="B326" t="s">
        <v>530</v>
      </c>
      <c r="C326" t="s">
        <v>531</v>
      </c>
      <c r="D326" s="4">
        <v>202401</v>
      </c>
      <c r="E326" t="s">
        <v>56</v>
      </c>
      <c r="F326" t="s">
        <v>57</v>
      </c>
      <c r="G326" s="5">
        <v>340</v>
      </c>
      <c r="H326" s="1">
        <v>45778</v>
      </c>
      <c r="I326" s="1">
        <v>45778</v>
      </c>
      <c r="J326" t="s">
        <v>532</v>
      </c>
      <c r="K326">
        <v>45.160854</v>
      </c>
      <c r="L326">
        <v>-97.736018000000001</v>
      </c>
      <c r="M326" t="s">
        <v>233</v>
      </c>
      <c r="N326">
        <v>450</v>
      </c>
      <c r="P326">
        <v>1515</v>
      </c>
      <c r="Q326">
        <v>493</v>
      </c>
      <c r="R326">
        <v>334</v>
      </c>
    </row>
    <row r="327" spans="1:18" x14ac:dyDescent="0.25">
      <c r="A327" t="s">
        <v>533</v>
      </c>
      <c r="B327" t="s">
        <v>534</v>
      </c>
      <c r="C327" t="s">
        <v>535</v>
      </c>
      <c r="D327" s="4" t="s">
        <v>537</v>
      </c>
      <c r="E327" t="s">
        <v>83</v>
      </c>
      <c r="F327" t="s">
        <v>84</v>
      </c>
      <c r="G327" s="5">
        <v>328</v>
      </c>
      <c r="H327" s="1">
        <v>45505</v>
      </c>
      <c r="I327" s="1">
        <v>45703</v>
      </c>
      <c r="J327" t="s">
        <v>536</v>
      </c>
      <c r="K327">
        <v>43.135117000000001</v>
      </c>
      <c r="L327">
        <v>-96.605461000000005</v>
      </c>
      <c r="M327" t="s">
        <v>418</v>
      </c>
      <c r="N327">
        <v>148</v>
      </c>
    </row>
    <row r="328" spans="1:18" x14ac:dyDescent="0.25">
      <c r="A328" t="s">
        <v>533</v>
      </c>
      <c r="B328" t="s">
        <v>534</v>
      </c>
      <c r="C328" t="s">
        <v>535</v>
      </c>
      <c r="D328" s="4" t="s">
        <v>537</v>
      </c>
      <c r="E328" t="s">
        <v>54</v>
      </c>
      <c r="F328" t="s">
        <v>55</v>
      </c>
      <c r="G328" s="5">
        <v>329</v>
      </c>
      <c r="H328" s="1">
        <v>45505</v>
      </c>
      <c r="I328" s="1">
        <v>45621</v>
      </c>
      <c r="J328" t="s">
        <v>536</v>
      </c>
      <c r="K328">
        <v>43.135117000000001</v>
      </c>
      <c r="L328">
        <v>-96.605461000000005</v>
      </c>
      <c r="M328" t="s">
        <v>418</v>
      </c>
      <c r="N328">
        <v>148</v>
      </c>
      <c r="P328">
        <v>430</v>
      </c>
      <c r="Q328">
        <v>80</v>
      </c>
      <c r="R328">
        <v>50</v>
      </c>
    </row>
    <row r="329" spans="1:18" x14ac:dyDescent="0.25">
      <c r="A329" t="s">
        <v>533</v>
      </c>
      <c r="B329" t="s">
        <v>534</v>
      </c>
      <c r="C329" t="s">
        <v>535</v>
      </c>
      <c r="D329" s="4" t="s">
        <v>537</v>
      </c>
      <c r="E329" t="s">
        <v>56</v>
      </c>
      <c r="F329" t="s">
        <v>57</v>
      </c>
      <c r="G329" s="5">
        <v>340</v>
      </c>
      <c r="H329" s="1">
        <v>45505</v>
      </c>
      <c r="I329" s="1">
        <v>45576</v>
      </c>
      <c r="J329" t="s">
        <v>536</v>
      </c>
      <c r="K329">
        <v>43.135117000000001</v>
      </c>
      <c r="L329">
        <v>-96.605461000000005</v>
      </c>
      <c r="M329" t="s">
        <v>418</v>
      </c>
      <c r="N329">
        <v>148</v>
      </c>
      <c r="P329">
        <v>719</v>
      </c>
      <c r="Q329">
        <v>295</v>
      </c>
      <c r="R329">
        <v>169</v>
      </c>
    </row>
    <row r="330" spans="1:18" x14ac:dyDescent="0.25">
      <c r="A330" t="s">
        <v>538</v>
      </c>
      <c r="B330" t="s">
        <v>539</v>
      </c>
      <c r="C330" t="s">
        <v>540</v>
      </c>
      <c r="D330" s="4" t="s">
        <v>512</v>
      </c>
      <c r="E330" t="s">
        <v>54</v>
      </c>
      <c r="F330" t="s">
        <v>55</v>
      </c>
      <c r="G330" s="5">
        <v>329</v>
      </c>
      <c r="H330" s="1">
        <v>45413</v>
      </c>
      <c r="I330" s="1">
        <v>45425</v>
      </c>
      <c r="J330" t="s">
        <v>483</v>
      </c>
      <c r="K330">
        <v>44.649090999999999</v>
      </c>
      <c r="L330">
        <v>-101.3486</v>
      </c>
      <c r="M330" t="s">
        <v>484</v>
      </c>
      <c r="N330">
        <v>0</v>
      </c>
      <c r="O330" t="s">
        <v>145</v>
      </c>
      <c r="P330">
        <v>1293</v>
      </c>
      <c r="Q330">
        <v>446</v>
      </c>
      <c r="R330">
        <v>344</v>
      </c>
    </row>
    <row r="331" spans="1:18" x14ac:dyDescent="0.25">
      <c r="A331" t="s">
        <v>538</v>
      </c>
      <c r="B331" t="s">
        <v>539</v>
      </c>
      <c r="C331" t="s">
        <v>540</v>
      </c>
      <c r="D331" s="4" t="s">
        <v>512</v>
      </c>
      <c r="E331" t="s">
        <v>56</v>
      </c>
      <c r="F331" t="s">
        <v>57</v>
      </c>
      <c r="G331" s="5">
        <v>340</v>
      </c>
      <c r="H331" s="1">
        <v>45422</v>
      </c>
      <c r="I331" s="1">
        <v>45422</v>
      </c>
      <c r="J331" t="s">
        <v>483</v>
      </c>
      <c r="K331">
        <v>44.649090999999999</v>
      </c>
      <c r="L331">
        <v>-101.3486</v>
      </c>
      <c r="M331" t="s">
        <v>484</v>
      </c>
      <c r="N331">
        <v>0</v>
      </c>
      <c r="O331" t="s">
        <v>145</v>
      </c>
      <c r="P331">
        <v>1842</v>
      </c>
      <c r="Q331">
        <v>672</v>
      </c>
      <c r="R331">
        <v>518</v>
      </c>
    </row>
    <row r="332" spans="1:18" x14ac:dyDescent="0.25">
      <c r="A332" t="s">
        <v>538</v>
      </c>
      <c r="B332" t="s">
        <v>541</v>
      </c>
      <c r="C332" t="s">
        <v>542</v>
      </c>
      <c r="D332" s="4" t="s">
        <v>543</v>
      </c>
      <c r="E332" t="s">
        <v>54</v>
      </c>
      <c r="F332" t="s">
        <v>55</v>
      </c>
      <c r="G332" s="5">
        <v>329</v>
      </c>
      <c r="H332" s="1">
        <v>45425</v>
      </c>
      <c r="I332" s="1">
        <v>45446</v>
      </c>
      <c r="J332" t="s">
        <v>483</v>
      </c>
      <c r="K332">
        <v>44.614719000000001</v>
      </c>
      <c r="L332">
        <v>-101.300434</v>
      </c>
      <c r="M332" t="s">
        <v>484</v>
      </c>
      <c r="N332">
        <v>0</v>
      </c>
      <c r="O332" t="s">
        <v>145</v>
      </c>
      <c r="P332">
        <v>1135</v>
      </c>
      <c r="Q332">
        <v>392</v>
      </c>
      <c r="R332">
        <v>302</v>
      </c>
    </row>
    <row r="333" spans="1:18" x14ac:dyDescent="0.25">
      <c r="A333" t="s">
        <v>538</v>
      </c>
      <c r="B333" t="s">
        <v>541</v>
      </c>
      <c r="C333" t="s">
        <v>542</v>
      </c>
      <c r="D333" s="4" t="s">
        <v>543</v>
      </c>
      <c r="E333" t="s">
        <v>56</v>
      </c>
      <c r="F333" t="s">
        <v>57</v>
      </c>
      <c r="G333" s="5">
        <v>340</v>
      </c>
      <c r="H333" s="1">
        <v>45425</v>
      </c>
      <c r="I333" s="1">
        <v>45446</v>
      </c>
      <c r="J333" t="s">
        <v>483</v>
      </c>
      <c r="K333">
        <v>44.614719000000001</v>
      </c>
      <c r="L333">
        <v>-101.300434</v>
      </c>
      <c r="M333" t="s">
        <v>484</v>
      </c>
      <c r="N333">
        <v>0</v>
      </c>
      <c r="O333" t="s">
        <v>145</v>
      </c>
      <c r="P333">
        <v>1618</v>
      </c>
      <c r="Q333">
        <v>591</v>
      </c>
      <c r="R333">
        <v>456</v>
      </c>
    </row>
    <row r="334" spans="1:18" x14ac:dyDescent="0.25">
      <c r="A334" t="s">
        <v>544</v>
      </c>
      <c r="B334" t="s">
        <v>342</v>
      </c>
      <c r="C334" t="s">
        <v>545</v>
      </c>
      <c r="D334" s="4" t="s">
        <v>547</v>
      </c>
      <c r="E334" t="s">
        <v>54</v>
      </c>
      <c r="F334" t="s">
        <v>55</v>
      </c>
      <c r="G334" s="5">
        <v>329</v>
      </c>
      <c r="H334" s="1">
        <v>45413</v>
      </c>
      <c r="I334" s="1">
        <v>45555</v>
      </c>
      <c r="J334" t="s">
        <v>546</v>
      </c>
      <c r="K334">
        <v>44.800829999999998</v>
      </c>
      <c r="L334">
        <v>-97.176148999999995</v>
      </c>
      <c r="M334" t="s">
        <v>363</v>
      </c>
      <c r="N334">
        <v>78</v>
      </c>
      <c r="P334">
        <v>182</v>
      </c>
      <c r="Q334">
        <v>32</v>
      </c>
      <c r="R334">
        <v>19</v>
      </c>
    </row>
    <row r="335" spans="1:18" x14ac:dyDescent="0.25">
      <c r="A335" t="s">
        <v>544</v>
      </c>
      <c r="B335" t="s">
        <v>342</v>
      </c>
      <c r="C335" t="s">
        <v>545</v>
      </c>
      <c r="D335" s="4" t="s">
        <v>547</v>
      </c>
      <c r="E335" t="s">
        <v>56</v>
      </c>
      <c r="F335" t="s">
        <v>57</v>
      </c>
      <c r="G335" s="5">
        <v>340</v>
      </c>
      <c r="H335" s="1">
        <v>45432</v>
      </c>
      <c r="I335" s="1">
        <v>45555</v>
      </c>
      <c r="J335" t="s">
        <v>546</v>
      </c>
      <c r="K335">
        <v>44.800829999999998</v>
      </c>
      <c r="L335">
        <v>-97.176148999999995</v>
      </c>
      <c r="M335" t="s">
        <v>363</v>
      </c>
      <c r="N335">
        <v>78</v>
      </c>
      <c r="P335">
        <v>342</v>
      </c>
      <c r="Q335">
        <v>104</v>
      </c>
      <c r="R335">
        <v>67</v>
      </c>
    </row>
    <row r="336" spans="1:18" x14ac:dyDescent="0.25">
      <c r="A336" t="s">
        <v>544</v>
      </c>
      <c r="B336" t="s">
        <v>342</v>
      </c>
      <c r="C336" t="s">
        <v>545</v>
      </c>
      <c r="D336" s="4" t="s">
        <v>547</v>
      </c>
      <c r="E336" t="s">
        <v>105</v>
      </c>
      <c r="F336" t="s">
        <v>59</v>
      </c>
      <c r="G336" s="5">
        <v>556</v>
      </c>
      <c r="H336" s="1">
        <v>45413</v>
      </c>
      <c r="I336" s="1">
        <v>45555</v>
      </c>
      <c r="J336" t="s">
        <v>546</v>
      </c>
      <c r="K336">
        <v>44.800829999999998</v>
      </c>
      <c r="L336">
        <v>-97.176148999999995</v>
      </c>
      <c r="M336" t="s">
        <v>363</v>
      </c>
      <c r="N336">
        <v>78</v>
      </c>
    </row>
    <row r="337" spans="1:18" x14ac:dyDescent="0.25">
      <c r="A337" t="s">
        <v>548</v>
      </c>
      <c r="B337" t="s">
        <v>126</v>
      </c>
      <c r="C337" t="s">
        <v>549</v>
      </c>
      <c r="D337" s="4" t="s">
        <v>550</v>
      </c>
      <c r="E337" t="s">
        <v>54</v>
      </c>
      <c r="F337" t="s">
        <v>55</v>
      </c>
      <c r="G337" s="5">
        <v>329</v>
      </c>
      <c r="H337" s="1">
        <v>45505</v>
      </c>
      <c r="I337" s="1">
        <v>45581</v>
      </c>
      <c r="J337" t="s">
        <v>478</v>
      </c>
      <c r="K337">
        <v>43.087975999999998</v>
      </c>
      <c r="L337">
        <v>-97.820886999999999</v>
      </c>
      <c r="M337" t="s">
        <v>137</v>
      </c>
      <c r="N337">
        <v>0</v>
      </c>
      <c r="O337" t="s">
        <v>145</v>
      </c>
      <c r="P337">
        <v>450</v>
      </c>
      <c r="Q337">
        <v>140</v>
      </c>
      <c r="R337">
        <v>101</v>
      </c>
    </row>
    <row r="338" spans="1:18" x14ac:dyDescent="0.25">
      <c r="A338" t="s">
        <v>548</v>
      </c>
      <c r="B338" t="s">
        <v>126</v>
      </c>
      <c r="C338" t="s">
        <v>549</v>
      </c>
      <c r="D338" s="4" t="s">
        <v>550</v>
      </c>
      <c r="E338" t="s">
        <v>56</v>
      </c>
      <c r="F338" t="s">
        <v>57</v>
      </c>
      <c r="G338" s="5">
        <v>340</v>
      </c>
      <c r="H338" s="1">
        <v>45505</v>
      </c>
      <c r="I338" s="1">
        <v>45566</v>
      </c>
      <c r="J338" t="s">
        <v>478</v>
      </c>
      <c r="K338">
        <v>43.087975999999998</v>
      </c>
      <c r="L338">
        <v>-97.820886999999999</v>
      </c>
      <c r="M338" t="s">
        <v>137</v>
      </c>
      <c r="N338">
        <v>0</v>
      </c>
      <c r="O338" t="s">
        <v>145</v>
      </c>
      <c r="P338">
        <v>608</v>
      </c>
      <c r="Q338">
        <v>210</v>
      </c>
      <c r="R338">
        <v>153</v>
      </c>
    </row>
    <row r="339" spans="1:18" x14ac:dyDescent="0.25">
      <c r="A339" t="s">
        <v>551</v>
      </c>
      <c r="B339" t="s">
        <v>552</v>
      </c>
      <c r="C339" t="s">
        <v>553</v>
      </c>
      <c r="D339" s="4" t="s">
        <v>555</v>
      </c>
      <c r="E339" t="s">
        <v>83</v>
      </c>
      <c r="F339" t="s">
        <v>84</v>
      </c>
      <c r="G339" s="5">
        <v>328</v>
      </c>
      <c r="H339" s="1">
        <v>45498</v>
      </c>
      <c r="I339" s="1">
        <v>45553</v>
      </c>
      <c r="J339" t="s">
        <v>554</v>
      </c>
      <c r="K339">
        <v>42.92248</v>
      </c>
      <c r="L339">
        <v>-96.900861000000006</v>
      </c>
      <c r="M339" t="s">
        <v>100</v>
      </c>
      <c r="N339">
        <v>116</v>
      </c>
    </row>
    <row r="340" spans="1:18" x14ac:dyDescent="0.25">
      <c r="A340" t="s">
        <v>551</v>
      </c>
      <c r="B340" t="s">
        <v>552</v>
      </c>
      <c r="C340" t="s">
        <v>553</v>
      </c>
      <c r="D340" s="4" t="s">
        <v>555</v>
      </c>
      <c r="E340" t="s">
        <v>54</v>
      </c>
      <c r="F340" t="s">
        <v>55</v>
      </c>
      <c r="G340" s="5">
        <v>329</v>
      </c>
      <c r="H340" s="1">
        <v>45498</v>
      </c>
      <c r="I340" s="1">
        <v>45553</v>
      </c>
      <c r="J340" t="s">
        <v>554</v>
      </c>
      <c r="K340">
        <v>42.92248</v>
      </c>
      <c r="L340">
        <v>-96.900861000000006</v>
      </c>
      <c r="M340" t="s">
        <v>100</v>
      </c>
      <c r="N340">
        <v>116</v>
      </c>
      <c r="P340">
        <v>310</v>
      </c>
      <c r="Q340">
        <v>50</v>
      </c>
      <c r="R340">
        <v>29</v>
      </c>
    </row>
    <row r="341" spans="1:18" x14ac:dyDescent="0.25">
      <c r="A341" t="s">
        <v>551</v>
      </c>
      <c r="B341" t="s">
        <v>552</v>
      </c>
      <c r="C341" t="s">
        <v>553</v>
      </c>
      <c r="D341" s="4" t="s">
        <v>555</v>
      </c>
      <c r="E341" t="s">
        <v>56</v>
      </c>
      <c r="F341" t="s">
        <v>57</v>
      </c>
      <c r="G341" s="5">
        <v>340</v>
      </c>
      <c r="H341" s="1">
        <v>45498</v>
      </c>
      <c r="I341" s="1">
        <v>45553</v>
      </c>
      <c r="J341" t="s">
        <v>554</v>
      </c>
      <c r="K341">
        <v>42.92248</v>
      </c>
      <c r="L341">
        <v>-96.900861000000006</v>
      </c>
      <c r="M341" t="s">
        <v>100</v>
      </c>
      <c r="N341">
        <v>116</v>
      </c>
      <c r="P341">
        <v>555</v>
      </c>
      <c r="Q341">
        <v>164</v>
      </c>
      <c r="R341">
        <v>102</v>
      </c>
    </row>
    <row r="342" spans="1:18" x14ac:dyDescent="0.25">
      <c r="A342" t="s">
        <v>556</v>
      </c>
      <c r="B342" t="s">
        <v>329</v>
      </c>
      <c r="C342" t="s">
        <v>557</v>
      </c>
      <c r="D342" s="4">
        <v>202403</v>
      </c>
      <c r="E342" t="s">
        <v>54</v>
      </c>
      <c r="F342" t="s">
        <v>55</v>
      </c>
      <c r="G342" s="5">
        <v>329</v>
      </c>
      <c r="H342" s="1">
        <v>45474</v>
      </c>
      <c r="I342" s="1">
        <v>45519</v>
      </c>
      <c r="J342" t="s">
        <v>468</v>
      </c>
      <c r="K342">
        <v>45.376576</v>
      </c>
      <c r="L342">
        <v>-96.939476999999997</v>
      </c>
      <c r="M342" t="s">
        <v>275</v>
      </c>
      <c r="N342">
        <v>0</v>
      </c>
      <c r="P342">
        <v>217</v>
      </c>
      <c r="Q342">
        <v>47</v>
      </c>
      <c r="R342">
        <v>32</v>
      </c>
    </row>
    <row r="343" spans="1:18" x14ac:dyDescent="0.25">
      <c r="A343" t="s">
        <v>556</v>
      </c>
      <c r="B343" t="s">
        <v>329</v>
      </c>
      <c r="C343" t="s">
        <v>557</v>
      </c>
      <c r="D343" s="4">
        <v>202403</v>
      </c>
      <c r="E343" t="s">
        <v>56</v>
      </c>
      <c r="F343" t="s">
        <v>57</v>
      </c>
      <c r="G343" s="5">
        <v>340</v>
      </c>
      <c r="H343" s="1">
        <v>45474</v>
      </c>
      <c r="I343" s="1">
        <v>45778</v>
      </c>
      <c r="J343" t="s">
        <v>468</v>
      </c>
      <c r="K343">
        <v>45.376576</v>
      </c>
      <c r="L343">
        <v>-96.939476999999997</v>
      </c>
      <c r="M343" t="s">
        <v>275</v>
      </c>
      <c r="N343">
        <v>0</v>
      </c>
      <c r="P343">
        <v>525</v>
      </c>
      <c r="Q343">
        <v>178</v>
      </c>
      <c r="R343">
        <v>126</v>
      </c>
    </row>
    <row r="344" spans="1:18" x14ac:dyDescent="0.25">
      <c r="A344" t="s">
        <v>558</v>
      </c>
      <c r="B344" t="s">
        <v>559</v>
      </c>
      <c r="C344" t="s">
        <v>560</v>
      </c>
      <c r="D344" s="4">
        <v>20241</v>
      </c>
      <c r="E344" t="s">
        <v>54</v>
      </c>
      <c r="F344" t="s">
        <v>55</v>
      </c>
      <c r="G344" s="5">
        <v>329</v>
      </c>
      <c r="H344" s="1">
        <v>45467</v>
      </c>
      <c r="I344" s="1">
        <v>45413</v>
      </c>
      <c r="J344" t="s">
        <v>263</v>
      </c>
      <c r="K344">
        <v>43.936072000000003</v>
      </c>
      <c r="L344">
        <v>-97.745228999999995</v>
      </c>
      <c r="M344" t="s">
        <v>189</v>
      </c>
      <c r="N344">
        <v>0</v>
      </c>
      <c r="P344">
        <v>49</v>
      </c>
      <c r="Q344">
        <v>9</v>
      </c>
      <c r="R344">
        <v>6</v>
      </c>
    </row>
    <row r="345" spans="1:18" x14ac:dyDescent="0.25">
      <c r="A345" t="s">
        <v>558</v>
      </c>
      <c r="B345" t="s">
        <v>559</v>
      </c>
      <c r="C345" t="s">
        <v>560</v>
      </c>
      <c r="D345" s="4">
        <v>20241</v>
      </c>
      <c r="E345" t="s">
        <v>56</v>
      </c>
      <c r="F345" t="s">
        <v>57</v>
      </c>
      <c r="G345" s="5">
        <v>340</v>
      </c>
      <c r="H345" s="1">
        <v>45444</v>
      </c>
      <c r="I345" s="1">
        <v>45809</v>
      </c>
      <c r="J345" t="s">
        <v>263</v>
      </c>
      <c r="K345">
        <v>43.936072000000003</v>
      </c>
      <c r="L345">
        <v>-97.745228999999995</v>
      </c>
      <c r="M345" t="s">
        <v>189</v>
      </c>
      <c r="N345">
        <v>0</v>
      </c>
      <c r="P345">
        <v>95</v>
      </c>
      <c r="Q345">
        <v>30</v>
      </c>
      <c r="R345">
        <v>20</v>
      </c>
    </row>
    <row r="346" spans="1:18" x14ac:dyDescent="0.25">
      <c r="A346" t="s">
        <v>561</v>
      </c>
      <c r="B346" t="s">
        <v>534</v>
      </c>
      <c r="C346" t="s">
        <v>562</v>
      </c>
      <c r="D346" s="4" t="s">
        <v>565</v>
      </c>
      <c r="E346" t="s">
        <v>54</v>
      </c>
      <c r="F346" t="s">
        <v>55</v>
      </c>
      <c r="G346" s="5">
        <v>329</v>
      </c>
      <c r="H346" s="1">
        <v>45474</v>
      </c>
      <c r="I346" s="1">
        <v>45558</v>
      </c>
      <c r="J346" t="s">
        <v>563</v>
      </c>
      <c r="K346">
        <v>44.415987000000001</v>
      </c>
      <c r="L346">
        <v>-100.242985</v>
      </c>
      <c r="M346" t="s">
        <v>564</v>
      </c>
      <c r="N346">
        <v>0</v>
      </c>
      <c r="O346" t="s">
        <v>145</v>
      </c>
      <c r="P346">
        <v>333</v>
      </c>
      <c r="Q346">
        <v>69</v>
      </c>
      <c r="R346">
        <v>46</v>
      </c>
    </row>
    <row r="347" spans="1:18" x14ac:dyDescent="0.25">
      <c r="A347" t="s">
        <v>561</v>
      </c>
      <c r="B347" t="s">
        <v>534</v>
      </c>
      <c r="C347" t="s">
        <v>562</v>
      </c>
      <c r="D347" s="4" t="s">
        <v>565</v>
      </c>
      <c r="E347" t="s">
        <v>56</v>
      </c>
      <c r="F347" t="s">
        <v>57</v>
      </c>
      <c r="G347" s="5">
        <v>340</v>
      </c>
      <c r="H347" s="1">
        <v>45505</v>
      </c>
      <c r="I347" s="1">
        <v>45548</v>
      </c>
      <c r="J347" t="s">
        <v>563</v>
      </c>
      <c r="K347">
        <v>44.415987000000001</v>
      </c>
      <c r="L347">
        <v>-100.242985</v>
      </c>
      <c r="M347" t="s">
        <v>564</v>
      </c>
      <c r="N347">
        <v>0</v>
      </c>
      <c r="O347" t="s">
        <v>145</v>
      </c>
      <c r="P347">
        <v>776</v>
      </c>
      <c r="Q347">
        <v>258</v>
      </c>
      <c r="R347">
        <v>180</v>
      </c>
    </row>
    <row r="348" spans="1:18" x14ac:dyDescent="0.25">
      <c r="A348" t="s">
        <v>566</v>
      </c>
      <c r="B348" t="s">
        <v>567</v>
      </c>
      <c r="C348" t="s">
        <v>568</v>
      </c>
      <c r="D348" s="4" t="s">
        <v>569</v>
      </c>
      <c r="E348" t="s">
        <v>83</v>
      </c>
      <c r="F348" t="s">
        <v>84</v>
      </c>
      <c r="G348" s="5">
        <v>328</v>
      </c>
      <c r="H348" s="1">
        <v>45505</v>
      </c>
      <c r="I348" s="1">
        <v>45712</v>
      </c>
      <c r="J348" t="s">
        <v>478</v>
      </c>
      <c r="K348">
        <v>43.100960000000001</v>
      </c>
      <c r="L348">
        <v>-97.572306999999995</v>
      </c>
      <c r="N348">
        <v>156</v>
      </c>
    </row>
    <row r="349" spans="1:18" x14ac:dyDescent="0.25">
      <c r="A349" t="s">
        <v>566</v>
      </c>
      <c r="B349" t="s">
        <v>567</v>
      </c>
      <c r="C349" t="s">
        <v>568</v>
      </c>
      <c r="D349" s="4" t="s">
        <v>569</v>
      </c>
      <c r="E349" t="s">
        <v>54</v>
      </c>
      <c r="F349" t="s">
        <v>55</v>
      </c>
      <c r="G349" s="5">
        <v>329</v>
      </c>
      <c r="H349" s="1">
        <v>45505</v>
      </c>
      <c r="I349" s="1">
        <v>45712</v>
      </c>
      <c r="J349" t="s">
        <v>478</v>
      </c>
      <c r="K349">
        <v>43.100960000000001</v>
      </c>
      <c r="L349">
        <v>-97.572306999999995</v>
      </c>
      <c r="N349">
        <v>156</v>
      </c>
      <c r="P349">
        <v>514</v>
      </c>
      <c r="Q349">
        <v>114</v>
      </c>
      <c r="R349">
        <v>78</v>
      </c>
    </row>
    <row r="350" spans="1:18" x14ac:dyDescent="0.25">
      <c r="A350" t="s">
        <v>566</v>
      </c>
      <c r="B350" t="s">
        <v>567</v>
      </c>
      <c r="C350" t="s">
        <v>568</v>
      </c>
      <c r="D350" s="4" t="s">
        <v>569</v>
      </c>
      <c r="E350" t="s">
        <v>56</v>
      </c>
      <c r="F350" t="s">
        <v>57</v>
      </c>
      <c r="G350" s="5">
        <v>340</v>
      </c>
      <c r="H350" s="1">
        <v>45519</v>
      </c>
      <c r="I350" s="1">
        <v>45580</v>
      </c>
      <c r="J350" t="s">
        <v>478</v>
      </c>
      <c r="K350">
        <v>43.100960000000001</v>
      </c>
      <c r="L350">
        <v>-97.572306999999995</v>
      </c>
      <c r="N350">
        <v>156</v>
      </c>
      <c r="P350">
        <v>1262</v>
      </c>
      <c r="Q350">
        <v>429</v>
      </c>
      <c r="R350">
        <v>306</v>
      </c>
    </row>
    <row r="351" spans="1:18" x14ac:dyDescent="0.25">
      <c r="A351" t="s">
        <v>570</v>
      </c>
      <c r="B351" t="s">
        <v>67</v>
      </c>
      <c r="C351" t="s">
        <v>571</v>
      </c>
      <c r="D351" s="4" t="s">
        <v>103</v>
      </c>
      <c r="E351" t="s">
        <v>54</v>
      </c>
      <c r="F351" t="s">
        <v>55</v>
      </c>
      <c r="G351" s="5">
        <v>329</v>
      </c>
      <c r="H351" s="1">
        <v>45102</v>
      </c>
      <c r="I351" s="1">
        <v>45170</v>
      </c>
      <c r="J351" t="s">
        <v>572</v>
      </c>
      <c r="K351">
        <v>43.034579999999998</v>
      </c>
      <c r="L351">
        <v>-97.631472000000002</v>
      </c>
      <c r="M351" t="s">
        <v>137</v>
      </c>
      <c r="N351">
        <v>233</v>
      </c>
      <c r="P351">
        <v>657</v>
      </c>
      <c r="Q351">
        <v>127</v>
      </c>
      <c r="R351">
        <v>82</v>
      </c>
    </row>
    <row r="352" spans="1:18" x14ac:dyDescent="0.25">
      <c r="A352" t="s">
        <v>570</v>
      </c>
      <c r="B352" t="s">
        <v>67</v>
      </c>
      <c r="C352" t="s">
        <v>571</v>
      </c>
      <c r="D352" s="4" t="s">
        <v>103</v>
      </c>
      <c r="E352" t="s">
        <v>56</v>
      </c>
      <c r="F352" t="s">
        <v>57</v>
      </c>
      <c r="G352" s="5">
        <v>340</v>
      </c>
      <c r="H352" s="1">
        <v>45097</v>
      </c>
      <c r="I352" s="1">
        <v>45170</v>
      </c>
      <c r="J352" t="s">
        <v>572</v>
      </c>
      <c r="K352">
        <v>43.034579999999998</v>
      </c>
      <c r="L352">
        <v>-97.631472000000002</v>
      </c>
      <c r="M352" t="s">
        <v>137</v>
      </c>
      <c r="N352">
        <v>233</v>
      </c>
      <c r="P352">
        <v>1449</v>
      </c>
      <c r="Q352">
        <v>472</v>
      </c>
      <c r="R352">
        <v>321</v>
      </c>
    </row>
    <row r="353" spans="1:18" x14ac:dyDescent="0.25">
      <c r="A353" t="s">
        <v>570</v>
      </c>
      <c r="B353" t="s">
        <v>67</v>
      </c>
      <c r="C353" t="s">
        <v>571</v>
      </c>
      <c r="D353" s="4" t="s">
        <v>103</v>
      </c>
      <c r="E353" t="s">
        <v>105</v>
      </c>
      <c r="F353" t="s">
        <v>59</v>
      </c>
      <c r="G353" s="5">
        <v>556</v>
      </c>
      <c r="H353" s="1">
        <v>45078</v>
      </c>
      <c r="I353" s="1">
        <v>45289</v>
      </c>
      <c r="J353" t="s">
        <v>572</v>
      </c>
      <c r="K353">
        <v>43.034579999999998</v>
      </c>
      <c r="L353">
        <v>-97.631472000000002</v>
      </c>
      <c r="M353" t="s">
        <v>137</v>
      </c>
      <c r="N353">
        <v>233</v>
      </c>
    </row>
    <row r="354" spans="1:18" x14ac:dyDescent="0.25">
      <c r="A354" t="s">
        <v>570</v>
      </c>
      <c r="B354" t="s">
        <v>67</v>
      </c>
      <c r="C354" t="s">
        <v>571</v>
      </c>
      <c r="D354" s="4" t="s">
        <v>103</v>
      </c>
      <c r="E354" t="s">
        <v>573</v>
      </c>
      <c r="F354" t="s">
        <v>133</v>
      </c>
      <c r="H354" s="1">
        <v>45447</v>
      </c>
      <c r="I354" s="1">
        <v>45575</v>
      </c>
      <c r="J354" t="s">
        <v>572</v>
      </c>
      <c r="K354">
        <v>43.034579999999998</v>
      </c>
      <c r="L354">
        <v>-97.631472000000002</v>
      </c>
      <c r="M354" t="s">
        <v>137</v>
      </c>
      <c r="N354">
        <v>0</v>
      </c>
      <c r="O354" t="s">
        <v>145</v>
      </c>
    </row>
    <row r="355" spans="1:18" x14ac:dyDescent="0.25">
      <c r="A355" t="s">
        <v>574</v>
      </c>
      <c r="B355" t="s">
        <v>182</v>
      </c>
      <c r="C355" t="s">
        <v>575</v>
      </c>
      <c r="D355" s="4" t="s">
        <v>577</v>
      </c>
      <c r="E355" t="s">
        <v>83</v>
      </c>
      <c r="F355" t="s">
        <v>84</v>
      </c>
      <c r="G355" s="5">
        <v>328</v>
      </c>
      <c r="H355" s="1">
        <v>45536</v>
      </c>
      <c r="I355" s="1">
        <v>45569</v>
      </c>
      <c r="J355" t="s">
        <v>576</v>
      </c>
      <c r="K355">
        <v>43.211111000000002</v>
      </c>
      <c r="L355">
        <v>-96.964170999999993</v>
      </c>
      <c r="M355" t="s">
        <v>100</v>
      </c>
      <c r="N355">
        <v>76.5</v>
      </c>
    </row>
    <row r="356" spans="1:18" x14ac:dyDescent="0.25">
      <c r="A356" t="s">
        <v>574</v>
      </c>
      <c r="B356" t="s">
        <v>182</v>
      </c>
      <c r="C356" t="s">
        <v>575</v>
      </c>
      <c r="D356" s="4" t="s">
        <v>577</v>
      </c>
      <c r="E356" t="s">
        <v>54</v>
      </c>
      <c r="F356" t="s">
        <v>55</v>
      </c>
      <c r="G356" s="5">
        <v>329</v>
      </c>
      <c r="H356" s="1">
        <v>45536</v>
      </c>
      <c r="I356" s="1">
        <v>45569</v>
      </c>
      <c r="J356" t="s">
        <v>576</v>
      </c>
      <c r="K356">
        <v>43.211111000000002</v>
      </c>
      <c r="L356">
        <v>-96.964170999999993</v>
      </c>
      <c r="M356" t="s">
        <v>100</v>
      </c>
      <c r="N356">
        <v>76.5</v>
      </c>
      <c r="P356">
        <v>192</v>
      </c>
      <c r="Q356">
        <v>32</v>
      </c>
      <c r="R356">
        <v>19</v>
      </c>
    </row>
    <row r="357" spans="1:18" x14ac:dyDescent="0.25">
      <c r="A357" t="s">
        <v>574</v>
      </c>
      <c r="B357" t="s">
        <v>182</v>
      </c>
      <c r="C357" t="s">
        <v>575</v>
      </c>
      <c r="D357" s="4" t="s">
        <v>577</v>
      </c>
      <c r="E357" t="s">
        <v>573</v>
      </c>
      <c r="F357" t="s">
        <v>133</v>
      </c>
      <c r="H357" s="1">
        <v>45541</v>
      </c>
      <c r="I357" s="1">
        <v>45554</v>
      </c>
      <c r="J357" t="s">
        <v>576</v>
      </c>
      <c r="K357">
        <v>43.211111000000002</v>
      </c>
      <c r="L357">
        <v>-96.964170999999993</v>
      </c>
      <c r="M357" t="s">
        <v>100</v>
      </c>
      <c r="N357">
        <v>76.5</v>
      </c>
      <c r="P357">
        <v>350</v>
      </c>
      <c r="Q357">
        <v>105</v>
      </c>
      <c r="R357">
        <v>66</v>
      </c>
    </row>
    <row r="358" spans="1:18" x14ac:dyDescent="0.25">
      <c r="A358" t="s">
        <v>578</v>
      </c>
      <c r="B358" t="s">
        <v>579</v>
      </c>
      <c r="C358" t="s">
        <v>580</v>
      </c>
      <c r="D358" s="4" t="s">
        <v>163</v>
      </c>
      <c r="E358" t="s">
        <v>54</v>
      </c>
      <c r="F358" t="s">
        <v>55</v>
      </c>
      <c r="G358" s="5">
        <v>329</v>
      </c>
      <c r="H358" s="1">
        <v>45108</v>
      </c>
      <c r="I358" s="1">
        <v>45204</v>
      </c>
      <c r="J358" t="s">
        <v>581</v>
      </c>
      <c r="K358">
        <v>43.451000000000001</v>
      </c>
      <c r="L358">
        <v>-97.636788999999993</v>
      </c>
      <c r="M358" t="s">
        <v>192</v>
      </c>
      <c r="N358">
        <v>70</v>
      </c>
      <c r="P358">
        <v>350</v>
      </c>
      <c r="Q358">
        <v>59</v>
      </c>
      <c r="R358">
        <v>35</v>
      </c>
    </row>
    <row r="359" spans="1:18" x14ac:dyDescent="0.25">
      <c r="A359" t="s">
        <v>578</v>
      </c>
      <c r="B359" t="s">
        <v>579</v>
      </c>
      <c r="C359" t="s">
        <v>580</v>
      </c>
      <c r="D359" s="4" t="s">
        <v>163</v>
      </c>
      <c r="E359" t="s">
        <v>56</v>
      </c>
      <c r="F359" t="s">
        <v>57</v>
      </c>
      <c r="G359" s="5">
        <v>340</v>
      </c>
      <c r="H359" s="1">
        <v>45204</v>
      </c>
      <c r="I359" s="1">
        <v>45204</v>
      </c>
      <c r="J359" t="s">
        <v>581</v>
      </c>
      <c r="K359">
        <v>43.451000000000001</v>
      </c>
      <c r="L359">
        <v>-97.636788999999993</v>
      </c>
      <c r="M359" t="s">
        <v>192</v>
      </c>
      <c r="N359">
        <v>70</v>
      </c>
      <c r="P359">
        <v>167</v>
      </c>
      <c r="Q359">
        <v>31</v>
      </c>
      <c r="R359">
        <v>19</v>
      </c>
    </row>
    <row r="360" spans="1:18" x14ac:dyDescent="0.25">
      <c r="A360" t="s">
        <v>578</v>
      </c>
      <c r="B360" t="s">
        <v>579</v>
      </c>
      <c r="C360" t="s">
        <v>580</v>
      </c>
      <c r="D360" s="4" t="s">
        <v>163</v>
      </c>
      <c r="E360" t="s">
        <v>105</v>
      </c>
      <c r="F360" t="s">
        <v>59</v>
      </c>
      <c r="G360" s="5">
        <v>556</v>
      </c>
      <c r="H360" s="1">
        <v>45108</v>
      </c>
      <c r="I360" s="1">
        <v>45204</v>
      </c>
      <c r="J360" t="s">
        <v>581</v>
      </c>
      <c r="K360">
        <v>43.451000000000001</v>
      </c>
      <c r="L360">
        <v>-97.636788999999993</v>
      </c>
      <c r="M360" t="s">
        <v>192</v>
      </c>
      <c r="N360">
        <v>70</v>
      </c>
    </row>
    <row r="361" spans="1:18" x14ac:dyDescent="0.25">
      <c r="A361" t="s">
        <v>582</v>
      </c>
      <c r="B361" t="s">
        <v>583</v>
      </c>
      <c r="C361" t="s">
        <v>584</v>
      </c>
      <c r="D361" s="4" t="s">
        <v>586</v>
      </c>
      <c r="E361" t="s">
        <v>54</v>
      </c>
      <c r="F361" t="s">
        <v>55</v>
      </c>
      <c r="G361" s="5">
        <v>329</v>
      </c>
      <c r="H361" s="1">
        <v>45566</v>
      </c>
      <c r="I361" s="1">
        <v>45615</v>
      </c>
      <c r="J361" t="s">
        <v>585</v>
      </c>
      <c r="K361">
        <v>43.041584</v>
      </c>
      <c r="L361">
        <v>-98.323269999999994</v>
      </c>
      <c r="M361" t="s">
        <v>113</v>
      </c>
      <c r="N361">
        <v>167</v>
      </c>
      <c r="P361">
        <v>503</v>
      </c>
      <c r="Q361">
        <v>105</v>
      </c>
      <c r="R361">
        <v>70</v>
      </c>
    </row>
    <row r="362" spans="1:18" x14ac:dyDescent="0.25">
      <c r="A362" t="s">
        <v>582</v>
      </c>
      <c r="B362" t="s">
        <v>583</v>
      </c>
      <c r="C362" t="s">
        <v>584</v>
      </c>
      <c r="D362" s="4" t="s">
        <v>586</v>
      </c>
      <c r="E362" t="s">
        <v>56</v>
      </c>
      <c r="F362" t="s">
        <v>57</v>
      </c>
      <c r="G362" s="5">
        <v>340</v>
      </c>
      <c r="H362" s="1">
        <v>45574</v>
      </c>
      <c r="I362" s="1">
        <v>45580</v>
      </c>
      <c r="J362" t="s">
        <v>585</v>
      </c>
      <c r="K362">
        <v>43.041584</v>
      </c>
      <c r="L362">
        <v>-98.323269999999994</v>
      </c>
      <c r="M362" t="s">
        <v>113</v>
      </c>
      <c r="N362">
        <v>167</v>
      </c>
      <c r="P362">
        <v>1080</v>
      </c>
      <c r="Q362">
        <v>351</v>
      </c>
      <c r="R362">
        <v>245</v>
      </c>
    </row>
    <row r="363" spans="1:18" x14ac:dyDescent="0.25">
      <c r="A363" t="s">
        <v>582</v>
      </c>
      <c r="B363" t="s">
        <v>587</v>
      </c>
      <c r="C363" t="s">
        <v>588</v>
      </c>
      <c r="D363" s="4" t="s">
        <v>589</v>
      </c>
      <c r="E363" t="s">
        <v>54</v>
      </c>
      <c r="F363" t="s">
        <v>55</v>
      </c>
      <c r="G363" s="5">
        <v>329</v>
      </c>
      <c r="H363" s="1">
        <v>45536</v>
      </c>
      <c r="I363" s="1">
        <v>45610</v>
      </c>
      <c r="J363" t="s">
        <v>585</v>
      </c>
      <c r="K363">
        <v>43.073557000000001</v>
      </c>
      <c r="L363">
        <v>-98.103380000000001</v>
      </c>
      <c r="M363" t="s">
        <v>113</v>
      </c>
      <c r="N363">
        <v>160</v>
      </c>
      <c r="P363">
        <v>563</v>
      </c>
      <c r="Q363">
        <v>127</v>
      </c>
      <c r="R363">
        <v>88</v>
      </c>
    </row>
    <row r="364" spans="1:18" x14ac:dyDescent="0.25">
      <c r="A364" t="s">
        <v>582</v>
      </c>
      <c r="B364" t="s">
        <v>587</v>
      </c>
      <c r="C364" t="s">
        <v>588</v>
      </c>
      <c r="D364" s="4" t="s">
        <v>589</v>
      </c>
      <c r="E364" t="s">
        <v>56</v>
      </c>
      <c r="F364" t="s">
        <v>57</v>
      </c>
      <c r="G364" s="5">
        <v>340</v>
      </c>
      <c r="H364" s="1">
        <v>45573</v>
      </c>
      <c r="I364" s="1">
        <v>45580</v>
      </c>
      <c r="J364" t="s">
        <v>585</v>
      </c>
      <c r="K364">
        <v>43.073557000000001</v>
      </c>
      <c r="L364">
        <v>-98.103380000000001</v>
      </c>
      <c r="M364" t="s">
        <v>113</v>
      </c>
      <c r="N364">
        <v>160</v>
      </c>
      <c r="P364">
        <v>1279</v>
      </c>
      <c r="Q364">
        <v>427</v>
      </c>
      <c r="R364">
        <v>206</v>
      </c>
    </row>
    <row r="365" spans="1:18" x14ac:dyDescent="0.25">
      <c r="A365" t="s">
        <v>582</v>
      </c>
      <c r="B365" t="s">
        <v>590</v>
      </c>
      <c r="C365" t="s">
        <v>584</v>
      </c>
      <c r="D365" s="4" t="s">
        <v>591</v>
      </c>
      <c r="E365" t="s">
        <v>54</v>
      </c>
      <c r="F365" t="s">
        <v>55</v>
      </c>
      <c r="G365" s="5">
        <v>329</v>
      </c>
      <c r="H365" s="1">
        <v>45566</v>
      </c>
      <c r="I365" s="1">
        <v>45615</v>
      </c>
      <c r="J365" t="s">
        <v>585</v>
      </c>
      <c r="K365">
        <v>43.122312999999998</v>
      </c>
      <c r="L365">
        <v>-98.439615000000003</v>
      </c>
      <c r="M365" t="s">
        <v>113</v>
      </c>
      <c r="N365">
        <v>167</v>
      </c>
      <c r="P365">
        <v>563</v>
      </c>
      <c r="Q365">
        <v>137</v>
      </c>
      <c r="R365">
        <v>88</v>
      </c>
    </row>
    <row r="366" spans="1:18" x14ac:dyDescent="0.25">
      <c r="A366" t="s">
        <v>582</v>
      </c>
      <c r="B366" t="s">
        <v>590</v>
      </c>
      <c r="C366" t="s">
        <v>584</v>
      </c>
      <c r="D366" s="4" t="s">
        <v>591</v>
      </c>
      <c r="E366" t="s">
        <v>56</v>
      </c>
      <c r="F366" t="s">
        <v>57</v>
      </c>
      <c r="G366" s="5">
        <v>340</v>
      </c>
      <c r="H366" s="1">
        <v>45567</v>
      </c>
      <c r="I366" s="1">
        <v>45580</v>
      </c>
      <c r="J366" t="s">
        <v>585</v>
      </c>
      <c r="K366">
        <v>43.122312999999998</v>
      </c>
      <c r="L366">
        <v>-98.439615000000003</v>
      </c>
      <c r="M366" t="s">
        <v>113</v>
      </c>
      <c r="N366">
        <v>167</v>
      </c>
      <c r="P366">
        <v>1279</v>
      </c>
      <c r="Q366">
        <v>427</v>
      </c>
      <c r="R366">
        <v>306</v>
      </c>
    </row>
    <row r="367" spans="1:18" x14ac:dyDescent="0.25">
      <c r="A367" t="s">
        <v>582</v>
      </c>
      <c r="B367" t="s">
        <v>592</v>
      </c>
      <c r="C367" t="s">
        <v>593</v>
      </c>
      <c r="D367" s="4" t="s">
        <v>594</v>
      </c>
      <c r="E367" t="s">
        <v>54</v>
      </c>
      <c r="F367" t="s">
        <v>55</v>
      </c>
      <c r="G367" s="5">
        <v>329</v>
      </c>
      <c r="H367" s="1">
        <v>45566</v>
      </c>
      <c r="I367" s="1">
        <v>45611</v>
      </c>
      <c r="J367" t="s">
        <v>585</v>
      </c>
      <c r="K367">
        <v>43.050083000000001</v>
      </c>
      <c r="L367">
        <v>-98.086907999999994</v>
      </c>
      <c r="M367" t="s">
        <v>113</v>
      </c>
      <c r="N367">
        <v>137</v>
      </c>
      <c r="P367">
        <v>467</v>
      </c>
      <c r="Q367">
        <v>106</v>
      </c>
      <c r="R367">
        <v>74</v>
      </c>
    </row>
    <row r="368" spans="1:18" x14ac:dyDescent="0.25">
      <c r="A368" t="s">
        <v>582</v>
      </c>
      <c r="B368" t="s">
        <v>592</v>
      </c>
      <c r="C368" t="s">
        <v>593</v>
      </c>
      <c r="D368" s="4" t="s">
        <v>594</v>
      </c>
      <c r="E368" t="s">
        <v>56</v>
      </c>
      <c r="F368" t="s">
        <v>57</v>
      </c>
      <c r="G368" s="5">
        <v>340</v>
      </c>
      <c r="H368" s="1">
        <v>45566</v>
      </c>
      <c r="I368" s="1">
        <v>45580</v>
      </c>
      <c r="J368" t="s">
        <v>585</v>
      </c>
      <c r="K368">
        <v>43.050083000000001</v>
      </c>
      <c r="L368">
        <v>-98.086907999999994</v>
      </c>
      <c r="M368" t="s">
        <v>113</v>
      </c>
      <c r="N368">
        <v>137</v>
      </c>
      <c r="P368">
        <v>1069</v>
      </c>
      <c r="Q368">
        <v>359</v>
      </c>
      <c r="R368">
        <v>258</v>
      </c>
    </row>
    <row r="369" spans="1:18" x14ac:dyDescent="0.25">
      <c r="A369" t="s">
        <v>582</v>
      </c>
      <c r="B369" t="s">
        <v>595</v>
      </c>
      <c r="C369" t="s">
        <v>584</v>
      </c>
      <c r="D369" s="4" t="s">
        <v>596</v>
      </c>
      <c r="E369" t="s">
        <v>54</v>
      </c>
      <c r="F369" t="s">
        <v>55</v>
      </c>
      <c r="G369" s="5">
        <v>329</v>
      </c>
      <c r="H369" s="1">
        <v>45569</v>
      </c>
      <c r="I369" s="1">
        <v>45580</v>
      </c>
      <c r="J369" t="s">
        <v>585</v>
      </c>
      <c r="K369">
        <v>43.591461000000002</v>
      </c>
      <c r="L369">
        <v>-96.778142000000003</v>
      </c>
      <c r="M369" t="s">
        <v>156</v>
      </c>
      <c r="N369">
        <v>160</v>
      </c>
      <c r="P369">
        <v>548</v>
      </c>
      <c r="Q369">
        <v>120</v>
      </c>
      <c r="R369">
        <v>83</v>
      </c>
    </row>
    <row r="370" spans="1:18" x14ac:dyDescent="0.25">
      <c r="A370" t="s">
        <v>582</v>
      </c>
      <c r="B370" t="s">
        <v>595</v>
      </c>
      <c r="C370" t="s">
        <v>584</v>
      </c>
      <c r="D370" s="4" t="s">
        <v>596</v>
      </c>
      <c r="E370" t="s">
        <v>56</v>
      </c>
      <c r="F370" t="s">
        <v>57</v>
      </c>
      <c r="G370" s="5">
        <v>340</v>
      </c>
      <c r="H370" s="1">
        <v>45569</v>
      </c>
      <c r="I370" s="1">
        <v>45580</v>
      </c>
      <c r="J370" t="s">
        <v>585</v>
      </c>
      <c r="K370">
        <v>43.591461000000002</v>
      </c>
      <c r="L370">
        <v>-96.778142000000003</v>
      </c>
      <c r="M370" t="s">
        <v>156</v>
      </c>
      <c r="N370">
        <v>160</v>
      </c>
      <c r="P370">
        <v>1220</v>
      </c>
      <c r="Q370">
        <v>405</v>
      </c>
      <c r="R370">
        <v>287</v>
      </c>
    </row>
    <row r="371" spans="1:18" x14ac:dyDescent="0.25">
      <c r="A371" t="s">
        <v>597</v>
      </c>
      <c r="B371" t="s">
        <v>261</v>
      </c>
      <c r="C371" t="s">
        <v>598</v>
      </c>
      <c r="D371" s="4" t="s">
        <v>600</v>
      </c>
      <c r="E371" t="s">
        <v>83</v>
      </c>
      <c r="F371" t="s">
        <v>84</v>
      </c>
      <c r="G371" s="5">
        <v>328</v>
      </c>
      <c r="H371" s="1">
        <v>45505</v>
      </c>
      <c r="I371" s="1">
        <v>45708</v>
      </c>
      <c r="J371" t="s">
        <v>427</v>
      </c>
      <c r="K371">
        <v>43.709344999999999</v>
      </c>
      <c r="L371">
        <v>-97.133640999999997</v>
      </c>
      <c r="M371" t="s">
        <v>599</v>
      </c>
      <c r="N371">
        <v>65</v>
      </c>
    </row>
    <row r="372" spans="1:18" x14ac:dyDescent="0.25">
      <c r="A372" t="s">
        <v>597</v>
      </c>
      <c r="B372" t="s">
        <v>261</v>
      </c>
      <c r="C372" t="s">
        <v>598</v>
      </c>
      <c r="D372" s="4" t="s">
        <v>600</v>
      </c>
      <c r="E372" t="s">
        <v>54</v>
      </c>
      <c r="F372" t="s">
        <v>55</v>
      </c>
      <c r="G372" s="5">
        <v>329</v>
      </c>
      <c r="H372" s="1">
        <v>45505</v>
      </c>
      <c r="I372" s="1">
        <v>45708</v>
      </c>
      <c r="J372" t="s">
        <v>427</v>
      </c>
      <c r="K372">
        <v>43.709344999999999</v>
      </c>
      <c r="L372">
        <v>-97.133640999999997</v>
      </c>
      <c r="M372" t="s">
        <v>599</v>
      </c>
      <c r="N372">
        <v>65</v>
      </c>
      <c r="P372">
        <v>164</v>
      </c>
      <c r="Q372">
        <v>29</v>
      </c>
      <c r="R372">
        <v>18</v>
      </c>
    </row>
    <row r="373" spans="1:18" x14ac:dyDescent="0.25">
      <c r="A373" t="s">
        <v>597</v>
      </c>
      <c r="B373" t="s">
        <v>261</v>
      </c>
      <c r="C373" t="s">
        <v>598</v>
      </c>
      <c r="D373" s="4" t="s">
        <v>600</v>
      </c>
      <c r="E373" t="s">
        <v>56</v>
      </c>
      <c r="F373" t="s">
        <v>57</v>
      </c>
      <c r="G373" s="5">
        <v>340</v>
      </c>
      <c r="H373" s="1">
        <v>45488</v>
      </c>
      <c r="I373" s="1">
        <v>45560</v>
      </c>
      <c r="J373" t="s">
        <v>427</v>
      </c>
      <c r="K373">
        <v>43.709344999999999</v>
      </c>
      <c r="L373">
        <v>-97.133640999999997</v>
      </c>
      <c r="M373" t="s">
        <v>599</v>
      </c>
      <c r="N373">
        <v>65</v>
      </c>
      <c r="P373">
        <v>312</v>
      </c>
      <c r="Q373">
        <v>96</v>
      </c>
      <c r="R373">
        <v>62</v>
      </c>
    </row>
    <row r="374" spans="1:18" x14ac:dyDescent="0.25">
      <c r="A374" t="s">
        <v>597</v>
      </c>
      <c r="B374" t="s">
        <v>601</v>
      </c>
      <c r="C374" t="s">
        <v>602</v>
      </c>
      <c r="D374" s="4" t="s">
        <v>603</v>
      </c>
      <c r="E374" t="s">
        <v>54</v>
      </c>
      <c r="F374" t="s">
        <v>55</v>
      </c>
      <c r="G374" s="5">
        <v>329</v>
      </c>
      <c r="H374" s="1">
        <v>45505</v>
      </c>
      <c r="I374" s="1">
        <v>45566</v>
      </c>
      <c r="J374" t="s">
        <v>427</v>
      </c>
      <c r="K374">
        <v>43.724487000000003</v>
      </c>
      <c r="L374">
        <v>-97.181922999999998</v>
      </c>
      <c r="M374" t="s">
        <v>130</v>
      </c>
      <c r="N374">
        <v>0</v>
      </c>
      <c r="O374" t="s">
        <v>145</v>
      </c>
      <c r="P374">
        <v>262</v>
      </c>
      <c r="Q374">
        <v>69</v>
      </c>
      <c r="R374">
        <v>45</v>
      </c>
    </row>
    <row r="375" spans="1:18" x14ac:dyDescent="0.25">
      <c r="A375" t="s">
        <v>597</v>
      </c>
      <c r="B375" t="s">
        <v>601</v>
      </c>
      <c r="C375" t="s">
        <v>602</v>
      </c>
      <c r="D375" s="4" t="s">
        <v>603</v>
      </c>
      <c r="E375" t="s">
        <v>573</v>
      </c>
      <c r="F375" t="s">
        <v>133</v>
      </c>
      <c r="H375" s="1">
        <v>45505</v>
      </c>
      <c r="I375" s="1">
        <v>45566</v>
      </c>
      <c r="J375" t="s">
        <v>427</v>
      </c>
      <c r="K375">
        <v>43.724487000000003</v>
      </c>
      <c r="L375">
        <v>-97.181922999999998</v>
      </c>
      <c r="M375" t="s">
        <v>130</v>
      </c>
      <c r="N375">
        <v>0</v>
      </c>
      <c r="O375" t="s">
        <v>145</v>
      </c>
      <c r="P375">
        <v>328</v>
      </c>
      <c r="Q375">
        <v>104</v>
      </c>
      <c r="R375">
        <v>68</v>
      </c>
    </row>
    <row r="376" spans="1:18" x14ac:dyDescent="0.25">
      <c r="A376" t="s">
        <v>597</v>
      </c>
      <c r="B376" t="s">
        <v>444</v>
      </c>
      <c r="C376" t="s">
        <v>604</v>
      </c>
      <c r="D376" s="4" t="s">
        <v>365</v>
      </c>
      <c r="E376" t="s">
        <v>83</v>
      </c>
      <c r="F376" t="s">
        <v>84</v>
      </c>
      <c r="G376" s="5">
        <v>328</v>
      </c>
      <c r="H376" s="1">
        <v>45383</v>
      </c>
      <c r="I376" s="1">
        <v>45392</v>
      </c>
      <c r="J376" t="s">
        <v>291</v>
      </c>
      <c r="K376">
        <v>44.517601999999997</v>
      </c>
      <c r="L376">
        <v>-97.294883999999996</v>
      </c>
      <c r="M376" t="s">
        <v>128</v>
      </c>
      <c r="N376">
        <v>0</v>
      </c>
    </row>
    <row r="377" spans="1:18" x14ac:dyDescent="0.25">
      <c r="A377" t="s">
        <v>597</v>
      </c>
      <c r="B377" t="s">
        <v>444</v>
      </c>
      <c r="C377" t="s">
        <v>604</v>
      </c>
      <c r="D377" s="4" t="s">
        <v>365</v>
      </c>
      <c r="E377" t="s">
        <v>54</v>
      </c>
      <c r="F377" t="s">
        <v>55</v>
      </c>
      <c r="G377" s="5">
        <v>329</v>
      </c>
      <c r="H377" s="1">
        <v>45383</v>
      </c>
      <c r="I377" s="1">
        <v>45392</v>
      </c>
      <c r="J377" t="s">
        <v>291</v>
      </c>
      <c r="K377">
        <v>44.517601999999997</v>
      </c>
      <c r="L377">
        <v>-97.294883999999996</v>
      </c>
      <c r="M377" t="s">
        <v>128</v>
      </c>
      <c r="N377">
        <v>0</v>
      </c>
    </row>
    <row r="378" spans="1:18" x14ac:dyDescent="0.25">
      <c r="A378" t="s">
        <v>597</v>
      </c>
      <c r="B378" t="s">
        <v>444</v>
      </c>
      <c r="C378" t="s">
        <v>604</v>
      </c>
      <c r="D378" s="4" t="s">
        <v>365</v>
      </c>
      <c r="E378" t="s">
        <v>573</v>
      </c>
      <c r="F378" t="s">
        <v>133</v>
      </c>
      <c r="H378" s="1">
        <v>45355</v>
      </c>
      <c r="I378" s="1">
        <v>45397</v>
      </c>
      <c r="J378" t="s">
        <v>291</v>
      </c>
      <c r="K378">
        <v>44.517601999999997</v>
      </c>
      <c r="L378">
        <v>-97.294883999999996</v>
      </c>
      <c r="M378" t="s">
        <v>128</v>
      </c>
      <c r="N378">
        <v>152</v>
      </c>
      <c r="P378">
        <v>350</v>
      </c>
      <c r="Q378">
        <v>59</v>
      </c>
      <c r="R378">
        <v>35</v>
      </c>
    </row>
    <row r="379" spans="1:18" x14ac:dyDescent="0.25">
      <c r="A379" t="s">
        <v>597</v>
      </c>
      <c r="B379" t="s">
        <v>567</v>
      </c>
      <c r="C379" t="s">
        <v>598</v>
      </c>
      <c r="D379" s="4" t="s">
        <v>605</v>
      </c>
      <c r="E379" t="s">
        <v>83</v>
      </c>
      <c r="F379" t="s">
        <v>84</v>
      </c>
      <c r="G379" s="5">
        <v>328</v>
      </c>
      <c r="H379" s="1">
        <v>45356</v>
      </c>
      <c r="I379" s="1">
        <v>45397</v>
      </c>
      <c r="J379" t="s">
        <v>291</v>
      </c>
      <c r="K379">
        <v>44.584667000000003</v>
      </c>
      <c r="L379">
        <v>-97.306381999999999</v>
      </c>
      <c r="M379" t="s">
        <v>128</v>
      </c>
      <c r="N379">
        <v>0</v>
      </c>
    </row>
    <row r="380" spans="1:18" x14ac:dyDescent="0.25">
      <c r="A380" t="s">
        <v>597</v>
      </c>
      <c r="B380" t="s">
        <v>567</v>
      </c>
      <c r="C380" t="s">
        <v>598</v>
      </c>
      <c r="D380" s="4" t="s">
        <v>605</v>
      </c>
      <c r="E380" t="s">
        <v>54</v>
      </c>
      <c r="F380" t="s">
        <v>55</v>
      </c>
      <c r="G380" s="5">
        <v>329</v>
      </c>
      <c r="H380" s="1">
        <v>45356</v>
      </c>
      <c r="I380" s="1">
        <v>45397</v>
      </c>
      <c r="J380" t="s">
        <v>291</v>
      </c>
      <c r="K380">
        <v>44.584667000000003</v>
      </c>
      <c r="L380">
        <v>-97.306381999999999</v>
      </c>
      <c r="M380" t="s">
        <v>128</v>
      </c>
      <c r="N380">
        <v>0</v>
      </c>
    </row>
    <row r="381" spans="1:18" x14ac:dyDescent="0.25">
      <c r="A381" t="s">
        <v>597</v>
      </c>
      <c r="B381" t="s">
        <v>567</v>
      </c>
      <c r="C381" t="s">
        <v>598</v>
      </c>
      <c r="D381" s="4" t="s">
        <v>605</v>
      </c>
      <c r="E381" t="s">
        <v>573</v>
      </c>
      <c r="F381" t="s">
        <v>133</v>
      </c>
      <c r="H381" s="1">
        <v>45356</v>
      </c>
      <c r="I381" s="1">
        <v>45397</v>
      </c>
      <c r="J381" t="s">
        <v>291</v>
      </c>
      <c r="K381">
        <v>44.584667000000003</v>
      </c>
      <c r="L381">
        <v>-97.306381999999999</v>
      </c>
      <c r="M381" t="s">
        <v>128</v>
      </c>
      <c r="N381">
        <v>95</v>
      </c>
      <c r="P381">
        <v>205</v>
      </c>
      <c r="Q381">
        <v>33</v>
      </c>
      <c r="R381">
        <v>19</v>
      </c>
    </row>
    <row r="382" spans="1:18" x14ac:dyDescent="0.25">
      <c r="A382" t="s">
        <v>606</v>
      </c>
      <c r="B382" t="s">
        <v>607</v>
      </c>
      <c r="C382" t="s">
        <v>608</v>
      </c>
      <c r="D382" s="4" t="s">
        <v>609</v>
      </c>
      <c r="E382" t="s">
        <v>54</v>
      </c>
      <c r="F382" t="s">
        <v>55</v>
      </c>
      <c r="G382" s="5">
        <v>329</v>
      </c>
      <c r="H382" s="1">
        <v>45505</v>
      </c>
      <c r="I382" s="1">
        <v>45723</v>
      </c>
      <c r="J382" t="s">
        <v>572</v>
      </c>
      <c r="K382">
        <v>43.130637</v>
      </c>
      <c r="L382">
        <v>-97.609910999999997</v>
      </c>
      <c r="M382" t="s">
        <v>137</v>
      </c>
      <c r="N382">
        <v>79</v>
      </c>
      <c r="P382">
        <v>515</v>
      </c>
      <c r="Q382">
        <v>158</v>
      </c>
      <c r="R382">
        <v>113</v>
      </c>
    </row>
    <row r="383" spans="1:18" x14ac:dyDescent="0.25">
      <c r="A383" t="s">
        <v>606</v>
      </c>
      <c r="B383" t="s">
        <v>607</v>
      </c>
      <c r="C383" t="s">
        <v>608</v>
      </c>
      <c r="D383" s="4" t="s">
        <v>609</v>
      </c>
      <c r="E383" t="s">
        <v>56</v>
      </c>
      <c r="F383" t="s">
        <v>57</v>
      </c>
      <c r="G383" s="5">
        <v>340</v>
      </c>
      <c r="H383" s="1">
        <v>45498</v>
      </c>
      <c r="I383" s="1">
        <v>45512</v>
      </c>
      <c r="J383" t="s">
        <v>572</v>
      </c>
      <c r="K383">
        <v>43.130637</v>
      </c>
      <c r="L383">
        <v>-97.609910999999997</v>
      </c>
      <c r="M383" t="s">
        <v>137</v>
      </c>
      <c r="N383">
        <v>79</v>
      </c>
      <c r="P383">
        <v>691</v>
      </c>
      <c r="Q383">
        <v>237</v>
      </c>
      <c r="R383">
        <v>171</v>
      </c>
    </row>
    <row r="384" spans="1:18" x14ac:dyDescent="0.25">
      <c r="A384" t="s">
        <v>606</v>
      </c>
      <c r="B384" t="s">
        <v>607</v>
      </c>
      <c r="C384" t="s">
        <v>608</v>
      </c>
      <c r="D384" s="4" t="s">
        <v>609</v>
      </c>
      <c r="E384" t="s">
        <v>105</v>
      </c>
      <c r="F384" t="s">
        <v>59</v>
      </c>
      <c r="G384" s="5">
        <v>556</v>
      </c>
      <c r="H384" s="1">
        <v>45505</v>
      </c>
      <c r="I384" s="1">
        <v>45723</v>
      </c>
      <c r="J384" t="s">
        <v>572</v>
      </c>
      <c r="K384">
        <v>43.130637</v>
      </c>
      <c r="L384">
        <v>-97.609910999999997</v>
      </c>
      <c r="M384" t="s">
        <v>137</v>
      </c>
      <c r="N384">
        <v>79</v>
      </c>
    </row>
    <row r="385" spans="1:18" x14ac:dyDescent="0.25">
      <c r="A385" t="s">
        <v>357</v>
      </c>
      <c r="B385" t="s">
        <v>610</v>
      </c>
      <c r="C385" t="s">
        <v>611</v>
      </c>
      <c r="D385" s="4" t="s">
        <v>612</v>
      </c>
      <c r="E385" t="s">
        <v>54</v>
      </c>
      <c r="F385" t="s">
        <v>55</v>
      </c>
      <c r="G385" s="5">
        <v>329</v>
      </c>
      <c r="H385" s="1">
        <v>45536</v>
      </c>
      <c r="I385" s="1">
        <v>45566</v>
      </c>
      <c r="J385" t="s">
        <v>268</v>
      </c>
      <c r="K385">
        <v>43.478054999999998</v>
      </c>
      <c r="L385">
        <v>-99.115500999999995</v>
      </c>
      <c r="M385" t="s">
        <v>269</v>
      </c>
      <c r="N385">
        <v>0</v>
      </c>
      <c r="O385" t="s">
        <v>145</v>
      </c>
      <c r="P385">
        <v>1017</v>
      </c>
      <c r="Q385">
        <v>296</v>
      </c>
      <c r="R385">
        <v>205</v>
      </c>
    </row>
    <row r="386" spans="1:18" x14ac:dyDescent="0.25">
      <c r="A386" t="s">
        <v>357</v>
      </c>
      <c r="B386" t="s">
        <v>610</v>
      </c>
      <c r="C386" t="s">
        <v>611</v>
      </c>
      <c r="D386" s="4" t="s">
        <v>612</v>
      </c>
      <c r="E386" t="s">
        <v>56</v>
      </c>
      <c r="F386" t="s">
        <v>57</v>
      </c>
      <c r="G386" s="5">
        <v>340</v>
      </c>
      <c r="H386" s="1">
        <v>45505</v>
      </c>
      <c r="I386" s="1">
        <v>45545</v>
      </c>
      <c r="J386" t="s">
        <v>268</v>
      </c>
      <c r="K386">
        <v>43.478054999999998</v>
      </c>
      <c r="L386">
        <v>-99.115500999999995</v>
      </c>
      <c r="M386" t="s">
        <v>269</v>
      </c>
      <c r="N386">
        <v>0</v>
      </c>
      <c r="O386" t="s">
        <v>145</v>
      </c>
      <c r="P386">
        <v>1332</v>
      </c>
      <c r="Q386">
        <v>443</v>
      </c>
      <c r="R386">
        <v>309</v>
      </c>
    </row>
    <row r="387" spans="1:18" x14ac:dyDescent="0.25">
      <c r="A387" t="s">
        <v>357</v>
      </c>
      <c r="B387" t="s">
        <v>272</v>
      </c>
      <c r="C387" t="s">
        <v>613</v>
      </c>
      <c r="D387" s="4" t="s">
        <v>614</v>
      </c>
      <c r="E387" t="s">
        <v>54</v>
      </c>
      <c r="F387" t="s">
        <v>55</v>
      </c>
      <c r="G387" s="5">
        <v>329</v>
      </c>
      <c r="H387" s="1">
        <v>45536</v>
      </c>
      <c r="I387" s="1">
        <v>45580</v>
      </c>
      <c r="J387" t="s">
        <v>268</v>
      </c>
      <c r="K387">
        <v>43.373806000000002</v>
      </c>
      <c r="L387">
        <v>-99.006247999999999</v>
      </c>
      <c r="M387" t="s">
        <v>269</v>
      </c>
      <c r="N387">
        <v>0</v>
      </c>
      <c r="O387" t="s">
        <v>145</v>
      </c>
      <c r="P387">
        <v>910</v>
      </c>
      <c r="Q387">
        <v>247</v>
      </c>
      <c r="R387">
        <v>163</v>
      </c>
    </row>
    <row r="388" spans="1:18" x14ac:dyDescent="0.25">
      <c r="A388" t="s">
        <v>357</v>
      </c>
      <c r="B388" t="s">
        <v>272</v>
      </c>
      <c r="C388" t="s">
        <v>613</v>
      </c>
      <c r="D388" s="4" t="s">
        <v>614</v>
      </c>
      <c r="E388" t="s">
        <v>56</v>
      </c>
      <c r="F388" t="s">
        <v>57</v>
      </c>
      <c r="G388" s="5">
        <v>340</v>
      </c>
      <c r="H388" s="1">
        <v>45505</v>
      </c>
      <c r="I388" s="1">
        <v>45545</v>
      </c>
      <c r="J388" t="s">
        <v>268</v>
      </c>
      <c r="K388">
        <v>43.373806000000002</v>
      </c>
      <c r="L388">
        <v>-99.006247999999999</v>
      </c>
      <c r="M388" t="s">
        <v>269</v>
      </c>
      <c r="N388">
        <v>0</v>
      </c>
      <c r="O388" t="s">
        <v>145</v>
      </c>
      <c r="P388">
        <v>1154</v>
      </c>
      <c r="Q388">
        <v>370</v>
      </c>
      <c r="R388">
        <v>246</v>
      </c>
    </row>
    <row r="389" spans="1:18" x14ac:dyDescent="0.25">
      <c r="A389" t="s">
        <v>615</v>
      </c>
      <c r="B389" t="s">
        <v>616</v>
      </c>
      <c r="C389" t="s">
        <v>617</v>
      </c>
      <c r="D389" s="4" t="s">
        <v>618</v>
      </c>
      <c r="E389" t="s">
        <v>83</v>
      </c>
      <c r="F389" t="s">
        <v>84</v>
      </c>
      <c r="G389" s="5">
        <v>328</v>
      </c>
      <c r="H389" s="1">
        <v>45444</v>
      </c>
      <c r="I389" s="1">
        <v>45602</v>
      </c>
      <c r="J389" t="s">
        <v>518</v>
      </c>
      <c r="K389">
        <v>43.080862000000003</v>
      </c>
      <c r="L389">
        <v>-96.954374000000001</v>
      </c>
      <c r="M389" t="s">
        <v>100</v>
      </c>
      <c r="N389">
        <v>107</v>
      </c>
    </row>
    <row r="390" spans="1:18" x14ac:dyDescent="0.25">
      <c r="A390" t="s">
        <v>615</v>
      </c>
      <c r="B390" t="s">
        <v>616</v>
      </c>
      <c r="C390" t="s">
        <v>617</v>
      </c>
      <c r="D390" s="4" t="s">
        <v>618</v>
      </c>
      <c r="E390" t="s">
        <v>54</v>
      </c>
      <c r="F390" t="s">
        <v>55</v>
      </c>
      <c r="G390" s="5">
        <v>329</v>
      </c>
      <c r="H390" s="1">
        <v>45444</v>
      </c>
      <c r="I390" s="1">
        <v>45602</v>
      </c>
      <c r="J390" t="s">
        <v>518</v>
      </c>
      <c r="K390">
        <v>43.080862000000003</v>
      </c>
      <c r="L390">
        <v>-96.954374000000001</v>
      </c>
      <c r="M390" t="s">
        <v>100</v>
      </c>
      <c r="N390">
        <v>107</v>
      </c>
      <c r="P390">
        <v>286</v>
      </c>
      <c r="Q390">
        <v>47</v>
      </c>
      <c r="R390">
        <v>27</v>
      </c>
    </row>
    <row r="391" spans="1:18" x14ac:dyDescent="0.25">
      <c r="A391" t="s">
        <v>615</v>
      </c>
      <c r="B391" t="s">
        <v>616</v>
      </c>
      <c r="C391" t="s">
        <v>617</v>
      </c>
      <c r="D391" s="4" t="s">
        <v>618</v>
      </c>
      <c r="E391" t="s">
        <v>56</v>
      </c>
      <c r="F391" t="s">
        <v>57</v>
      </c>
      <c r="G391" s="5">
        <v>340</v>
      </c>
      <c r="H391" s="1">
        <v>45448</v>
      </c>
      <c r="I391" s="1">
        <v>45534</v>
      </c>
      <c r="J391" t="s">
        <v>518</v>
      </c>
      <c r="K391">
        <v>43.080862000000003</v>
      </c>
      <c r="L391">
        <v>-96.954374000000001</v>
      </c>
      <c r="M391" t="s">
        <v>100</v>
      </c>
      <c r="N391">
        <v>107</v>
      </c>
      <c r="P391">
        <v>515</v>
      </c>
      <c r="Q391">
        <v>153</v>
      </c>
      <c r="R391">
        <v>95</v>
      </c>
    </row>
    <row r="392" spans="1:18" x14ac:dyDescent="0.25">
      <c r="A392" t="s">
        <v>619</v>
      </c>
      <c r="B392" t="s">
        <v>456</v>
      </c>
      <c r="C392" t="s">
        <v>620</v>
      </c>
      <c r="D392" s="4" t="s">
        <v>621</v>
      </c>
      <c r="E392" t="s">
        <v>83</v>
      </c>
      <c r="F392" t="s">
        <v>84</v>
      </c>
      <c r="G392" s="5">
        <v>328</v>
      </c>
      <c r="H392" s="1">
        <v>45474</v>
      </c>
      <c r="I392" s="1">
        <v>45737</v>
      </c>
      <c r="J392" t="s">
        <v>200</v>
      </c>
      <c r="K392">
        <v>43.370832</v>
      </c>
      <c r="L392">
        <v>-97.155732999999998</v>
      </c>
      <c r="M392" t="s">
        <v>100</v>
      </c>
      <c r="N392">
        <v>72</v>
      </c>
    </row>
    <row r="393" spans="1:18" x14ac:dyDescent="0.25">
      <c r="A393" t="s">
        <v>619</v>
      </c>
      <c r="B393" t="s">
        <v>456</v>
      </c>
      <c r="C393" t="s">
        <v>620</v>
      </c>
      <c r="D393" s="4" t="s">
        <v>621</v>
      </c>
      <c r="E393" t="s">
        <v>54</v>
      </c>
      <c r="F393" t="s">
        <v>55</v>
      </c>
      <c r="G393" s="5">
        <v>329</v>
      </c>
      <c r="H393" s="1">
        <v>45474</v>
      </c>
      <c r="I393" s="1">
        <v>45737</v>
      </c>
      <c r="J393" t="s">
        <v>200</v>
      </c>
      <c r="K393">
        <v>43.370832</v>
      </c>
      <c r="L393">
        <v>-97.155732999999998</v>
      </c>
      <c r="M393" t="s">
        <v>100</v>
      </c>
      <c r="N393">
        <v>72</v>
      </c>
      <c r="P393">
        <v>180</v>
      </c>
      <c r="Q393">
        <v>30</v>
      </c>
      <c r="R393">
        <v>18</v>
      </c>
    </row>
    <row r="394" spans="1:18" x14ac:dyDescent="0.25">
      <c r="A394" t="s">
        <v>619</v>
      </c>
      <c r="B394" t="s">
        <v>456</v>
      </c>
      <c r="C394" t="s">
        <v>620</v>
      </c>
      <c r="D394" s="4" t="s">
        <v>621</v>
      </c>
      <c r="E394" t="s">
        <v>56</v>
      </c>
      <c r="F394" t="s">
        <v>57</v>
      </c>
      <c r="G394" s="5">
        <v>340</v>
      </c>
      <c r="H394" s="1">
        <v>45488</v>
      </c>
      <c r="I394" s="1">
        <v>45503</v>
      </c>
      <c r="J394" t="s">
        <v>200</v>
      </c>
      <c r="K394">
        <v>43.370832</v>
      </c>
      <c r="L394">
        <v>-97.155732999999998</v>
      </c>
      <c r="M394" t="s">
        <v>100</v>
      </c>
      <c r="N394">
        <v>72</v>
      </c>
      <c r="P394">
        <v>329</v>
      </c>
      <c r="Q394">
        <v>99</v>
      </c>
      <c r="R394">
        <v>62</v>
      </c>
    </row>
    <row r="395" spans="1:18" x14ac:dyDescent="0.25">
      <c r="A395" t="s">
        <v>622</v>
      </c>
      <c r="B395" t="s">
        <v>335</v>
      </c>
      <c r="C395" t="s">
        <v>622</v>
      </c>
      <c r="D395" s="4" t="s">
        <v>624</v>
      </c>
      <c r="E395" t="s">
        <v>75</v>
      </c>
      <c r="F395" t="s">
        <v>305</v>
      </c>
      <c r="G395" s="5">
        <v>382</v>
      </c>
      <c r="H395" s="1">
        <v>45527</v>
      </c>
      <c r="I395" s="1">
        <v>45575</v>
      </c>
      <c r="J395" t="s">
        <v>316</v>
      </c>
      <c r="K395">
        <v>44.694017000000002</v>
      </c>
      <c r="L395">
        <v>-103.356981</v>
      </c>
      <c r="M395" t="s">
        <v>623</v>
      </c>
    </row>
    <row r="396" spans="1:18" x14ac:dyDescent="0.25">
      <c r="A396" t="s">
        <v>622</v>
      </c>
      <c r="B396" t="s">
        <v>335</v>
      </c>
      <c r="C396" t="s">
        <v>622</v>
      </c>
      <c r="D396" s="4" t="s">
        <v>624</v>
      </c>
      <c r="E396" t="s">
        <v>75</v>
      </c>
      <c r="F396" t="s">
        <v>304</v>
      </c>
      <c r="G396" s="5">
        <v>516</v>
      </c>
      <c r="H396" s="1">
        <v>45530</v>
      </c>
      <c r="I396" s="1">
        <v>45575</v>
      </c>
      <c r="J396" t="s">
        <v>316</v>
      </c>
      <c r="K396">
        <v>44.694017000000002</v>
      </c>
      <c r="L396">
        <v>-103.356981</v>
      </c>
      <c r="M396" t="s">
        <v>623</v>
      </c>
    </row>
    <row r="397" spans="1:18" x14ac:dyDescent="0.25">
      <c r="A397" t="s">
        <v>622</v>
      </c>
      <c r="B397" t="s">
        <v>335</v>
      </c>
      <c r="C397" t="s">
        <v>622</v>
      </c>
      <c r="D397" s="4" t="s">
        <v>624</v>
      </c>
      <c r="E397" t="s">
        <v>75</v>
      </c>
      <c r="F397" t="s">
        <v>307</v>
      </c>
      <c r="G397" s="5">
        <v>614</v>
      </c>
      <c r="H397" s="1">
        <v>45530</v>
      </c>
      <c r="I397" s="1">
        <v>45575</v>
      </c>
      <c r="J397" t="s">
        <v>316</v>
      </c>
      <c r="K397">
        <v>44.694017000000002</v>
      </c>
      <c r="L397">
        <v>-103.356981</v>
      </c>
      <c r="M397" t="s">
        <v>623</v>
      </c>
    </row>
    <row r="398" spans="1:18" x14ac:dyDescent="0.25">
      <c r="A398" t="s">
        <v>625</v>
      </c>
      <c r="B398" t="s">
        <v>626</v>
      </c>
      <c r="C398" t="s">
        <v>627</v>
      </c>
      <c r="D398" s="4" t="s">
        <v>630</v>
      </c>
      <c r="E398" t="s">
        <v>54</v>
      </c>
      <c r="F398" t="s">
        <v>55</v>
      </c>
      <c r="G398" s="5">
        <v>329</v>
      </c>
      <c r="H398" s="1">
        <v>45496</v>
      </c>
      <c r="I398" s="1">
        <v>45553</v>
      </c>
      <c r="J398" t="s">
        <v>628</v>
      </c>
      <c r="K398">
        <v>42.842393000000001</v>
      </c>
      <c r="L398">
        <v>-96.563044000000005</v>
      </c>
      <c r="M398" t="s">
        <v>629</v>
      </c>
      <c r="N398">
        <v>71.900000000000006</v>
      </c>
      <c r="P398">
        <v>317</v>
      </c>
      <c r="Q398">
        <v>79</v>
      </c>
      <c r="R398">
        <v>57</v>
      </c>
    </row>
    <row r="399" spans="1:18" x14ac:dyDescent="0.25">
      <c r="A399" t="s">
        <v>625</v>
      </c>
      <c r="B399" t="s">
        <v>626</v>
      </c>
      <c r="C399" t="s">
        <v>627</v>
      </c>
      <c r="D399" s="4" t="s">
        <v>630</v>
      </c>
      <c r="E399" t="s">
        <v>56</v>
      </c>
      <c r="F399" t="s">
        <v>57</v>
      </c>
      <c r="G399" s="5">
        <v>340</v>
      </c>
      <c r="H399" s="1">
        <v>45496</v>
      </c>
      <c r="I399" s="1">
        <v>45553</v>
      </c>
      <c r="J399" t="s">
        <v>628</v>
      </c>
      <c r="K399">
        <v>42.842393000000001</v>
      </c>
      <c r="L399">
        <v>-96.563044000000005</v>
      </c>
      <c r="M399" t="s">
        <v>629</v>
      </c>
      <c r="N399">
        <v>71.900000000000006</v>
      </c>
      <c r="P399">
        <v>777</v>
      </c>
      <c r="Q399">
        <v>268</v>
      </c>
      <c r="R399">
        <v>168</v>
      </c>
    </row>
    <row r="400" spans="1:18" x14ac:dyDescent="0.25">
      <c r="A400" t="s">
        <v>631</v>
      </c>
      <c r="B400" t="s">
        <v>329</v>
      </c>
      <c r="C400" t="s">
        <v>632</v>
      </c>
      <c r="D400" s="4" t="s">
        <v>633</v>
      </c>
      <c r="E400" t="s">
        <v>54</v>
      </c>
      <c r="F400" t="s">
        <v>55</v>
      </c>
      <c r="G400" s="5">
        <v>329</v>
      </c>
      <c r="H400" s="1">
        <v>45505</v>
      </c>
      <c r="I400" s="1">
        <v>45708</v>
      </c>
      <c r="J400" t="s">
        <v>427</v>
      </c>
      <c r="K400">
        <v>43.699703999999997</v>
      </c>
      <c r="L400">
        <v>-97.144850000000005</v>
      </c>
      <c r="M400" t="s">
        <v>599</v>
      </c>
      <c r="N400">
        <v>160</v>
      </c>
      <c r="P400">
        <v>388</v>
      </c>
      <c r="Q400">
        <v>66</v>
      </c>
      <c r="R400">
        <v>40</v>
      </c>
    </row>
    <row r="401" spans="1:18" x14ac:dyDescent="0.25">
      <c r="A401" t="s">
        <v>631</v>
      </c>
      <c r="B401" t="s">
        <v>329</v>
      </c>
      <c r="C401" t="s">
        <v>632</v>
      </c>
      <c r="D401" s="4" t="s">
        <v>633</v>
      </c>
      <c r="E401" t="s">
        <v>56</v>
      </c>
      <c r="F401" t="s">
        <v>57</v>
      </c>
      <c r="G401" s="5">
        <v>340</v>
      </c>
      <c r="H401" s="1">
        <v>45534</v>
      </c>
      <c r="I401" s="1">
        <v>45575</v>
      </c>
      <c r="J401" t="s">
        <v>427</v>
      </c>
      <c r="K401">
        <v>43.699703999999997</v>
      </c>
      <c r="L401">
        <v>-97.144850000000005</v>
      </c>
      <c r="M401" t="s">
        <v>599</v>
      </c>
      <c r="N401">
        <v>160</v>
      </c>
      <c r="P401">
        <v>715</v>
      </c>
      <c r="Q401">
        <v>215</v>
      </c>
      <c r="R401">
        <v>136</v>
      </c>
    </row>
    <row r="402" spans="1:18" x14ac:dyDescent="0.25">
      <c r="A402" t="s">
        <v>634</v>
      </c>
      <c r="B402" t="s">
        <v>635</v>
      </c>
      <c r="C402" t="s">
        <v>636</v>
      </c>
      <c r="D402" s="4">
        <v>2</v>
      </c>
      <c r="E402" t="s">
        <v>54</v>
      </c>
      <c r="F402" t="s">
        <v>57</v>
      </c>
      <c r="G402" s="5">
        <v>340</v>
      </c>
      <c r="H402" s="1">
        <v>43313</v>
      </c>
      <c r="I402" s="1">
        <v>43507</v>
      </c>
      <c r="J402" t="s">
        <v>637</v>
      </c>
      <c r="K402">
        <v>45.805222000000001</v>
      </c>
      <c r="L402">
        <v>-100.805126</v>
      </c>
      <c r="M402" t="s">
        <v>638</v>
      </c>
      <c r="N402">
        <v>556</v>
      </c>
    </row>
    <row r="403" spans="1:18" x14ac:dyDescent="0.25">
      <c r="A403" t="s">
        <v>639</v>
      </c>
      <c r="B403" t="s">
        <v>640</v>
      </c>
      <c r="C403" t="s">
        <v>639</v>
      </c>
      <c r="D403" s="4">
        <v>11</v>
      </c>
      <c r="E403" t="s">
        <v>105</v>
      </c>
      <c r="F403" t="s">
        <v>59</v>
      </c>
      <c r="G403" s="5">
        <v>556</v>
      </c>
      <c r="H403" s="1">
        <v>43193</v>
      </c>
      <c r="I403" s="1">
        <v>43465</v>
      </c>
      <c r="J403" t="s">
        <v>503</v>
      </c>
      <c r="K403">
        <v>45.490411000000002</v>
      </c>
      <c r="L403">
        <v>-97.291543000000004</v>
      </c>
      <c r="M403" t="s">
        <v>223</v>
      </c>
      <c r="N403">
        <v>616</v>
      </c>
    </row>
    <row r="404" spans="1:18" x14ac:dyDescent="0.25">
      <c r="H404" s="1"/>
    </row>
    <row r="405" spans="1:18" x14ac:dyDescent="0.25">
      <c r="H405" s="1"/>
      <c r="I405" s="1"/>
    </row>
  </sheetData>
  <autoFilter ref="A1:S405" xr:uid="{00000000-0001-0000-0000-000000000000}"/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codebook</vt:lpstr>
      <vt:lpstr>Clean View (with COMB est)</vt:lpstr>
      <vt:lpstr>Clean View</vt:lpstr>
      <vt:lpstr>Paid Practices</vt:lpstr>
      <vt:lpstr>Clean View (Old)</vt:lpstr>
      <vt:lpstr>Raw (Old)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fairy ✧˖° ♡</dc:creator>
  <cp:keywords/>
  <dc:description/>
  <cp:lastModifiedBy>Ashley Geraets</cp:lastModifiedBy>
  <cp:revision/>
  <dcterms:created xsi:type="dcterms:W3CDTF">2015-06-05T18:17:20Z</dcterms:created>
  <dcterms:modified xsi:type="dcterms:W3CDTF">2026-01-30T19:34:14Z</dcterms:modified>
  <cp:category/>
  <cp:contentStatus/>
</cp:coreProperties>
</file>